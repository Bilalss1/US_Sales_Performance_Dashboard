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USER\Desktop\New folder\2\"/>
    </mc:Choice>
  </mc:AlternateContent>
  <xr:revisionPtr revIDLastSave="0" documentId="13_ncr:1_{857FDC7D-D648-46CF-A221-29DBAA355FA8}" xr6:coauthVersionLast="47" xr6:coauthVersionMax="47" xr10:uidLastSave="{00000000-0000-0000-0000-000000000000}"/>
  <bookViews>
    <workbookView xWindow="-108" yWindow="-108" windowWidth="23256" windowHeight="12456" activeTab="2" xr2:uid="{00000000-000D-0000-FFFF-FFFF00000000}"/>
  </bookViews>
  <sheets>
    <sheet name="Dataset" sheetId="1" r:id="rId1"/>
    <sheet name="Pivot Table" sheetId="2" r:id="rId2"/>
    <sheet name="Dashboard" sheetId="3" r:id="rId3"/>
  </sheets>
  <definedNames>
    <definedName name="_xlchart.v5.0" hidden="1">'Pivot Table'!$N$45</definedName>
    <definedName name="_xlchart.v5.1" hidden="1">'Pivot Table'!$N$46:$N$93</definedName>
    <definedName name="_xlchart.v5.2" hidden="1">'Pivot Table'!$O$45</definedName>
    <definedName name="_xlchart.v5.3" hidden="1">'Pivot Table'!$O$46:$O$93</definedName>
    <definedName name="dropline">'Pivot Table'!$F$28</definedName>
    <definedName name="map">'Pivot Table'!$D$45</definedName>
    <definedName name="profit">'Pivot Table'!$H$6</definedName>
    <definedName name="profityoy">'Pivot Table'!$K$6</definedName>
    <definedName name="quantity">'Pivot Table'!$H$5</definedName>
    <definedName name="quantityyoy">'Pivot Table'!$K$5</definedName>
    <definedName name="sales">'Pivot Table'!$H$4</definedName>
    <definedName name="salescategory">'Pivot Table'!$F$20</definedName>
    <definedName name="salestrend">'Pivot Table'!$B$28</definedName>
    <definedName name="salesyoy">'Pivot Table'!$K$4</definedName>
    <definedName name="shippingmodetitle">'Pivot Table'!$B$20</definedName>
    <definedName name="Slicer_Region">#N/A</definedName>
    <definedName name="Slicer_Segment">#N/A</definedName>
    <definedName name="topcities">'Pivot Table'!$J$45</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vnk5t54ErSkUNqVRSJvJ2fywdNCv7sjM5dFWGTJmY3M="/>
    </ext>
  </extLst>
</workbook>
</file>

<file path=xl/calcChain.xml><?xml version="1.0" encoding="utf-8"?>
<calcChain xmlns="http://schemas.openxmlformats.org/spreadsheetml/2006/main">
  <c r="N47" i="2" l="1"/>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46" i="2"/>
  <c r="J45" i="2"/>
  <c r="D45" i="2"/>
  <c r="D46" i="2" a="1"/>
  <c r="D46" i="2" s="1"/>
  <c r="F28" i="2"/>
  <c r="B28" i="2"/>
  <c r="J23" i="2"/>
  <c r="J24" i="2"/>
  <c r="J25" i="2"/>
  <c r="J22" i="2"/>
  <c r="J21" i="2"/>
  <c r="B20" i="2"/>
  <c r="F20" i="2"/>
  <c r="H4" i="2"/>
  <c r="I4" i="2"/>
  <c r="H5" i="2"/>
  <c r="I5" i="2"/>
  <c r="H6" i="2"/>
  <c r="I6"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O74" i="2"/>
  <c r="O77" i="2"/>
  <c r="O47" i="2"/>
  <c r="O86" i="2"/>
  <c r="O89" i="2"/>
  <c r="O80" i="2"/>
  <c r="O83" i="2"/>
  <c r="O51" i="2"/>
  <c r="O54" i="2"/>
  <c r="O92" i="2"/>
  <c r="O48" i="2"/>
  <c r="O60" i="2"/>
  <c r="O75" i="2"/>
  <c r="O46" i="2"/>
  <c r="O63" i="2"/>
  <c r="O66" i="2"/>
  <c r="O59" i="2"/>
  <c r="O71" i="2"/>
  <c r="O49" i="2"/>
  <c r="O87" i="2"/>
  <c r="O90" i="2"/>
  <c r="O53" i="2"/>
  <c r="O61" i="2"/>
  <c r="O52" i="2"/>
  <c r="O67" i="2"/>
  <c r="O76" i="2"/>
  <c r="O50" i="2"/>
  <c r="O65" i="2"/>
  <c r="O91" i="2"/>
  <c r="O73" i="2"/>
  <c r="O64" i="2"/>
  <c r="O72" i="2"/>
  <c r="O55" i="2"/>
  <c r="O84" i="2"/>
  <c r="O88" i="2"/>
  <c r="O79" i="2"/>
  <c r="O85" i="2"/>
  <c r="O58" i="2"/>
  <c r="O70" i="2"/>
  <c r="O56" i="2"/>
  <c r="O62" i="2"/>
  <c r="O82" i="2"/>
  <c r="O78" i="2"/>
  <c r="O68" i="2"/>
  <c r="O57" i="2"/>
  <c r="O69" i="2"/>
  <c r="O81" i="2"/>
  <c r="O93" i="2"/>
  <c r="J6" i="2" l="1"/>
  <c r="K6" i="2" s="1"/>
  <c r="J5" i="2"/>
  <c r="K5" i="2" s="1"/>
  <c r="J4" i="2"/>
  <c r="K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<sst xmlns="http://schemas.openxmlformats.org/spreadsheetml/2006/main" count="31957" uniqueCount="4424">
  <si>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</si>
  <si>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</si>
  <si>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</si>
  <si>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</si>
  <si>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</si>
  <si>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</si>
  <si>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</si>
  <si>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</si>
  <si>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</si>
  <si>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</si>
  <si>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</si>
  <si>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</si>
  <si>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</si>
  <si>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</si>
  <si>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</si>
  <si>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</si>
  <si>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</si>
  <si>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</si>
  <si>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</si>
  <si>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</si>
  <si>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</si>
  <si>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</si>
  <si>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</si>
  <si>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</si>
  <si>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</si>
  <si>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</si>
  <si>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</si>
  <si>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</si>
  <si>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</si>
  <si>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</si>
  <si>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</si>
  <si>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</si>
  <si>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</si>
  <si>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</si>
  <si>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</si>
  <si>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</si>
  <si>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</si>
  <si>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</si>
  <si>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</si>
  <si>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</si>
  <si>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</si>
  <si>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</si>
  <si>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</si>
  <si>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</si>
  <si>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</si>
  <si>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</si>
  <si>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</si>
  <si>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</si>
  <si>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</si>
  <si>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</si>
  <si>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</si>
  <si>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</si>
  <si>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</si>
  <si>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</si>
  <si>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</si>
  <si>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</si>
  <si>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</si>
  <si>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</si>
  <si>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</si>
  <si>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</si>
  <si>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</si>
  <si>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</si>
  <si>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</si>
  <si>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</si>
  <si>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</si>
  <si>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</si>
  <si>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</si>
  <si>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</si>
  <si>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</si>
  <si>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</si>
  <si>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</si>
  <si>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</si>
  <si>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</si>
  <si>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</si>
  <si>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</si>
  <si>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</si>
  <si>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</si>
  <si>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</si>
  <si>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</si>
  <si>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</si>
  <si>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</si>
  <si>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</si>
  <si>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</si>
  <si>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</si>
  <si>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</si>
  <si>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</si>
  <si>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</si>
  <si>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</si>
  <si>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</si>
  <si>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</si>
  <si>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</si>
  <si>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</si>
  <si>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</si>
  <si>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</si>
  <si>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</si>
  <si>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</si>
  <si>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</si>
  <si>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</si>
  <si>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</si>
  <si>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</si>
  <si>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</si>
  <si>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</si>
  <si>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</si>
  <si>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</si>
  <si>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</si>
  <si>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</si>
  <si>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</si>
  <si>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</si>
  <si>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</si>
  <si>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</si>
  <si>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</si>
  <si>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</si>
  <si>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</si>
  <si>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</si>
  <si>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</si>
  <si>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</si>
  <si>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</si>
  <si>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</si>
  <si>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</si>
  <si>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</si>
  <si>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</si>
  <si>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</si>
  <si>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</si>
  <si>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</si>
  <si>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</si>
  <si>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</si>
  <si>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</si>
  <si>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</si>
  <si>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</si>
  <si>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</si>
  <si>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</si>
  <si>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</si>
  <si>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</si>
  <si>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</si>
  <si>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</si>
  <si>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</si>
  <si>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</si>
  <si>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</si>
  <si>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</si>
  <si>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</si>
  <si>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</si>
  <si>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</si>
  <si>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</si>
  <si>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</si>
  <si>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</si>
  <si>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</si>
  <si>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</si>
  <si>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</si>
  <si>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</si>
  <si>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</si>
  <si>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</si>
  <si>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</si>
  <si>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</si>
  <si>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</si>
  <si>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</si>
  <si>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</si>
  <si>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</si>
  <si>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</si>
  <si>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</si>
  <si>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</si>
  <si>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</si>
  <si>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</si>
  <si>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</si>
  <si>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</si>
  <si>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</si>
  <si>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</si>
  <si>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</si>
  <si>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</si>
  <si>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</si>
  <si>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</si>
  <si>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</si>
  <si>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</si>
  <si>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</si>
  <si>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</si>
  <si>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</si>
  <si>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</si>
  <si>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</si>
  <si>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</si>
  <si>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</si>
  <si>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</si>
  <si>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</si>
  <si>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</si>
  <si>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</si>
  <si>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</si>
  <si>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</si>
  <si>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</si>
  <si>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</si>
  <si>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</si>
  <si>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</si>
  <si>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</si>
  <si>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</si>
  <si>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</si>
  <si>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</si>
  <si>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</si>
  <si>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</si>
  <si>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</si>
  <si>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</si>
  <si>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</si>
  <si>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</si>
  <si>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</si>
  <si>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</si>
  <si>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</si>
  <si>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</si>
  <si>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</si>
  <si>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</si>
  <si>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</si>
  <si>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</si>
  <si>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</si>
  <si>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</si>
  <si>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</si>
  <si>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</si>
  <si>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</si>
  <si>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</si>
  <si>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</si>
  <si>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</si>
  <si>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</si>
  <si>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</si>
  <si>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</si>
  <si>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</si>
  <si>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</si>
  <si>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</si>
  <si>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</si>
  <si>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</si>
  <si>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</si>
  <si>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</si>
  <si>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</si>
  <si>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</si>
  <si>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</si>
  <si>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</si>
  <si>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</si>
  <si>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</si>
  <si>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</si>
  <si>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</si>
  <si>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</si>
  <si>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</si>
  <si>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</si>
  <si>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</si>
  <si>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</si>
  <si>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</si>
  <si>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</si>
  <si>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</si>
  <si>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</si>
  <si>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</si>
  <si>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</si>
  <si>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</si>
  <si>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</si>
  <si>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</si>
  <si>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</si>
  <si>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</si>
  <si>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</si>
  <si>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</si>
  <si>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</si>
  <si>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</si>
  <si>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</si>
  <si>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</si>
  <si>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</si>
  <si>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</si>
  <si>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</si>
  <si>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</si>
  <si>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</si>
  <si>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</si>
  <si>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</si>
  <si>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</si>
  <si>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</si>
  <si>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</si>
  <si>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</si>
  <si>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</si>
  <si>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</si>
  <si>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</si>
  <si>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</si>
  <si>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</si>
  <si>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</si>
  <si>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</si>
  <si>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</si>
  <si>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</si>
  <si>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</si>
  <si>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</si>
  <si>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</si>
  <si>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</si>
  <si>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</si>
  <si>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</si>
  <si>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</si>
  <si>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</si>
  <si>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</si>
  <si>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</si>
  <si>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</si>
  <si>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</si>
  <si>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</si>
  <si>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</si>
  <si>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</si>
  <si>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</si>
  <si>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</si>
  <si>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</si>
  <si>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</si>
  <si>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</si>
  <si>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</si>
  <si>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</si>
  <si>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</si>
  <si>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</si>
  <si>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</si>
  <si>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</si>
  <si>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</si>
  <si>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</si>
  <si>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</si>
  <si>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</si>
  <si>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</si>
  <si>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</si>
  <si>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</si>
  <si>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</si>
  <si>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</si>
  <si>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</si>
  <si>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</si>
  <si>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</si>
  <si>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</si>
  <si>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</si>
  <si>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</si>
  <si>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</si>
  <si>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</si>
  <si>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</si>
  <si>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</si>
  <si>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</si>
  <si>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</si>
  <si>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</si>
  <si>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</si>
  <si>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</si>
  <si>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</si>
  <si>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</si>
  <si>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</si>
  <si>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</si>
  <si>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</si>
  <si>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</si>
  <si>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</si>
  <si>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</si>
  <si>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</si>
  <si>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</si>
  <si>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</si>
  <si>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</si>
  <si>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</si>
  <si>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</si>
  <si>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</si>
  <si>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</si>
  <si>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</si>
  <si>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</si>
  <si>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</si>
  <si>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</si>
  <si>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</si>
  <si>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</si>
  <si>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</si>
  <si>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</si>
  <si>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</si>
  <si>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</si>
  <si>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</si>
  <si>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</si>
  <si>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</si>
  <si>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</si>
  <si>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</si>
  <si>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</si>
  <si>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</si>
  <si>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</si>
  <si>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</si>
  <si>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</si>
  <si>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</si>
  <si>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</si>
  <si>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</si>
  <si>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</si>
  <si>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</si>
  <si>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</si>
  <si>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</si>
  <si>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</si>
  <si>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</si>
  <si>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</si>
  <si>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</si>
  <si>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</si>
  <si>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</si>
  <si>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</si>
  <si>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</si>
  <si>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</si>
  <si>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</si>
  <si>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</si>
  <si>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</si>
  <si>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</si>
  <si>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</si>
  <si>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</si>
  <si>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</si>
  <si>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</si>
  <si>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</si>
  <si>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</si>
  <si>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</si>
  <si>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</si>
  <si>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</si>
  <si>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</si>
  <si>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</si>
  <si>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</si>
  <si>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</si>
  <si>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</si>
  <si>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</si>
  <si>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</si>
  <si>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</si>
  <si>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</si>
  <si>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</si>
  <si>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</si>
  <si>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</si>
  <si>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</si>
  <si>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</si>
  <si>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</si>
  <si>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</si>
  <si>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Ã’Pillow SoftÃ“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</si>
  <si>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</si>
  <si>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</si>
  <si>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</si>
  <si>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</si>
  <si>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</si>
  <si>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</si>
  <si>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</si>
  <si>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</si>
  <si>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</si>
  <si>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</si>
  <si>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</si>
  <si>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</si>
  <si>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</si>
  <si>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</si>
  <si>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</si>
  <si>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</si>
  <si>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</si>
  <si>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</si>
  <si>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</si>
  <si>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</si>
  <si>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</si>
  <si>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</si>
  <si>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</si>
  <si>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</si>
  <si>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</si>
  <si>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</si>
  <si>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</si>
  <si>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</si>
  <si>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</si>
  <si>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</si>
  <si>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</si>
  <si>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</si>
  <si>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</si>
  <si>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</si>
  <si>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</si>
  <si>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</si>
  <si>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</si>
  <si>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</si>
  <si>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</si>
  <si>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</si>
  <si>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</si>
  <si>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</si>
  <si>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</si>
  <si>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</si>
  <si>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</si>
  <si>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</si>
  <si>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</si>
  <si>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</si>
  <si>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</si>
  <si>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</si>
  <si>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</si>
  <si>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</si>
  <si>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</si>
  <si>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</si>
  <si>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</si>
  <si>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</si>
  <si>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</si>
  <si>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</si>
  <si>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</si>
  <si>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</si>
  <si>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</si>
  <si>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</si>
  <si>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</si>
  <si>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</si>
  <si>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</si>
  <si>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</si>
  <si>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</si>
  <si>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</si>
  <si>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</si>
  <si>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</si>
  <si>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</si>
  <si>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</si>
  <si>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</si>
  <si>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</si>
  <si>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</si>
  <si>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</si>
  <si>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</si>
  <si>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</si>
  <si>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</si>
  <si>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</si>
  <si>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</si>
  <si>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</si>
  <si>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</si>
  <si>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</si>
  <si>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</si>
  <si>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</si>
  <si>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</si>
  <si>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</si>
  <si>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</si>
  <si>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</si>
  <si>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</si>
  <si>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</si>
  <si>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</si>
  <si>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</si>
  <si>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</si>
  <si>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</si>
  <si>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</si>
  <si>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</si>
  <si>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</si>
  <si>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</si>
  <si>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</si>
  <si>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</si>
  <si>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</si>
  <si>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</si>
  <si>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</si>
  <si>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</si>
  <si>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</si>
  <si>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</si>
  <si>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</si>
  <si>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</si>
  <si>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</si>
  <si>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</si>
  <si>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</si>
  <si>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</si>
  <si>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</si>
  <si>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</si>
  <si>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</si>
  <si>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</si>
  <si>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</si>
  <si>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</si>
  <si>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</si>
  <si>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</si>
  <si>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</si>
  <si>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</si>
  <si>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</si>
  <si>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</si>
  <si>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</si>
  <si>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</si>
  <si>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</si>
  <si>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</si>
  <si>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</si>
  <si>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</si>
  <si>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</si>
  <si>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</si>
  <si>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</si>
  <si>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</si>
  <si>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</si>
  <si>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</si>
  <si>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</si>
  <si>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</si>
  <si>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</si>
  <si>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</si>
  <si>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</si>
  <si>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</si>
  <si>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</si>
  <si>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</si>
  <si>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</si>
  <si>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</si>
  <si>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</si>
  <si>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</si>
  <si>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</si>
  <si>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</si>
  <si>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</si>
  <si>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</si>
  <si>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</si>
  <si>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</si>
  <si>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</si>
  <si>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</si>
  <si>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</si>
  <si>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</si>
  <si>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</si>
  <si>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</si>
  <si>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</si>
  <si>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</si>
  <si>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</si>
  <si>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</si>
  <si>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</si>
  <si>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</si>
  <si>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</si>
  <si>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</si>
  <si>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</si>
  <si>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</si>
  <si>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</si>
  <si>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</si>
  <si>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</si>
  <si>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</si>
  <si>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</si>
  <si>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</si>
  <si>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</si>
  <si>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</si>
  <si>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</si>
  <si>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</si>
  <si>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</si>
  <si>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</si>
  <si>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</si>
  <si>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</si>
  <si>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</si>
  <si>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</si>
  <si>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</si>
  <si>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</si>
  <si>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</si>
  <si>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</si>
  <si>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</si>
  <si>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</si>
  <si>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</si>
  <si>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</si>
  <si>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</si>
  <si>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</si>
  <si>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</si>
  <si>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</si>
  <si>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</si>
  <si>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</si>
  <si>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</si>
  <si>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</si>
  <si>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</si>
  <si>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</si>
  <si>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Ã’Just In TimeÃ“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</si>
  <si>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</si>
  <si>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</si>
  <si>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</si>
  <si>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</si>
  <si>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</si>
  <si>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</si>
  <si>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</si>
  <si>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</si>
  <si>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</si>
  <si>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</si>
  <si>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</si>
  <si>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</si>
  <si>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</si>
  <si>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</si>
  <si>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</si>
  <si>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</si>
  <si>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</si>
  <si>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</si>
  <si>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</si>
  <si>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</si>
  <si>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</si>
  <si>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</si>
  <si>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</si>
  <si>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</si>
  <si>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</si>
  <si>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</si>
  <si>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</si>
  <si>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</si>
  <si>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</si>
  <si>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</si>
  <si>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</si>
  <si>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</si>
  <si>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</si>
  <si>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</si>
  <si>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</si>
  <si>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</si>
  <si>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</si>
  <si>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</si>
  <si>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</si>
  <si>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</si>
  <si>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</si>
  <si>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</si>
  <si>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</si>
  <si>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</si>
  <si>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</si>
  <si>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</si>
  <si>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</si>
  <si>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</si>
  <si>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</si>
  <si>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</si>
  <si>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</si>
  <si>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</si>
  <si>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</si>
  <si>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</si>
  <si>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</si>
  <si>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</si>
  <si>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</si>
  <si>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</si>
  <si>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</si>
  <si>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</si>
  <si>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</si>
  <si>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</si>
  <si>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</si>
  <si>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</si>
  <si>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</si>
  <si>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</si>
  <si>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</si>
  <si>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</si>
  <si>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</si>
  <si>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</si>
  <si>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</si>
  <si>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</si>
  <si>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</si>
  <si>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</si>
  <si>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</si>
  <si>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</si>
  <si>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</si>
  <si>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</si>
  <si>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PÅ¡lking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</si>
  <si>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</si>
  <si>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</si>
  <si>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</si>
  <si>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</si>
  <si>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</si>
  <si>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</si>
  <si>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</si>
  <si>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</si>
  <si>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</si>
  <si>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</si>
  <si>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</si>
  <si>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</si>
  <si>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</si>
  <si>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</si>
  <si>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</si>
  <si>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</si>
  <si>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</si>
  <si>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</si>
  <si>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</si>
  <si>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</si>
  <si>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</si>
  <si>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</si>
  <si>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</si>
  <si>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</si>
  <si>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</si>
  <si>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</si>
  <si>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</si>
  <si>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</si>
  <si>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</si>
  <si>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</si>
  <si>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</si>
  <si>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</si>
  <si>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</si>
  <si>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</si>
  <si>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</si>
  <si>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</si>
  <si>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</si>
  <si>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</si>
  <si>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</si>
  <si>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</si>
  <si>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</si>
  <si>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</si>
  <si>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</si>
  <si>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</si>
  <si>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</si>
  <si>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</si>
  <si>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</si>
  <si>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</si>
  <si>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</si>
  <si>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</si>
  <si>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</si>
  <si>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</si>
  <si>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</si>
  <si>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</si>
  <si>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</si>
  <si>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</si>
  <si>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</si>
  <si>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</si>
  <si>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</si>
  <si>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</si>
  <si>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</si>
  <si>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</si>
  <si>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</si>
  <si>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</si>
  <si>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</si>
  <si>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</si>
  <si>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</si>
  <si>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</si>
  <si>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</si>
  <si>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</si>
  <si>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</si>
  <si>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</si>
  <si>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</si>
  <si>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</si>
  <si>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</si>
  <si>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</si>
  <si>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</si>
  <si>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</si>
  <si>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</si>
  <si>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</si>
  <si>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</si>
  <si>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</si>
  <si>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</si>
  <si>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</si>
  <si>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</si>
  <si>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</si>
  <si>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</si>
  <si>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</si>
  <si>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</si>
  <si>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</si>
  <si>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</si>
  <si>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</si>
  <si>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</si>
  <si>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</si>
  <si>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</si>
  <si>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</si>
  <si>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</si>
  <si>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</si>
  <si>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</si>
  <si>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</si>
  <si>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</si>
  <si>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</si>
  <si>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</si>
  <si>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</si>
  <si>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</si>
  <si>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</si>
  <si>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</si>
  <si>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</si>
  <si>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</si>
  <si>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</si>
  <si>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</si>
  <si>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</si>
  <si>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</si>
  <si>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</si>
  <si>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</si>
  <si>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</si>
  <si>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</si>
  <si>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</si>
  <si>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</si>
  <si>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</si>
  <si>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</si>
  <si>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</si>
  <si>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</si>
  <si>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</si>
  <si>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</si>
  <si>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</si>
  <si>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</si>
  <si>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</si>
  <si>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</si>
  <si>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</si>
  <si>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</si>
  <si>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</si>
  <si>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</si>
  <si>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</si>
  <si>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</si>
  <si>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</si>
  <si>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</si>
  <si>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</si>
  <si>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</si>
  <si>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</si>
  <si>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</si>
  <si>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</si>
  <si>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</si>
  <si>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</si>
  <si>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</si>
  <si>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</si>
  <si>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</si>
  <si>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</si>
  <si>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</si>
  <si>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</si>
  <si>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</si>
  <si>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</si>
  <si>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</si>
  <si>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</si>
  <si>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</si>
  <si>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</si>
  <si>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</si>
  <si>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</si>
  <si>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</si>
  <si>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</si>
  <si>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</si>
  <si>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</si>
  <si>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</si>
  <si>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</si>
  <si>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</si>
  <si>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</si>
  <si>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</si>
  <si>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</si>
  <si>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</si>
  <si>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</si>
  <si>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</si>
  <si>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</si>
  <si>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</si>
  <si>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</si>
  <si>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</si>
  <si>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</si>
  <si>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</si>
  <si>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</si>
  <si>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</si>
  <si>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</si>
  <si>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</si>
  <si>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</si>
  <si>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</si>
  <si>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</si>
  <si>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</si>
  <si>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</si>
  <si>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</si>
  <si>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</si>
  <si>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</si>
  <si>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</si>
  <si>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</si>
  <si>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</si>
  <si>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</si>
  <si>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</si>
  <si>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</si>
  <si>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</si>
  <si>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</si>
  <si>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</si>
  <si>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</si>
  <si>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</si>
  <si>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</si>
  <si>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</si>
  <si>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</si>
  <si>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</si>
  <si>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</si>
  <si>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</si>
  <si>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</si>
  <si>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</si>
  <si>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</si>
  <si>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</si>
  <si>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</si>
  <si>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</si>
  <si>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</si>
  <si>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</si>
  <si>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</si>
  <si>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</si>
  <si>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</si>
  <si>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</si>
  <si>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</si>
  <si>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</si>
  <si>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</si>
  <si>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</si>
  <si>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</si>
  <si>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</si>
  <si>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</si>
  <si>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</si>
  <si>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</si>
  <si>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</si>
  <si>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</si>
  <si>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</si>
  <si>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</si>
  <si>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</si>
  <si>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</si>
  <si>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</si>
  <si>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</si>
  <si>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</si>
  <si>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</si>
  <si>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</si>
  <si>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</si>
  <si>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</si>
  <si>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</si>
  <si>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</si>
  <si>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</si>
  <si>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</si>
  <si>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</si>
  <si>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</si>
  <si>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</si>
  <si>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</si>
  <si>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</si>
  <si>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</si>
  <si>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</si>
  <si>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</si>
  <si>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</si>
  <si>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</si>
  <si>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</si>
  <si>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</si>
  <si>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</si>
  <si>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</si>
  <si>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</si>
  <si>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</si>
  <si>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</si>
  <si>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</si>
  <si>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</si>
  <si>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</si>
  <si>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</si>
  <si>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</si>
  <si>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</si>
  <si>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</si>
  <si>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</si>
  <si>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</si>
  <si>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</si>
  <si>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</si>
  <si>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</si>
  <si>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</si>
  <si>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</si>
  <si>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</si>
  <si>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</si>
  <si>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</si>
  <si>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</si>
  <si>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</si>
  <si>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</si>
  <si>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</si>
  <si>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</si>
  <si>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</si>
  <si>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</si>
  <si>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</si>
  <si>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</si>
  <si>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</si>
  <si>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</si>
  <si>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</si>
  <si>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</si>
  <si>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</si>
  <si>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</si>
  <si>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</si>
  <si>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</si>
  <si>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</si>
  <si>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</si>
  <si>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</si>
  <si>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</si>
  <si>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</si>
  <si>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</si>
  <si>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</si>
  <si>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</si>
  <si>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</si>
  <si>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</si>
  <si>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</si>
  <si>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</si>
  <si>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</si>
  <si>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</si>
  <si>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</si>
  <si>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</si>
  <si>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</si>
  <si>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</si>
  <si>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</si>
  <si>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</si>
  <si>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</si>
  <si>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</si>
  <si>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</si>
  <si>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</si>
  <si>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</si>
  <si>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</si>
  <si>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</si>
  <si>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</si>
  <si>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</si>
  <si>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</si>
  <si>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</si>
  <si>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</si>
  <si>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</si>
  <si>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</si>
  <si>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</si>
  <si>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</si>
  <si>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</si>
  <si>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</si>
  <si>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</si>
  <si>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</si>
  <si>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</si>
  <si>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</si>
  <si>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</si>
  <si>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</si>
  <si>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</si>
  <si>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</si>
  <si>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</si>
  <si>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</si>
  <si>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</si>
  <si>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</si>
  <si>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</si>
  <si>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</si>
  <si>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</si>
  <si>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</si>
  <si>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</si>
  <si>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</si>
  <si>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</si>
  <si>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</si>
  <si>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</si>
  <si>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</si>
  <si>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</si>
  <si>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</si>
  <si>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</si>
  <si>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</si>
  <si>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</si>
  <si>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</si>
  <si>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</si>
  <si>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</si>
  <si>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</si>
  <si>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</si>
  <si>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</si>
  <si>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</si>
  <si>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</si>
  <si>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</si>
  <si>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</si>
  <si>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</si>
  <si>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</si>
  <si>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</si>
  <si>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</si>
  <si>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</si>
  <si>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</si>
  <si>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</si>
  <si>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</si>
  <si>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</si>
  <si>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</si>
  <si>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</si>
  <si>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</si>
  <si>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</si>
  <si>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</si>
  <si>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</si>
  <si>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</si>
  <si>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</si>
  <si>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</si>
  <si>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</si>
  <si>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</si>
  <si>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</si>
  <si>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</si>
  <si>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</si>
  <si>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</si>
  <si>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</si>
  <si>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</si>
  <si>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</si>
  <si>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</si>
  <si>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</si>
  <si>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</si>
  <si>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</si>
  <si>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</si>
  <si>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</si>
  <si>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</si>
  <si>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</si>
  <si>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</si>
  <si>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</si>
  <si>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</si>
  <si>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</si>
  <si>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</si>
  <si>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</si>
  <si>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</si>
  <si>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</si>
  <si>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</si>
  <si>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</si>
  <si>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</si>
  <si>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</si>
  <si>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</si>
  <si>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</si>
  <si>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</si>
  <si>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</si>
  <si>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</si>
  <si>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</si>
  <si>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</si>
  <si>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</si>
  <si>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</si>
  <si>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</si>
  <si>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</si>
  <si>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</si>
  <si>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</si>
  <si>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</si>
  <si>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</si>
  <si>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</si>
  <si>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</si>
  <si>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</si>
  <si>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</si>
  <si>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</si>
  <si>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</si>
  <si>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</si>
  <si>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</si>
  <si>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</si>
  <si>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</si>
  <si>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</si>
  <si>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</si>
  <si>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</si>
  <si>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</si>
  <si>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</si>
  <si>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</si>
  <si>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</si>
  <si>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</si>
  <si>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</si>
  <si>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</si>
  <si>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</si>
  <si>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</si>
  <si>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</si>
  <si>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</si>
  <si>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</si>
  <si>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</si>
  <si>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</si>
  <si>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</si>
  <si>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</si>
  <si>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</si>
  <si>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</si>
  <si>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</si>
  <si>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</si>
  <si>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</si>
  <si>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</si>
  <si>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</si>
  <si>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</si>
  <si>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</si>
  <si>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</si>
  <si>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</si>
  <si>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</si>
  <si>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</si>
  <si>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</si>
  <si>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</si>
  <si>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</si>
  <si>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</si>
  <si>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</si>
  <si>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</si>
  <si>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</si>
  <si>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</si>
  <si>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</si>
  <si>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</si>
  <si>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</si>
  <si>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</si>
  <si>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</si>
  <si>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</si>
  <si>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</si>
  <si>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</si>
  <si>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</si>
  <si>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</si>
  <si>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</si>
  <si>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</si>
  <si>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</si>
  <si>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</si>
  <si>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</si>
  <si>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</si>
  <si>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</si>
  <si>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</si>
  <si>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</si>
  <si>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</si>
  <si>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</si>
  <si>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</si>
  <si>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</si>
  <si>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</si>
  <si>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</si>
  <si>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</si>
  <si>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</si>
  <si>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</si>
  <si>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</si>
  <si>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</si>
  <si>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</si>
  <si>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</si>
  <si>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</si>
  <si>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</si>
  <si>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</si>
  <si>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</si>
  <si>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</si>
  <si>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</si>
  <si>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</si>
  <si>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</si>
  <si>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</si>
  <si>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</si>
  <si>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</si>
  <si>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</si>
  <si>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</si>
  <si>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</si>
  <si>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</si>
  <si>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</si>
  <si>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</si>
  <si>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</si>
  <si>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</si>
  <si>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</si>
  <si>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</si>
  <si>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</si>
  <si>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</si>
  <si>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</si>
  <si>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</si>
  <si>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</si>
  <si>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</si>
  <si>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</si>
  <si>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</si>
  <si>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</si>
  <si>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</si>
  <si>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</si>
  <si>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</si>
  <si>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</si>
  <si>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</si>
  <si>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</si>
  <si>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</si>
  <si>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</si>
  <si>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</si>
  <si>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</si>
  <si>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</si>
  <si>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</si>
  <si>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</si>
  <si>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</si>
  <si>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</si>
  <si>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</si>
  <si>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</si>
  <si>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</si>
  <si>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</si>
  <si>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</si>
  <si>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</si>
  <si>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</si>
  <si>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</si>
  <si>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</si>
  <si>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</si>
  <si>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</si>
  <si>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</si>
  <si>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</si>
  <si>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</si>
  <si>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</si>
  <si>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</si>
  <si>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</si>
  <si>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</si>
  <si>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</si>
  <si>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</si>
  <si>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</si>
  <si>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</si>
  <si>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</si>
  <si>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</si>
  <si>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</si>
  <si>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</si>
  <si>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</si>
  <si>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</si>
  <si>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</si>
  <si>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</si>
  <si>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</si>
  <si>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</si>
  <si>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</si>
  <si>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</si>
  <si>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</si>
  <si>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</si>
  <si>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</si>
  <si>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</si>
  <si>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</si>
  <si>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</si>
  <si>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</si>
  <si>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</si>
  <si>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</si>
  <si>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</si>
  <si>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</si>
  <si>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</si>
  <si>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</si>
  <si>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</si>
  <si>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</si>
  <si>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</si>
  <si>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</si>
  <si>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</si>
  <si>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</si>
  <si>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</si>
  <si>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</si>
  <si>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</si>
  <si>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</si>
  <si>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</si>
  <si>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</si>
  <si>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</si>
  <si>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</si>
  <si>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</si>
  <si>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</si>
  <si>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</si>
  <si>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</si>
  <si>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</si>
  <si>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</si>
  <si>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</si>
  <si>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</si>
  <si>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</si>
  <si>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</si>
  <si>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</si>
  <si>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</si>
  <si>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</si>
  <si>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</si>
  <si>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</si>
  <si>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</si>
  <si>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</si>
  <si>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</si>
  <si>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</si>
  <si>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</si>
  <si>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</si>
  <si>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</si>
  <si>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</si>
  <si>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</si>
  <si>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</si>
  <si>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</si>
  <si>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</si>
  <si>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</si>
  <si>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</si>
  <si>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</si>
  <si>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</si>
  <si>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</si>
  <si>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</si>
  <si>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</si>
  <si>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</si>
  <si>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</si>
  <si>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</si>
  <si>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</si>
  <si>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</si>
  <si>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</si>
  <si>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</si>
  <si>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</si>
  <si>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</si>
  <si>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</si>
  <si>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</si>
  <si>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</si>
  <si>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</si>
  <si>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</si>
  <si>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</si>
  <si>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</si>
  <si>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</si>
  <si>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</si>
  <si>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</si>
  <si>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</si>
  <si>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</si>
  <si>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</si>
  <si>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</si>
  <si>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</si>
  <si>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</si>
  <si>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</si>
  <si>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</si>
  <si>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</si>
  <si>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</si>
  <si>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</si>
  <si>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</si>
  <si>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</si>
  <si>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</si>
  <si>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</si>
  <si>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</si>
  <si>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</si>
  <si>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</si>
  <si>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</si>
  <si>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</si>
  <si>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</si>
  <si>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</si>
  <si>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</si>
  <si>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</si>
  <si>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</si>
  <si>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</si>
  <si>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</si>
  <si>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</si>
  <si>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</si>
  <si>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</si>
  <si>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</si>
  <si>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</si>
  <si>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</si>
  <si>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</si>
  <si>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</si>
  <si>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</si>
  <si>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</si>
  <si>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</si>
  <si>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</si>
  <si>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</si>
  <si>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</si>
  <si>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</si>
  <si>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</si>
  <si>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</si>
  <si>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</si>
  <si>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</si>
  <si>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</si>
  <si>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</si>
  <si>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</si>
  <si>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</si>
  <si>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</si>
  <si>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</si>
  <si>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</si>
  <si>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</si>
  <si>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</si>
  <si>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</si>
  <si>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</si>
  <si>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</si>
  <si>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</si>
  <si>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</si>
  <si>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</si>
  <si>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</si>
  <si>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</si>
  <si>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</si>
  <si>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</si>
  <si>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</si>
  <si>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</si>
  <si>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</si>
  <si>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</si>
  <si>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</si>
  <si>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</si>
  <si>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</si>
  <si>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</si>
  <si>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</si>
  <si>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</si>
  <si>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</si>
  <si>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</si>
  <si>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</si>
  <si>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</si>
  <si>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</si>
  <si>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</si>
  <si>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</si>
  <si>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</si>
  <si>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</si>
  <si>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</si>
  <si>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</si>
  <si>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</si>
  <si>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</si>
  <si>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</si>
  <si>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</si>
  <si>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</si>
  <si>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</si>
  <si>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</si>
  <si>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</si>
  <si>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</si>
  <si>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</si>
  <si>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</si>
  <si>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</si>
  <si>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</si>
  <si>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</si>
  <si>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</si>
  <si>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</si>
  <si>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</si>
  <si>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</si>
  <si>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</si>
  <si>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</si>
  <si>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</si>
  <si>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</si>
  <si>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</si>
  <si>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</si>
  <si>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</si>
  <si>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</si>
  <si>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</si>
  <si>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</si>
  <si>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</si>
  <si>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</si>
  <si>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</si>
  <si>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</si>
  <si>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</si>
  <si>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</si>
  <si>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</si>
  <si>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</si>
  <si>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</si>
  <si>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</si>
  <si>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</si>
  <si>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</si>
  <si>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</si>
  <si>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</si>
  <si>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</si>
  <si>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</si>
  <si>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</si>
  <si>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</si>
  <si>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</si>
  <si>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</si>
  <si>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</si>
  <si>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</si>
  <si>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</si>
  <si>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</si>
  <si>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</si>
  <si>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</si>
  <si>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</si>
  <si>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</si>
  <si>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</si>
  <si>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</si>
  <si>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</si>
  <si>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</si>
  <si>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</si>
  <si>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</si>
  <si>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</si>
  <si>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</si>
  <si>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</si>
  <si>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</si>
  <si>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</si>
  <si>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</si>
  <si>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</si>
  <si>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</si>
  <si>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</si>
  <si>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</si>
  <si>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</si>
  <si>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</si>
  <si>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</si>
  <si>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</si>
  <si>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</si>
  <si>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</si>
  <si>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</si>
  <si>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</si>
  <si>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</si>
  <si>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</si>
  <si>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</si>
  <si>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</si>
  <si>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</si>
  <si>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</si>
  <si>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</si>
  <si>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</si>
  <si>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</si>
  <si>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</si>
  <si>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</si>
  <si>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</si>
  <si>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</si>
  <si>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</si>
  <si>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</si>
  <si>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</si>
  <si>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</si>
  <si>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</si>
  <si>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</si>
  <si>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</si>
  <si>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</si>
  <si>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</si>
  <si>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</si>
  <si>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</si>
  <si>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</si>
  <si>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</si>
  <si>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</si>
  <si>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</si>
  <si>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</si>
  <si>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</si>
  <si>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</si>
  <si>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</si>
  <si>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</si>
  <si>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</si>
  <si>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</si>
  <si>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</si>
  <si>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</si>
  <si>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</si>
  <si>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</si>
  <si>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</si>
  <si>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</si>
  <si>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</si>
  <si>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</si>
  <si>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</si>
  <si>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</si>
  <si>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</si>
  <si>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</si>
  <si>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</si>
  <si>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</si>
  <si>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</si>
  <si>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</si>
  <si>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</si>
  <si>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</si>
  <si>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</si>
  <si>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</si>
  <si>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</si>
  <si>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</si>
  <si>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</si>
  <si>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</si>
  <si>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</si>
  <si>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</si>
  <si>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</si>
  <si>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</si>
  <si>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</si>
  <si>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</si>
  <si>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</si>
  <si>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</si>
  <si>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</si>
  <si>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</si>
  <si>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</si>
  <si>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</si>
  <si>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</si>
  <si>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</si>
  <si>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</si>
  <si>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</si>
  <si>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</si>
  <si>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</si>
  <si>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</si>
  <si>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</si>
  <si>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</si>
  <si>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</si>
  <si>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</si>
  <si>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</si>
  <si>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</si>
  <si>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</si>
  <si>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</si>
  <si>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</si>
  <si>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</si>
  <si>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</si>
  <si>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</si>
  <si>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</si>
  <si>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</si>
  <si>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</si>
  <si>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</si>
  <si>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</si>
  <si>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</si>
  <si>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</si>
  <si>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</si>
  <si>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</si>
  <si>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</si>
  <si>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</si>
  <si>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</si>
  <si>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</si>
  <si>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</si>
  <si>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</si>
  <si>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</si>
  <si>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</si>
  <si>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</si>
  <si>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</si>
  <si>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</si>
  <si>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</si>
  <si>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</si>
  <si>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</si>
  <si>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</si>
  <si>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</si>
  <si>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</si>
  <si>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</si>
  <si>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</si>
  <si>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</si>
  <si>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</si>
  <si>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</si>
  <si>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</si>
  <si>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</si>
  <si>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</si>
  <si>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</si>
  <si>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</si>
  <si>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</si>
  <si>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</si>
  <si>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</si>
  <si>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</si>
  <si>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</si>
  <si>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</si>
  <si>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</si>
  <si>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</si>
  <si>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</si>
  <si>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</si>
  <si>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</si>
  <si>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</si>
  <si>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</si>
  <si>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</si>
  <si>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</si>
  <si>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</si>
  <si>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</si>
  <si>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</si>
  <si>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</si>
  <si>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</si>
  <si>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</si>
  <si>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</si>
  <si>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</si>
  <si>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</si>
  <si>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</si>
  <si>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</si>
  <si>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</si>
  <si>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</si>
  <si>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</si>
  <si>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</si>
  <si>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</si>
  <si>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</si>
  <si>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</si>
  <si>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</si>
  <si>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</si>
  <si>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</si>
  <si>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</si>
  <si>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</si>
  <si>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</si>
  <si>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</si>
  <si>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</si>
  <si>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</si>
  <si>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</si>
  <si>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</si>
  <si>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</si>
  <si>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</si>
  <si>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</si>
  <si>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</si>
  <si>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</si>
  <si>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</si>
  <si>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</si>
  <si>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</si>
  <si>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</si>
  <si>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</si>
  <si>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</si>
  <si>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</si>
  <si>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</si>
  <si>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</si>
  <si>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</si>
  <si>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</si>
  <si>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</si>
  <si>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</si>
  <si>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</si>
  <si>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</si>
  <si>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</si>
  <si>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</si>
  <si>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</si>
  <si>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</si>
  <si>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</si>
  <si>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</si>
  <si>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</si>
  <si>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</si>
  <si>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</si>
  <si>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</si>
  <si>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</si>
  <si>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</si>
  <si>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</si>
  <si>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</si>
  <si>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</si>
  <si>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</si>
  <si>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</si>
  <si>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</si>
  <si>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</si>
  <si>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</si>
  <si>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</si>
  <si>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</si>
  <si>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</si>
  <si>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</si>
  <si>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</si>
  <si>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</si>
  <si>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</si>
  <si>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</si>
  <si>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</si>
  <si>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</si>
  <si>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</si>
  <si>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</si>
  <si>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</si>
  <si>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</si>
  <si>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</si>
  <si>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</si>
  <si>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</si>
  <si>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</si>
  <si>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</si>
  <si>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</si>
  <si>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</si>
  <si>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</si>
  <si>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</si>
  <si>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</si>
  <si>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</si>
  <si>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</si>
  <si>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</si>
  <si>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</si>
  <si>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</si>
  <si>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</si>
  <si>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</si>
  <si>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</si>
  <si>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</si>
  <si>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</si>
  <si>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</si>
  <si>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</si>
  <si>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</si>
  <si>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</si>
  <si>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</si>
  <si>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</si>
  <si>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</si>
  <si>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</si>
  <si>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</si>
  <si>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</si>
  <si>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</si>
  <si>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</si>
  <si>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</si>
  <si>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</si>
  <si>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</si>
  <si>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</si>
  <si>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</si>
  <si>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</si>
  <si>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</si>
  <si>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</si>
  <si>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</si>
  <si>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</si>
  <si>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</si>
  <si>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</si>
  <si>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</si>
  <si>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</si>
  <si>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</si>
  <si>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</si>
  <si>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</si>
  <si>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</si>
  <si>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</si>
  <si>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</si>
  <si>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</si>
  <si>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</si>
  <si>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</si>
  <si>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</si>
  <si>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</si>
  <si>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</si>
  <si>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</si>
  <si>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</si>
  <si>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</si>
  <si>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</si>
  <si>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</si>
  <si>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</si>
  <si>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</si>
  <si>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</si>
  <si>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</si>
  <si>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</si>
  <si>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</si>
  <si>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</si>
  <si>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</si>
  <si>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</si>
  <si>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</si>
  <si>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</si>
  <si>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</si>
  <si>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</si>
  <si>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</si>
  <si>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</si>
  <si>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</si>
  <si>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</si>
  <si>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</si>
  <si>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</si>
  <si>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</si>
  <si>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</si>
  <si>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</si>
  <si>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</si>
  <si>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</si>
  <si>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</si>
  <si>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</si>
  <si>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</si>
  <si>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</si>
  <si>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</si>
  <si>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</si>
  <si>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</si>
  <si>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</si>
  <si>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</si>
  <si>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</si>
  <si>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</si>
  <si>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</si>
  <si>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</si>
  <si>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</si>
  <si>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FranzÅ¡sisch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</si>
  <si>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</si>
  <si>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</si>
  <si>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</si>
  <si>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</si>
  <si>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</si>
  <si>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</si>
  <si>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</si>
  <si>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</si>
  <si>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</si>
  <si>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</si>
  <si>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</si>
  <si>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</si>
  <si>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</si>
  <si>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</si>
  <si>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</si>
  <si>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</si>
  <si>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</si>
  <si>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</si>
  <si>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</si>
  <si>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</si>
  <si>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</si>
  <si>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</si>
  <si>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</si>
  <si>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</si>
  <si>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</si>
  <si>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</si>
  <si>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</si>
  <si>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</si>
  <si>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</si>
  <si>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</si>
  <si>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</si>
  <si>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</si>
  <si>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</si>
  <si>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</si>
  <si>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</si>
  <si>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</si>
  <si>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</si>
  <si>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</si>
  <si>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</si>
  <si>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</si>
  <si>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</si>
  <si>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</si>
  <si>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</si>
  <si>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</si>
  <si>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</si>
  <si>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</si>
  <si>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</si>
  <si>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</si>
  <si>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</si>
  <si>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</si>
  <si>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</si>
  <si>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</si>
  <si>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</si>
  <si>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</si>
  <si>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</si>
  <si>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</si>
  <si>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</si>
  <si>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</si>
  <si>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</si>
  <si>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</si>
  <si>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</si>
  <si>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</si>
  <si>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</si>
  <si>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</si>
  <si>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</si>
  <si>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</si>
  <si>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</si>
  <si>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</si>
  <si>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</si>
  <si>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</si>
  <si>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</si>
  <si>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</si>
  <si>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</si>
  <si>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</si>
  <si>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</si>
  <si>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</si>
  <si>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</si>
  <si>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</si>
  <si>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</si>
  <si>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</si>
  <si>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</si>
  <si>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</si>
  <si>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</si>
  <si>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</si>
  <si>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</si>
  <si>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</si>
  <si>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</si>
  <si>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</si>
  <si>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</si>
  <si>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</si>
  <si>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</si>
  <si>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</si>
  <si>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</si>
  <si>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</si>
  <si>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</si>
  <si>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</si>
  <si>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</si>
  <si>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</si>
  <si>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</si>
  <si>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</si>
  <si>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</si>
  <si>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</si>
  <si>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</si>
  <si>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</si>
  <si>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</si>
  <si>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</si>
  <si>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</si>
  <si>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</si>
  <si>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</si>
  <si>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</si>
  <si>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</si>
  <si>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</si>
  <si>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</si>
  <si>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</si>
  <si>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</si>
  <si>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</si>
  <si>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</si>
  <si>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</si>
  <si>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</si>
  <si>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</si>
  <si>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</si>
  <si>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</si>
  <si>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</si>
  <si>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</si>
  <si>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</si>
  <si>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</si>
  <si>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</si>
  <si>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</si>
  <si>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</si>
  <si>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</si>
  <si>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</si>
  <si>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</si>
  <si>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</si>
  <si>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</si>
  <si>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</si>
  <si>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</si>
  <si>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</si>
  <si>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</si>
  <si>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</si>
  <si>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</si>
  <si>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</si>
  <si>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</si>
  <si>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</si>
  <si>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</si>
  <si>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</si>
  <si>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</si>
  <si>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</si>
  <si>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</si>
  <si>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</si>
  <si>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</si>
  <si>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</si>
  <si>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</si>
  <si>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</si>
  <si>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</si>
  <si>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</si>
  <si>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</si>
  <si>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</si>
  <si>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</si>
  <si>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</si>
  <si>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</si>
  <si>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</si>
  <si>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</si>
  <si>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</si>
  <si>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</si>
  <si>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</si>
  <si>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</si>
  <si>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</si>
  <si>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</si>
  <si>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</si>
  <si>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</si>
  <si>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</si>
  <si>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</si>
  <si>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</si>
  <si>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</si>
  <si>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</si>
  <si>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</si>
  <si>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</si>
  <si>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</si>
  <si>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</si>
  <si>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</si>
  <si>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</si>
  <si>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</si>
  <si>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</si>
  <si>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</si>
  <si>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</si>
  <si>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</si>
  <si>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</si>
  <si>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</si>
  <si>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</si>
  <si>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</si>
  <si>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</si>
  <si>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</si>
  <si>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</si>
  <si>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</si>
  <si>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</si>
  <si>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</si>
  <si>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</si>
  <si>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</si>
  <si>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</si>
  <si>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</si>
  <si>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</si>
  <si>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</si>
  <si>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</si>
  <si>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</si>
  <si>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</si>
  <si>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</si>
  <si>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</si>
  <si>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</si>
  <si>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</si>
  <si>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</si>
  <si>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</si>
  <si>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</si>
  <si>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</si>
  <si>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</si>
  <si>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</si>
  <si>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</si>
  <si>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</si>
  <si>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</si>
  <si>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</si>
  <si>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</si>
  <si>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</si>
  <si>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</si>
  <si>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</si>
  <si>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</si>
  <si>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</si>
  <si>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</si>
  <si>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</si>
  <si>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</si>
  <si>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</si>
  <si>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</si>
  <si>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</si>
  <si>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</si>
  <si>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</si>
  <si>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</si>
  <si>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</si>
  <si>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</si>
  <si>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</si>
  <si>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</si>
  <si>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</si>
  <si>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</si>
  <si>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</si>
  <si>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</si>
  <si>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</si>
  <si>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</si>
  <si>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</si>
  <si>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</si>
  <si>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</si>
  <si>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</si>
  <si>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</si>
  <si>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</si>
  <si>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</si>
  <si>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</si>
  <si>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</si>
  <si>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</si>
  <si>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</si>
  <si>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</si>
  <si>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</si>
  <si>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</si>
  <si>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</si>
  <si>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</si>
  <si>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</si>
  <si>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</si>
  <si>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</si>
  <si>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</si>
  <si>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</si>
  <si>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</si>
  <si>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</si>
  <si>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</si>
  <si>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</si>
  <si>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</si>
  <si>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</si>
  <si>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</si>
  <si>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</si>
  <si>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</si>
  <si>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</si>
  <si>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</si>
  <si>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</si>
  <si>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</si>
  <si>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</si>
  <si>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</si>
  <si>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</si>
  <si>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</si>
  <si>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</si>
  <si>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</si>
  <si>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</si>
  <si>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</si>
  <si>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</si>
  <si>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</si>
  <si>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</si>
  <si>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</si>
  <si>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</si>
  <si>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</si>
  <si>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</si>
  <si>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</si>
  <si>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</si>
  <si>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</si>
  <si>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</si>
  <si>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</si>
  <si>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</si>
  <si>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</si>
  <si>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</si>
  <si>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</si>
  <si>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</si>
  <si>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</si>
  <si>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</si>
  <si>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</si>
  <si>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</si>
  <si>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</si>
  <si>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</si>
  <si>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</si>
  <si>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</si>
  <si>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</si>
  <si>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</si>
  <si>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</si>
  <si>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</si>
  <si>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</si>
  <si>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</si>
  <si>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</si>
  <si>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</si>
  <si>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</si>
  <si>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</si>
  <si>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</si>
  <si>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</si>
  <si>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</si>
  <si>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</si>
  <si>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</si>
  <si>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</si>
  <si>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</si>
  <si>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</si>
  <si>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</si>
  <si>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</si>
  <si>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</si>
  <si>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</si>
  <si>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</si>
  <si>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</si>
  <si>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</si>
  <si>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</si>
  <si>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</si>
  <si>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</si>
  <si>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</si>
  <si>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</si>
  <si>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</si>
  <si>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</si>
  <si>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</si>
  <si>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</si>
  <si>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</si>
  <si>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</si>
  <si>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</si>
  <si>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</si>
  <si>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</si>
  <si>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</si>
  <si>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</si>
  <si>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</si>
  <si>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</si>
  <si>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</si>
  <si>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</si>
  <si>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</si>
  <si>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</si>
  <si>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</si>
  <si>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</si>
  <si>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</si>
  <si>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</si>
  <si>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</si>
  <si>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</si>
  <si>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</si>
  <si>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</si>
  <si>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</si>
  <si>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</si>
  <si>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</si>
  <si>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</si>
  <si>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</si>
  <si>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</si>
  <si>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</si>
  <si>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</si>
  <si>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</si>
  <si>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</si>
  <si>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</si>
  <si>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</si>
  <si>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</si>
  <si>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</si>
  <si>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</si>
  <si>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</si>
  <si>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</si>
  <si>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</si>
  <si>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</si>
  <si>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</si>
  <si>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</si>
  <si>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</si>
  <si>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</si>
  <si>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</si>
  <si>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</si>
  <si>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</si>
  <si>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</si>
  <si>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</si>
  <si>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</si>
  <si>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</si>
  <si>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</si>
  <si>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</si>
  <si>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</si>
  <si>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</si>
  <si>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</si>
  <si>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</si>
  <si>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</si>
  <si>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</si>
  <si>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</si>
  <si>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</si>
  <si>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</si>
  <si>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</si>
  <si>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</si>
  <si>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</si>
  <si>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</si>
  <si>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</si>
  <si>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</si>
  <si>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</si>
  <si>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</si>
  <si>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</si>
  <si>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</si>
  <si>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</si>
  <si>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</si>
  <si>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</si>
  <si>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</si>
  <si>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</si>
  <si>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</si>
  <si>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</si>
  <si>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</si>
  <si>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</si>
  <si>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</si>
  <si>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</si>
  <si>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</si>
  <si>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</si>
  <si>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</si>
  <si>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</si>
  <si>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</si>
  <si>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</si>
  <si>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</si>
  <si>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</si>
  <si>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</si>
  <si>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</si>
  <si>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</si>
  <si>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</si>
  <si>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</si>
  <si>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</si>
  <si>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</si>
  <si>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</si>
  <si>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</si>
  <si>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</si>
  <si>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</si>
  <si>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</si>
  <si>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</si>
  <si>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</si>
  <si>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</si>
  <si>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</si>
  <si>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</si>
  <si>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</si>
  <si>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</si>
  <si>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</si>
  <si>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</si>
  <si>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</si>
  <si>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</si>
  <si>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</si>
  <si>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</si>
  <si>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</si>
  <si>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</si>
  <si>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</si>
  <si>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</si>
  <si>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</si>
  <si>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</si>
  <si>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</si>
  <si>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</si>
  <si>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</si>
  <si>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</si>
  <si>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</si>
  <si>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</si>
  <si>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</si>
  <si>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</si>
  <si>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</si>
  <si>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</si>
  <si>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</si>
  <si>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</si>
  <si>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</si>
  <si>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</si>
  <si>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</si>
  <si>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</si>
  <si>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</si>
  <si>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</si>
  <si>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</si>
  <si>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</si>
  <si>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</si>
  <si>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</si>
  <si>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</si>
  <si>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</si>
  <si>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</si>
  <si>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</si>
  <si>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</si>
  <si>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</si>
  <si>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</si>
  <si>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</si>
  <si>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</si>
  <si>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</si>
  <si>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</si>
  <si>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</si>
  <si>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</si>
  <si>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</si>
  <si>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</si>
  <si>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</si>
  <si>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</si>
  <si>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</si>
  <si>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</si>
  <si>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</si>
  <si>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</si>
  <si>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</si>
  <si>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</si>
  <si>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</si>
  <si>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</si>
  <si>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</si>
  <si>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</si>
  <si>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</si>
  <si>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</si>
  <si>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</si>
  <si>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</si>
  <si>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</si>
  <si>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</si>
  <si>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</si>
  <si>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</si>
  <si>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</si>
  <si>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</si>
  <si>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</si>
  <si>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</si>
  <si>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</si>
  <si>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</si>
  <si>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</si>
  <si>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</si>
  <si>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</si>
  <si>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</si>
  <si>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</si>
  <si>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</si>
  <si>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</si>
  <si>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</si>
  <si>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</si>
  <si>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</si>
  <si>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</si>
  <si>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</si>
  <si>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</si>
  <si>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</si>
  <si>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</si>
  <si>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</si>
  <si>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</si>
  <si>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</si>
  <si>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</si>
  <si>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</si>
  <si>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</si>
  <si>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</si>
  <si>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</si>
  <si>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</si>
  <si>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</si>
  <si>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</si>
  <si>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</si>
  <si>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</si>
  <si>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</si>
  <si>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</si>
  <si>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</si>
  <si>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</si>
  <si>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</si>
  <si>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</si>
  <si>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</si>
  <si>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</si>
  <si>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</si>
  <si>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</si>
  <si>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</si>
  <si>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</si>
  <si>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</si>
  <si>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</si>
  <si>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</si>
  <si>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</si>
  <si>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</si>
  <si>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</si>
  <si>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</si>
  <si>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</si>
  <si>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</si>
  <si>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</si>
  <si>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</si>
  <si>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</si>
  <si>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</si>
  <si>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</si>
  <si>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</si>
  <si>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</si>
  <si>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</si>
  <si>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</si>
  <si>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</si>
  <si>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</si>
  <si>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</si>
  <si>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</si>
  <si>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</si>
  <si>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</si>
  <si>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</si>
  <si>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</si>
  <si>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</si>
  <si>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</si>
  <si>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</si>
  <si>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</si>
  <si>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</si>
  <si>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</si>
  <si>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</si>
  <si>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</si>
  <si>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</si>
  <si>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</si>
  <si>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</si>
  <si>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</si>
  <si>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</si>
  <si>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</si>
  <si>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</si>
  <si>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</si>
  <si>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</si>
  <si>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</si>
  <si>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</si>
  <si>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</si>
  <si>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</si>
  <si>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</si>
  <si>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</si>
  <si>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</si>
  <si>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</si>
  <si>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</si>
  <si>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</si>
  <si>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</si>
  <si>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</si>
  <si>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</si>
  <si>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</si>
  <si>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</si>
  <si>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</si>
  <si>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</si>
  <si>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</si>
  <si>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</si>
  <si>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</si>
  <si>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</si>
  <si>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</si>
  <si>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</si>
  <si>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</si>
  <si>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</si>
  <si>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</si>
  <si>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</si>
  <si>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</si>
  <si>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</si>
  <si>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</si>
  <si>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</si>
  <si>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</si>
  <si>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</si>
  <si>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</si>
  <si>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</si>
  <si>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</si>
  <si>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</si>
  <si>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</si>
  <si>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</si>
  <si>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</si>
  <si>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</si>
  <si>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</si>
  <si>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</si>
  <si>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</si>
  <si>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</si>
  <si>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</si>
  <si>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</si>
  <si>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</si>
  <si>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</si>
  <si>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</si>
  <si>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</si>
  <si>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</si>
  <si>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</si>
  <si>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</si>
  <si>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</si>
  <si>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</si>
  <si>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</si>
  <si>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</si>
  <si>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</si>
  <si>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</si>
  <si>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</si>
  <si>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</si>
  <si>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</si>
  <si>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</si>
  <si>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</si>
  <si>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</si>
  <si>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</si>
  <si>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</si>
  <si>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</si>
  <si>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</si>
  <si>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</si>
  <si>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</si>
  <si>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</si>
  <si>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</si>
  <si>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</si>
  <si>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</si>
  <si>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</si>
  <si>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</si>
  <si>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</si>
  <si>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</si>
  <si>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</si>
  <si>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</si>
  <si>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</si>
  <si>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</si>
  <si>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</si>
  <si>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</si>
  <si>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</si>
  <si>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</si>
  <si>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</si>
  <si>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</si>
  <si>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</si>
  <si>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</si>
  <si>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</si>
  <si>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</si>
  <si>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</si>
  <si>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</si>
  <si>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</si>
  <si>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</si>
  <si>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</si>
  <si>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</si>
  <si>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</si>
  <si>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</si>
  <si>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</si>
  <si>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</si>
  <si>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</si>
  <si>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</si>
  <si>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HÅ 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</si>
  <si>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</si>
  <si>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</si>
  <si>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</si>
  <si>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</si>
  <si>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</si>
  <si>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</si>
  <si>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</si>
  <si>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</si>
  <si>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</si>
  <si>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</si>
  <si>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</si>
  <si>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</si>
  <si>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</si>
  <si>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</si>
  <si>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</si>
  <si>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</si>
  <si>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</si>
  <si>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</si>
  <si>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</si>
  <si>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</si>
  <si>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</si>
  <si>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</si>
  <si>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</si>
  <si>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</si>
  <si>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</si>
  <si>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</si>
  <si>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</si>
  <si>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</si>
  <si>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</si>
  <si>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</si>
  <si>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</si>
  <si>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</si>
  <si>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</si>
  <si>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</si>
  <si>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</si>
  <si>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</si>
  <si>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</si>
  <si>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</si>
  <si>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</si>
  <si>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</si>
  <si>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</si>
  <si>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</si>
  <si>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</si>
  <si>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</si>
  <si>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</si>
  <si>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</si>
  <si>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</si>
  <si>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</si>
  <si>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</si>
  <si>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</si>
  <si>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</si>
  <si>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</si>
  <si>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</si>
  <si>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</si>
  <si>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</si>
  <si>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</si>
  <si>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</si>
  <si>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</si>
  <si>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</si>
  <si>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</si>
  <si>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</si>
  <si>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</si>
  <si>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</si>
  <si>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</si>
  <si>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</si>
  <si>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</si>
  <si>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</si>
  <si>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</si>
  <si>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</si>
  <si>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</si>
  <si>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</si>
  <si>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</si>
  <si>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</si>
  <si>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</si>
  <si>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</si>
  <si>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</si>
  <si>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</si>
  <si>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</si>
  <si>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</si>
  <si>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</si>
  <si>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</si>
  <si>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</si>
  <si>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</si>
  <si>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</si>
  <si>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</si>
  <si>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</si>
  <si>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</si>
  <si>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</si>
  <si>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</si>
  <si>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</si>
  <si>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</si>
  <si>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</si>
  <si>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</si>
  <si>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</si>
  <si>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</si>
  <si>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</si>
  <si>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</si>
  <si>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</si>
  <si>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</si>
  <si>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</si>
  <si>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</si>
  <si>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</si>
  <si>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</si>
  <si>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</si>
  <si>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</si>
  <si>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</si>
  <si>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</si>
  <si>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</si>
  <si>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</si>
  <si>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</si>
  <si>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</si>
  <si>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</si>
  <si>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</si>
  <si>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</si>
  <si>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</si>
  <si>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</si>
  <si>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</si>
  <si>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</si>
  <si>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</si>
  <si>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</si>
  <si>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</si>
  <si>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</si>
  <si>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</si>
  <si>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</si>
  <si>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</si>
  <si>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</si>
  <si>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</si>
  <si>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</si>
  <si>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</si>
  <si>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</si>
  <si>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</si>
  <si>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</si>
  <si>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</si>
  <si>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</si>
  <si>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</si>
  <si>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</si>
  <si>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</si>
  <si>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</si>
  <si>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</si>
  <si>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</si>
  <si>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</si>
  <si>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</si>
  <si>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</si>
  <si>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</si>
  <si>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</si>
  <si>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</si>
  <si>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</si>
  <si>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</si>
  <si>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</si>
  <si>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</si>
  <si>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</si>
  <si>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</si>
  <si>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</si>
  <si>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</si>
  <si>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</si>
  <si>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</si>
  <si>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</si>
  <si>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</si>
  <si>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</si>
  <si>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</si>
  <si>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</si>
  <si>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</si>
  <si>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</si>
  <si>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</si>
  <si>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</si>
  <si>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</si>
  <si>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</si>
  <si>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</si>
  <si>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</si>
  <si>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</si>
  <si>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</si>
  <si>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</si>
  <si>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</si>
  <si>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</si>
  <si>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</si>
  <si>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</si>
  <si>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</si>
  <si>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</si>
  <si>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</si>
  <si>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</si>
  <si>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</si>
  <si>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</si>
  <si>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</si>
  <si>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</si>
  <si>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</si>
  <si>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</si>
  <si>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</si>
  <si>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</si>
  <si>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</si>
  <si>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</si>
  <si>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</si>
  <si>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</si>
  <si>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</si>
  <si>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</si>
  <si>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</si>
  <si>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</si>
  <si>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</si>
  <si>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</si>
  <si>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</si>
  <si>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</si>
  <si>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</si>
  <si>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</si>
  <si>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</si>
  <si>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</si>
  <si>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</si>
  <si>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</si>
  <si>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</si>
  <si>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</si>
  <si>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</si>
  <si>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</si>
  <si>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</si>
  <si>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</si>
  <si>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</si>
  <si>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</si>
  <si>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</si>
  <si>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</si>
  <si>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</si>
  <si>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</si>
  <si>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</si>
  <si>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</si>
  <si>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</si>
  <si>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</si>
  <si>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</si>
  <si>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</si>
  <si>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</si>
  <si>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</si>
  <si>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</si>
  <si>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</si>
  <si>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</si>
  <si>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</si>
  <si>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</si>
  <si>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</si>
  <si>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</si>
  <si>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</si>
  <si>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</si>
  <si>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</si>
  <si>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</si>
  <si>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</si>
  <si>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</si>
  <si>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</si>
  <si>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</si>
  <si>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</si>
  <si>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</si>
  <si>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</si>
  <si>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</si>
  <si>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</si>
  <si>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</si>
  <si>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</si>
  <si>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</si>
  <si>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</si>
  <si>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</si>
  <si>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</si>
  <si>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</si>
  <si>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</si>
  <si>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</si>
  <si>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</si>
  <si>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</si>
  <si>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</si>
  <si>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</si>
  <si>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</si>
  <si>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</si>
  <si>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</si>
  <si>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</si>
  <si>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</si>
  <si>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</si>
  <si>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</si>
  <si>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</si>
  <si>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</si>
  <si>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</si>
  <si>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</si>
  <si>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</si>
  <si>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</si>
  <si>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</si>
  <si>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</si>
  <si>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</si>
  <si>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</si>
  <si>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</si>
  <si>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</si>
  <si>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</si>
  <si>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</si>
  <si>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</si>
  <si>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</si>
  <si>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</si>
  <si>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</si>
  <si>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</si>
  <si>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</si>
  <si>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</si>
  <si>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</si>
  <si>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</si>
  <si>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</si>
  <si>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</si>
  <si>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</si>
  <si>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</si>
  <si>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</si>
  <si>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</si>
  <si>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</si>
  <si>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</si>
  <si>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</si>
  <si>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</si>
  <si>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</si>
  <si>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</si>
  <si>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</si>
  <si>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</si>
  <si>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</si>
  <si>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</si>
  <si>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</si>
  <si>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</si>
  <si>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</si>
  <si>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</si>
  <si>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</si>
  <si>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</si>
  <si>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</si>
  <si>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</si>
  <si>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</si>
  <si>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</si>
  <si>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</si>
  <si>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</si>
  <si>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</si>
  <si>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</si>
  <si>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</si>
  <si>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</si>
  <si>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</si>
  <si>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</si>
  <si>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</si>
  <si>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</si>
  <si>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</si>
  <si>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</si>
  <si>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</si>
  <si>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</si>
  <si>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</si>
  <si>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</si>
  <si>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</si>
  <si>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</si>
  <si>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</si>
  <si>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</si>
  <si>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</si>
  <si>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</si>
  <si>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</si>
  <si>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</si>
  <si>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</si>
  <si>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</si>
  <si>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</si>
  <si>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</si>
  <si>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</si>
  <si>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</si>
  <si>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</si>
  <si>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</si>
  <si>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</si>
  <si>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</si>
  <si>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</si>
  <si>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</si>
  <si>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</si>
  <si>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</si>
  <si>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</si>
  <si>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</si>
  <si>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</si>
  <si>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</si>
  <si>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</si>
  <si>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</si>
  <si>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</si>
  <si>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</si>
  <si>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</si>
  <si>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</si>
  <si>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</si>
  <si>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</si>
  <si>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</si>
  <si>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</si>
  <si>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</si>
  <si>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</si>
  <si>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</si>
  <si>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</si>
  <si>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</si>
  <si>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</si>
  <si>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</si>
  <si>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</si>
  <si>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</si>
  <si>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</si>
  <si>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</si>
  <si>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</si>
  <si>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</si>
  <si>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</si>
  <si>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</si>
  <si>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</si>
  <si>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</si>
  <si>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</si>
  <si>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</si>
  <si>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</si>
  <si>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</si>
  <si>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</si>
  <si>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</si>
  <si>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</si>
  <si>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</si>
  <si>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</si>
  <si>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</si>
  <si>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</si>
  <si>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</si>
  <si>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</si>
  <si>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</si>
  <si>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</si>
  <si>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</si>
  <si>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</si>
  <si>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</si>
  <si>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</si>
  <si>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</si>
  <si>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</si>
  <si>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</si>
  <si>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</si>
  <si>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</si>
  <si>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</si>
  <si>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</si>
  <si>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</si>
  <si>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</si>
  <si>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</si>
  <si>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</si>
  <si>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</si>
  <si>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</si>
  <si>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</si>
  <si>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</si>
  <si>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</si>
  <si>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</si>
  <si>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</si>
  <si>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</si>
  <si>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</si>
  <si>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</si>
  <si>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</si>
  <si>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</si>
  <si>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</si>
  <si>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</si>
  <si>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</si>
  <si>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</si>
  <si>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</si>
  <si>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</si>
  <si>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</si>
  <si>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</si>
  <si>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</si>
  <si>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</si>
  <si>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</si>
  <si>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</si>
  <si>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</si>
  <si>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</si>
  <si>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</si>
  <si>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</si>
  <si>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</si>
  <si>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</si>
  <si>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</si>
  <si>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</si>
  <si>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</si>
  <si>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</si>
  <si>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</si>
  <si>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</si>
  <si>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</si>
  <si>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</si>
  <si>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</si>
  <si>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</si>
  <si>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</si>
  <si>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</si>
  <si>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</si>
  <si>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</si>
  <si>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</si>
  <si>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</si>
  <si>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</si>
  <si>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</si>
  <si>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</si>
  <si>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</si>
  <si>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</si>
  <si>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</si>
  <si>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ImË†ge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</si>
  <si>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</si>
  <si>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</si>
  <si>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</si>
  <si>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</si>
  <si>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</si>
  <si>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</si>
  <si>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</si>
  <si>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</si>
  <si>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</si>
  <si>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</si>
  <si>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</si>
  <si>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</si>
  <si>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</si>
  <si>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</si>
  <si>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</si>
  <si>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</si>
  <si>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</si>
  <si>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</si>
  <si>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</si>
  <si>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</si>
  <si>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</si>
  <si>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</si>
  <si>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</si>
  <si>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</si>
  <si>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</si>
  <si>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</si>
  <si>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</si>
  <si>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</si>
  <si>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</si>
  <si>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</si>
  <si>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</si>
  <si>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</si>
  <si>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</si>
  <si>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</si>
  <si>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</si>
  <si>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</si>
  <si>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</si>
  <si>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</si>
  <si>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</si>
  <si>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</si>
  <si>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</si>
  <si>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</si>
  <si>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</si>
  <si>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</si>
  <si>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</si>
  <si>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</si>
  <si>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</si>
  <si>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</si>
  <si>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</si>
  <si>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</si>
  <si>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</si>
  <si>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</si>
  <si>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</si>
  <si>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</si>
  <si>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</si>
  <si>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</si>
  <si>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</si>
  <si>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</si>
  <si>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</si>
  <si>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</si>
  <si>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</si>
  <si>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</si>
  <si>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</si>
  <si>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</si>
  <si>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</si>
  <si>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</si>
  <si>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</si>
  <si>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</si>
  <si>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</si>
  <si>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</si>
  <si>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</si>
  <si>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</si>
  <si>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</si>
  <si>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</si>
  <si>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</si>
  <si>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</si>
  <si>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</si>
  <si>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</si>
  <si>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</si>
  <si>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</si>
  <si>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</si>
  <si>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</si>
  <si>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</si>
  <si>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</si>
  <si>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</si>
  <si>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</si>
  <si>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</si>
  <si>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</si>
  <si>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</si>
  <si>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</si>
  <si>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</si>
  <si>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</si>
  <si>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</si>
  <si>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</si>
  <si>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</si>
  <si>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</si>
  <si>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</si>
  <si>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</si>
  <si>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</si>
  <si>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</si>
  <si>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</si>
  <si>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</si>
  <si>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</si>
  <si>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</si>
  <si>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</si>
  <si>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</si>
  <si>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</si>
  <si>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</si>
  <si>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</si>
  <si>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</si>
  <si>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</si>
  <si>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</si>
  <si>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</si>
  <si>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</si>
  <si>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</si>
  <si>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</si>
  <si>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</si>
  <si>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</si>
  <si>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</si>
  <si>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</si>
  <si>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</si>
  <si>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</si>
  <si>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</si>
  <si>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</si>
  <si>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</si>
  <si>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</si>
  <si>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</si>
  <si>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</si>
  <si>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</si>
  <si>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</si>
  <si>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</si>
  <si>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</si>
  <si>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</si>
  <si>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</si>
  <si>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</si>
  <si>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</si>
  <si>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</si>
  <si>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</si>
  <si>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</si>
  <si>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</si>
  <si>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</si>
  <si>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</si>
  <si>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</si>
  <si>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</si>
  <si>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</si>
  <si>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</si>
  <si>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</si>
  <si>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</si>
  <si>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</si>
  <si>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</si>
  <si>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</si>
  <si>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</si>
  <si>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</si>
  <si>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</si>
  <si>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</si>
  <si>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</si>
  <si>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</si>
  <si>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</si>
  <si>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FranzÅ¡sisch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</si>
  <si>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</si>
  <si>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</si>
  <si>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</si>
  <si>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</si>
  <si>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</si>
  <si>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</si>
  <si>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</si>
  <si>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</si>
  <si>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</si>
  <si>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</si>
  <si>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</si>
  <si>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</si>
  <si>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</si>
  <si>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</si>
  <si>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</si>
  <si>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</si>
  <si>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</si>
  <si>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</si>
  <si>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</si>
  <si>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</si>
  <si>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</si>
  <si>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</si>
  <si>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</si>
  <si>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</si>
  <si>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</si>
  <si>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</si>
  <si>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</si>
  <si>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</si>
  <si>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</si>
  <si>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</si>
  <si>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</si>
  <si>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</si>
  <si>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</si>
  <si>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</si>
  <si>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</si>
  <si>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</si>
  <si>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</si>
  <si>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</si>
  <si>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</si>
  <si>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</si>
  <si>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</si>
  <si>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</si>
  <si>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</si>
  <si>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</si>
  <si>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</si>
  <si>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</si>
  <si>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</si>
  <si>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</si>
  <si>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</si>
  <si>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</si>
  <si>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</si>
  <si>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</si>
  <si>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</si>
  <si>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</si>
  <si>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</si>
  <si>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</si>
  <si>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</si>
  <si>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</si>
  <si>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</si>
  <si>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</si>
  <si>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</si>
  <si>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</si>
  <si>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</si>
  <si>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</si>
  <si>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</si>
  <si>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</si>
  <si>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</si>
  <si>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</si>
  <si>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</si>
  <si>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</si>
  <si>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</si>
  <si>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</si>
  <si>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</si>
  <si>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</si>
  <si>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</si>
  <si>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</si>
  <si>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</si>
  <si>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</si>
  <si>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</si>
  <si>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</si>
  <si>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</si>
  <si>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</si>
  <si>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</si>
  <si>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</si>
  <si>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</si>
  <si>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</si>
  <si>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</si>
  <si>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</si>
  <si>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</si>
  <si>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</si>
  <si>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</si>
  <si>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</si>
  <si>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</si>
  <si>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</si>
  <si>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</si>
  <si>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</si>
  <si>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</si>
  <si>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</si>
  <si>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</si>
  <si>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</si>
  <si>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</si>
  <si>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</si>
  <si>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</si>
  <si>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</si>
  <si>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</si>
  <si>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</si>
  <si>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</si>
  <si>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</si>
  <si>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</si>
  <si>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</si>
  <si>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</si>
  <si>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</si>
  <si>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</si>
  <si>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</si>
  <si>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</si>
  <si>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</si>
  <si>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</si>
  <si>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</si>
  <si>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</si>
  <si>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</si>
  <si>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</si>
  <si>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</si>
  <si>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</si>
  <si>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</si>
  <si>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</si>
  <si>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</si>
  <si>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</si>
  <si>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</si>
  <si>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</si>
  <si>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</si>
  <si>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</si>
  <si>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</si>
  <si>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</si>
  <si>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</si>
  <si>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</si>
  <si>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</si>
  <si>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</si>
  <si>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</si>
  <si>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</si>
  <si>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</si>
  <si>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</si>
  <si>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</si>
  <si>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</si>
  <si>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</si>
  <si>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</si>
  <si>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</si>
  <si>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</si>
  <si>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</si>
  <si>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</si>
  <si>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</si>
  <si>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</si>
  <si>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</si>
  <si>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</si>
  <si>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</si>
  <si>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</si>
  <si>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</si>
  <si>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</si>
  <si>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</si>
  <si>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</si>
  <si>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</si>
  <si>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</si>
  <si>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</si>
  <si>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</si>
  <si>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</si>
  <si>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</si>
  <si>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</si>
  <si>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</si>
  <si>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</si>
  <si>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</si>
  <si>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</si>
  <si>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</si>
  <si>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</si>
  <si>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</si>
  <si>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</si>
  <si>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</si>
  <si>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</si>
  <si>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</si>
  <si>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</si>
  <si>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</si>
  <si>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</si>
  <si>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</si>
  <si>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</si>
  <si>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</si>
  <si>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</si>
  <si>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</si>
  <si>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</si>
  <si>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</si>
  <si>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</si>
  <si>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</si>
  <si>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</si>
  <si>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</si>
  <si>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</si>
  <si>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</si>
  <si>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</si>
  <si>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</si>
  <si>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</si>
  <si>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</si>
  <si>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</si>
  <si>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</si>
  <si>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</si>
  <si>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</si>
  <si>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</si>
  <si>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</si>
  <si>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</si>
  <si>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</si>
  <si>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</si>
  <si>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</si>
  <si>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</si>
  <si>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</si>
  <si>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</si>
  <si>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</si>
  <si>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</si>
  <si>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</si>
  <si>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</si>
  <si>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</si>
  <si>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</si>
  <si>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</si>
  <si>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</si>
  <si>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</si>
  <si>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</si>
  <si>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</si>
  <si>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</si>
  <si>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</si>
  <si>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</si>
  <si>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</si>
  <si>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</si>
  <si>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</si>
  <si>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</si>
  <si>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</si>
  <si>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</si>
  <si>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</si>
  <si>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</si>
  <si>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</si>
  <si>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</si>
  <si>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</si>
  <si>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</si>
  <si>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</si>
  <si>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</si>
  <si>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</si>
  <si>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</si>
  <si>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</si>
  <si>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</si>
  <si>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</si>
  <si>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</si>
  <si>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</si>
  <si>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</si>
  <si>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</si>
  <si>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</si>
  <si>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</si>
  <si>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</si>
  <si>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</si>
  <si>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</si>
  <si>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</si>
  <si>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</si>
  <si>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</si>
  <si>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</si>
  <si>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</si>
  <si>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</si>
  <si>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</si>
  <si>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</si>
  <si>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</si>
  <si>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</si>
  <si>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</si>
  <si>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</si>
  <si>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</si>
  <si>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</si>
  <si>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</si>
  <si>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</si>
  <si>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</si>
  <si>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</si>
  <si>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</si>
  <si>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</si>
  <si>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</si>
  <si>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</si>
  <si>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</si>
  <si>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</si>
  <si>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</si>
  <si>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</si>
  <si>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</si>
  <si>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</si>
  <si>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</si>
  <si>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</si>
  <si>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</si>
  <si>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</si>
  <si>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</si>
  <si>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</si>
  <si>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</si>
  <si>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</si>
  <si>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</si>
  <si>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</si>
  <si>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</si>
  <si>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</si>
  <si>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</si>
  <si>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</si>
  <si>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</si>
  <si>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</si>
  <si>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</si>
  <si>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</si>
  <si>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</si>
  <si>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</si>
  <si>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</si>
  <si>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</si>
  <si>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</si>
  <si>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</si>
  <si>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</si>
  <si>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</si>
  <si>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</si>
  <si>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</si>
  <si>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</si>
  <si>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</si>
  <si>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</si>
  <si>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</si>
  <si>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</si>
  <si>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</si>
  <si>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</si>
  <si>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</si>
  <si>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</si>
  <si>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</si>
  <si>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</si>
  <si>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</si>
  <si>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</si>
  <si>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</si>
  <si>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</si>
  <si>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</si>
  <si>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</si>
  <si>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</si>
  <si>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</si>
  <si>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</si>
  <si>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</si>
  <si>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</si>
  <si>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</si>
  <si>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</si>
  <si>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</si>
  <si>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</si>
  <si>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</si>
  <si>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</si>
  <si>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</si>
  <si>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</si>
  <si>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</si>
  <si>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</si>
  <si>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</si>
  <si>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</si>
  <si>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</si>
  <si>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</si>
  <si>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</si>
  <si>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</si>
  <si>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</si>
  <si>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</si>
  <si>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</si>
  <si>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</si>
  <si>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</si>
  <si>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</si>
  <si>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</si>
  <si>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</si>
  <si>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</si>
  <si>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</si>
  <si>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</si>
  <si>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</si>
  <si>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</si>
  <si>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</si>
  <si>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</si>
  <si>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</si>
  <si>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</si>
  <si>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</si>
  <si>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</si>
  <si>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</si>
  <si>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</si>
  <si>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</si>
  <si>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</si>
  <si>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</si>
  <si>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</si>
  <si>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</si>
  <si>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</si>
  <si>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</si>
  <si>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</si>
  <si>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</si>
  <si>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</si>
  <si>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</si>
  <si>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</si>
  <si>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</si>
  <si>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</si>
  <si>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</si>
  <si>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</si>
  <si>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</si>
  <si>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</si>
  <si>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</si>
  <si>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</si>
  <si>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</si>
  <si>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</si>
  <si>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</si>
  <si>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</si>
  <si>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</si>
  <si>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</si>
  <si>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</si>
  <si>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</si>
  <si>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</si>
  <si>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</si>
  <si>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</si>
  <si>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</si>
  <si>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</si>
  <si>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</si>
  <si>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</si>
  <si>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</si>
  <si>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</si>
  <si>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</si>
  <si>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</si>
  <si>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</si>
  <si>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</si>
  <si>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</si>
  <si>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</si>
  <si>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</si>
  <si>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</si>
  <si>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</si>
  <si>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</si>
  <si>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</si>
  <si>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</si>
  <si>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</si>
  <si>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</si>
  <si>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</si>
  <si>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</si>
  <si>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</si>
  <si>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</si>
  <si>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</si>
  <si>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</si>
  <si>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</si>
  <si>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</si>
  <si>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</si>
  <si>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</si>
  <si>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</si>
  <si>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</si>
  <si>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</si>
  <si>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</si>
  <si>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</si>
  <si>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</si>
  <si>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</si>
  <si>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</si>
  <si>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</si>
  <si>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</si>
  <si>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</si>
  <si>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</si>
  <si>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</si>
  <si>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</si>
  <si>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</si>
  <si>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</si>
  <si>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</si>
  <si>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</si>
  <si>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</si>
  <si>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</si>
  <si>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</si>
  <si>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</si>
  <si>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</si>
  <si>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</si>
  <si>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</si>
  <si>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</si>
  <si>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</si>
  <si>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</si>
  <si>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</si>
  <si>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</si>
  <si>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</si>
  <si>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</si>
  <si>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</si>
  <si>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</si>
  <si>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</si>
  <si>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</si>
  <si>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</si>
  <si>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</si>
  <si>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</si>
  <si>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</si>
  <si>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</si>
  <si>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</si>
  <si>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</si>
  <si>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</si>
  <si>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</si>
  <si>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</si>
  <si>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</si>
  <si>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</si>
  <si>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</si>
  <si>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</si>
  <si>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</si>
  <si>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</si>
  <si>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</si>
  <si>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</si>
  <si>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</si>
  <si>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</si>
  <si>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</si>
  <si>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</si>
  <si>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</si>
  <si>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</si>
  <si>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</si>
  <si>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</si>
  <si>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</si>
  <si>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</si>
  <si>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</si>
  <si>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</si>
  <si>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</si>
  <si>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</si>
  <si>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</si>
  <si>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</si>
  <si>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</si>
  <si>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</si>
  <si>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</si>
  <si>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</si>
  <si>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</si>
  <si>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</si>
  <si>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</si>
  <si>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</si>
  <si>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</si>
  <si>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</si>
  <si>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</si>
  <si>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</si>
  <si>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</si>
  <si>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</si>
  <si>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</si>
  <si>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</si>
  <si>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</si>
  <si>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</si>
  <si>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</si>
  <si>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</si>
  <si>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</si>
  <si>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</si>
  <si>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</si>
  <si>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</si>
  <si>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</si>
  <si>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</si>
  <si>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</si>
  <si>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</si>
  <si>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</si>
  <si>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</si>
  <si>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</si>
  <si>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</si>
  <si>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</si>
  <si>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</si>
  <si>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</si>
  <si>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</si>
  <si>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</si>
  <si>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</si>
  <si>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</si>
  <si>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</si>
  <si>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</si>
  <si>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</si>
  <si>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</si>
  <si>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</si>
  <si>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</si>
  <si>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</si>
  <si>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</si>
  <si>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</si>
  <si>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</si>
  <si>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</si>
  <si>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</si>
  <si>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</si>
  <si>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</si>
  <si>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</si>
  <si>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</si>
  <si>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</si>
  <si>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</si>
  <si>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</si>
  <si>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</si>
  <si>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</si>
  <si>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</si>
  <si>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</si>
  <si>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</si>
  <si>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</si>
  <si>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</si>
  <si>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</si>
  <si>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</si>
  <si>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</si>
  <si>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</si>
  <si>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</si>
  <si>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</si>
  <si>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</si>
  <si>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</si>
  <si>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</si>
  <si>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</si>
  <si>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</si>
  <si>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</si>
  <si>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</si>
  <si>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</si>
  <si>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</si>
  <si>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</si>
  <si>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</si>
  <si>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</si>
  <si>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</si>
  <si>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</si>
  <si>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</si>
  <si>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</si>
  <si>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</si>
  <si>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</si>
  <si>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</si>
  <si>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</si>
  <si>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</si>
  <si>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</si>
  <si>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</si>
  <si>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</si>
  <si>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</si>
  <si>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</si>
  <si>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</si>
  <si>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</si>
  <si>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</si>
  <si>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</si>
  <si>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</si>
  <si>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</si>
  <si>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</si>
  <si>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</si>
  <si>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</si>
  <si>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</si>
  <si>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</si>
  <si>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</si>
  <si>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</si>
  <si>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</si>
  <si>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</si>
  <si>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</si>
  <si>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</si>
  <si>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</si>
  <si>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</si>
  <si>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</si>
  <si>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</si>
  <si>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</si>
  <si>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</si>
  <si>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</si>
  <si>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</si>
  <si>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</si>
  <si>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</si>
  <si>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</si>
  <si>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</si>
  <si>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</si>
  <si>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</si>
  <si>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</si>
  <si>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</si>
  <si>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</si>
  <si>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</si>
  <si>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</si>
  <si>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</si>
  <si>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</si>
  <si>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</si>
  <si>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</si>
  <si>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</si>
  <si>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</si>
  <si>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</si>
  <si>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</si>
  <si>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</si>
  <si>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</si>
  <si>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</si>
  <si>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</si>
  <si>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</si>
  <si>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</si>
  <si>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</si>
  <si>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</si>
  <si>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</si>
  <si>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</si>
  <si>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</si>
  <si>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</si>
  <si>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</si>
  <si>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</si>
  <si>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</si>
  <si>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</si>
  <si>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</si>
  <si>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</si>
  <si>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</si>
  <si>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</si>
  <si>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</si>
  <si>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</si>
  <si>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</si>
  <si>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</si>
  <si>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</si>
  <si>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</si>
  <si>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</si>
  <si>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</si>
  <si>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</si>
  <si>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</si>
  <si>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</si>
  <si>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</si>
  <si>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</si>
  <si>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</si>
  <si>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</si>
  <si>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</si>
  <si>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</si>
  <si>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</si>
  <si>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</si>
  <si>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</si>
  <si>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</si>
  <si>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</si>
  <si>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</si>
  <si>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</si>
  <si>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</si>
  <si>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</si>
  <si>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</si>
  <si>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</si>
  <si>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</si>
  <si>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</si>
  <si>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</si>
  <si>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</si>
  <si>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</si>
  <si>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</si>
  <si>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</si>
  <si>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</si>
  <si>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</si>
  <si>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</si>
  <si>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</si>
  <si>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</si>
  <si>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</si>
  <si>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</si>
  <si>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</si>
  <si>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</si>
  <si>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</si>
  <si>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</si>
  <si>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</si>
  <si>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</si>
  <si>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</si>
  <si>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</si>
  <si>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</si>
  <si>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</si>
  <si>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</si>
  <si>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</si>
  <si>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</si>
  <si>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</si>
  <si>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</si>
  <si>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</si>
  <si>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</si>
  <si>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</si>
  <si>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</si>
  <si>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</si>
  <si>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</si>
  <si>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</si>
  <si>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</si>
  <si>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</si>
  <si>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</si>
  <si>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</si>
  <si>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</si>
  <si>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</si>
  <si>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</si>
  <si>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</si>
  <si>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</si>
  <si>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</si>
  <si>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</si>
  <si>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</si>
  <si>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</si>
  <si>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</si>
  <si>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</si>
  <si>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</si>
  <si>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</si>
  <si>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</si>
  <si>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</si>
  <si>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</si>
  <si>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</si>
  <si>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</si>
  <si>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</si>
  <si>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</si>
  <si>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</si>
  <si>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</si>
  <si>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</si>
  <si>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</si>
  <si>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</si>
  <si>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</si>
  <si>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</si>
  <si>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</si>
  <si>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</si>
  <si>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</si>
  <si>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</si>
  <si>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</si>
  <si>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</si>
  <si>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</si>
  <si>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</si>
  <si>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</si>
  <si>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</si>
  <si>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</si>
  <si>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</si>
  <si>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</si>
  <si>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</si>
  <si>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</si>
  <si>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</si>
  <si>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</si>
  <si>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</si>
  <si>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</si>
  <si>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</si>
  <si>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</si>
  <si>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</si>
  <si>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</si>
  <si>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</si>
  <si>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</si>
  <si>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</si>
  <si>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</si>
  <si>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</si>
  <si>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</si>
  <si>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</si>
  <si>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</si>
  <si>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</si>
  <si>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</si>
  <si>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</si>
  <si>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</si>
  <si>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</si>
  <si>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</si>
  <si>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</si>
  <si>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</si>
  <si>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</si>
  <si>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</si>
  <si>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</si>
  <si>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</si>
  <si>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</si>
  <si>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</si>
  <si>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</si>
  <si>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</si>
  <si>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</si>
  <si>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</si>
  <si>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</si>
  <si>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</si>
  <si>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</si>
  <si>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</si>
  <si>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</si>
  <si>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</si>
  <si>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</si>
  <si>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</si>
  <si>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</si>
  <si>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</si>
  <si>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</si>
  <si>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</si>
  <si>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</si>
  <si>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</si>
  <si>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</si>
  <si>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</si>
  <si>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</si>
  <si>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</si>
  <si>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</si>
  <si>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</si>
  <si>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</si>
  <si>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</si>
  <si>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</si>
  <si>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</si>
  <si>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</si>
  <si>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</si>
  <si>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</si>
  <si>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</si>
  <si>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</si>
  <si>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</si>
  <si>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</si>
  <si>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</si>
  <si>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</si>
  <si>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</si>
  <si>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</si>
  <si>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</si>
  <si>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</si>
  <si>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</si>
  <si>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</si>
  <si>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</si>
  <si>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</si>
  <si>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</si>
  <si>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</si>
  <si>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</si>
  <si>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</si>
  <si>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</si>
  <si>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</si>
  <si>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</si>
  <si>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</si>
  <si>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</si>
  <si>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</si>
  <si>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</si>
  <si>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</si>
  <si>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</si>
  <si>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</si>
  <si>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</si>
  <si>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</si>
  <si>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</si>
  <si>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</si>
  <si>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</si>
  <si>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</si>
  <si>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</si>
  <si>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</si>
  <si>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</si>
  <si>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</si>
  <si>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</si>
  <si>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</si>
  <si>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</si>
  <si>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</si>
  <si>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</si>
  <si>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</si>
  <si>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</si>
  <si>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</si>
  <si>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</si>
  <si>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</si>
  <si>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</si>
  <si>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</si>
  <si>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</si>
  <si>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</si>
  <si>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</si>
  <si>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</si>
  <si>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</si>
  <si>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</si>
  <si>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</si>
  <si>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</si>
  <si>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</si>
  <si>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</si>
  <si>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</si>
  <si>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</si>
  <si>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</si>
  <si>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</si>
  <si>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</si>
  <si>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</si>
  <si>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</si>
  <si>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</si>
  <si>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</si>
  <si>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</si>
  <si>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</si>
  <si>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</si>
  <si>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</si>
  <si>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</si>
  <si>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</si>
  <si>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</si>
  <si>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</si>
  <si>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</si>
  <si>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</si>
  <si>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</si>
  <si>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</si>
  <si>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</si>
  <si>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</si>
  <si>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</si>
  <si>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</si>
  <si>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</si>
  <si>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</si>
  <si>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</si>
  <si>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</si>
  <si>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</si>
  <si>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</si>
  <si>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</si>
  <si>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</si>
  <si>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</si>
  <si>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</si>
  <si>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</si>
  <si>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</si>
  <si>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</si>
  <si>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</si>
  <si>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</si>
  <si>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</si>
  <si>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</si>
  <si>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</si>
  <si>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</si>
  <si>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</si>
  <si>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</si>
  <si>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</si>
  <si>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</si>
  <si>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</si>
  <si>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</si>
  <si>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</si>
  <si>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</si>
  <si>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</si>
  <si>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</si>
  <si>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</si>
  <si>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</si>
  <si>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</si>
  <si>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</si>
  <si>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</si>
  <si>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</si>
  <si>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</si>
  <si>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</si>
  <si>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</si>
  <si>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</si>
  <si>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</si>
  <si>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</si>
  <si>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</si>
  <si>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</si>
  <si>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</si>
  <si>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</si>
  <si>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</si>
  <si>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</si>
  <si>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</si>
  <si>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</si>
  <si>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</si>
  <si>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</si>
  <si>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</si>
  <si>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</si>
  <si>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</si>
  <si>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</si>
  <si>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</si>
  <si>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</si>
  <si>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</si>
  <si>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</si>
  <si>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</si>
  <si>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</si>
  <si>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</si>
  <si>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</si>
  <si>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</si>
  <si>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</si>
  <si>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</si>
  <si>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</si>
  <si>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</si>
  <si>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</si>
  <si>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</si>
  <si>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</si>
  <si>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</si>
  <si>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</si>
  <si>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</si>
  <si>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</si>
  <si>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</si>
  <si>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</si>
  <si>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</si>
  <si>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</si>
  <si>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</si>
  <si>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</si>
  <si>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</si>
  <si>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</si>
  <si>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</si>
  <si>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</si>
  <si>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</si>
  <si>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</si>
  <si>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</si>
  <si>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</si>
  <si>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</si>
  <si>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</si>
  <si>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</si>
  <si>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</si>
  <si>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</si>
  <si>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</si>
  <si>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</si>
  <si>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</si>
  <si>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</si>
  <si>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</si>
  <si>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</si>
  <si>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</si>
  <si>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</si>
  <si>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</si>
  <si>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</si>
  <si>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</si>
  <si>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</si>
  <si>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</si>
  <si>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</si>
  <si>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</si>
  <si>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</si>
  <si>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</si>
  <si>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</si>
  <si>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</si>
  <si>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</si>
  <si>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</si>
  <si>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</si>
  <si>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</si>
  <si>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</si>
  <si>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</si>
  <si>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</si>
  <si>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</si>
  <si>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</si>
  <si>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</si>
  <si>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</si>
  <si>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</si>
  <si>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</si>
  <si>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</si>
  <si>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</si>
  <si>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</si>
  <si>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</si>
  <si>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</si>
  <si>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</si>
  <si>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</si>
  <si>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</si>
  <si>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</si>
  <si>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</si>
  <si>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</si>
  <si>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</si>
  <si>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</si>
  <si>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</si>
  <si>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</si>
  <si>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</si>
  <si>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</si>
  <si>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</si>
  <si>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</si>
  <si>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</si>
  <si>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</si>
  <si>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</si>
  <si>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</si>
  <si>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</si>
  <si>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</si>
  <si>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</si>
  <si>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</si>
  <si>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</si>
  <si>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</si>
  <si>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</si>
  <si>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</si>
  <si>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</si>
  <si>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</si>
  <si>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</si>
  <si>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</si>
  <si>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</si>
  <si>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</si>
  <si>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</si>
  <si>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</si>
  <si>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</si>
  <si>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</si>
  <si>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</si>
  <si>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</si>
  <si>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</si>
  <si>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</si>
  <si>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</si>
  <si>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</si>
  <si>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</si>
  <si>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</si>
  <si>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</si>
  <si>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</si>
  <si>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</si>
  <si>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</si>
  <si>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</si>
  <si>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</si>
  <si>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</si>
  <si>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</si>
  <si>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</si>
  <si>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</si>
  <si>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</si>
  <si>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</si>
  <si>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</si>
  <si>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</si>
  <si>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</si>
  <si>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</si>
  <si>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</si>
  <si>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</si>
  <si>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</si>
  <si>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</si>
  <si>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</si>
  <si>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</si>
  <si>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</si>
  <si>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</si>
  <si>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</si>
  <si>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</si>
  <si>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</si>
  <si>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</si>
  <si>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</si>
  <si>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</si>
  <si>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</si>
  <si>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</si>
  <si>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</si>
  <si>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</si>
  <si>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</si>
  <si>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</si>
  <si>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</si>
  <si>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</si>
  <si>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</si>
  <si>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</si>
  <si>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</si>
  <si>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</si>
  <si>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</si>
  <si>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</si>
  <si>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</si>
  <si>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</si>
  <si>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</si>
  <si>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</si>
  <si>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</si>
  <si>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</si>
  <si>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</si>
  <si>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</si>
  <si>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</si>
  <si>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</si>
  <si>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</si>
  <si>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</si>
  <si>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</si>
  <si>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</si>
  <si>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</si>
  <si>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</si>
  <si>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</si>
  <si>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</si>
  <si>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</si>
  <si>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</si>
  <si>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</si>
  <si>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</si>
  <si>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</si>
  <si>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</si>
  <si>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</si>
  <si>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</si>
  <si>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</si>
  <si>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</si>
  <si>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</si>
  <si>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</si>
  <si>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</si>
  <si>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</si>
  <si>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</si>
  <si>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</si>
  <si>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</si>
  <si>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</si>
  <si>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</si>
  <si>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</si>
  <si>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</si>
  <si>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</si>
  <si>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</si>
  <si>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</si>
  <si>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</si>
  <si>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</si>
  <si>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</si>
  <si>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</si>
  <si>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</si>
  <si>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</si>
  <si>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</si>
  <si>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</si>
  <si>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</si>
  <si>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</si>
  <si>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</si>
  <si>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</si>
  <si>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</si>
  <si>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</si>
  <si>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</si>
  <si>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</si>
  <si>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</si>
  <si>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</si>
  <si>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</si>
  <si>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</si>
  <si>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</si>
  <si>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</si>
  <si>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</si>
  <si>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</si>
  <si>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</si>
  <si>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</si>
  <si>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</si>
  <si>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</si>
  <si>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</si>
  <si>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</si>
  <si>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</si>
  <si>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</si>
  <si>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</si>
  <si>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Year</t>
  </si>
  <si>
    <t>2014</t>
  </si>
  <si>
    <t>2015</t>
  </si>
  <si>
    <t>2016</t>
  </si>
  <si>
    <t>2017</t>
  </si>
  <si>
    <t>CY</t>
  </si>
  <si>
    <t>PY</t>
  </si>
  <si>
    <t>Title</t>
  </si>
  <si>
    <t>YoY Sym</t>
  </si>
  <si>
    <t>YoY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</si>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</sst>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gt;=1000000]\$0.0,,;General"/>
    <numFmt numFmtId="165" formatCode="[&gt;=1000000]\$0.0,,&quot;M&quot;;[&gt;=1000]\$0.0,&quot;K&quot;;\$0"/>
    <numFmt numFmtId="166" formatCode="[&gt;=1000000]0.0,,&quot;M&quot;;[&gt;=1000]0.0,&quot;K&quot;;\$0"/>
    <numFmt numFmtId="167" formatCode="[$$-45C]#,##0.00"/>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3">
    <xf numFmtId="0" fontId="0" fillId="0" borderId="0"/>
    <xf numFmtId="9" fontId="6" fillId="0" borderId="0" applyFont="0" applyFill="0" applyBorder="0" applyAlignment="0" applyProtection="0"/>
    <xf numFmtId="43" fontId="7" fillId="0" borderId="0" applyFont="0" applyFill="0" applyBorder="0" applyAlignment="0" applyProtection="0"/>
  </cellStyleXfs>
  <cellXfs count="17">
    <xf numFmtId="0" fontId="0" fillId="0" borderId="0" xfId="0"/>
    <xf numFmtId="0" fontId="4" fillId="0" borderId="0" xfId="0" applyFont="1"/>
    <xf numFmtId="0" fontId="5" fillId="0" borderId="0" xfId="0" applyFont="1"/>
    <xf numFmtId="0" fontId="0" fillId="0" borderId="0" xfId="0" pivotButton="1"/>
    <xf numFmtId="0" fontId="0" fillId="0" borderId="0" xfId="0" applyAlignment="1">
      <alignment horizontal="left"/>
    </xf>
    <xf numFmtId="14" fontId="5" fillId="0" borderId="0" xfId="0" applyNumberFormat="1" applyFont="1"/>
    <xf numFmtId="0" fontId="3" fillId="0" borderId="0" xfId="0" applyFont="1"/>
    <xf numFmtId="9" fontId="0" fillId="0" borderId="0" xfId="1" applyFont="1"/>
    <xf numFmtId="165" fontId="0" fillId="0" borderId="0" xfId="0" applyNumberFormat="1"/>
    <xf numFmtId="166" fontId="0" fillId="0" borderId="0" xfId="0" applyNumberFormat="1"/>
    <xf numFmtId="0" fontId="2" fillId="0" borderId="0" xfId="0" applyFont="1"/>
    <xf numFmtId="164" fontId="2" fillId="0" borderId="0" xfId="0" applyNumberFormat="1" applyFont="1"/>
    <xf numFmtId="165" fontId="8" fillId="0" borderId="1" xfId="0" applyNumberFormat="1" applyFont="1" applyBorder="1"/>
    <xf numFmtId="167" fontId="0" fillId="0" borderId="0" xfId="2" applyNumberFormat="1" applyFont="1"/>
    <xf numFmtId="9" fontId="0" fillId="0" borderId="0" xfId="0" applyNumberFormat="1"/>
    <xf numFmtId="0" fontId="1" fillId="0" borderId="0" xfId="0" applyFont="1"/>
    <xf numFmtId="0" fontId="0" fillId="0" borderId="0" xfId="0" applyNumberFormat="1"/>
  </cellXfs>
  <cellStyles count="3">
    <cellStyle name="Comma" xfId="2" builtinId="3"/>
    <cellStyle name="Normal" xfId="0" builtinId="0"/>
    <cellStyle name="Percent" xfId="1" builtinId="5"/>
  </cellStyles>
  <dxfs count="47">
    <dxf>
      <numFmt numFmtId="165" formatCode="[&gt;=1000000]\$0.0,,&quot;M&quot;;[&gt;=1000]\$0.0,&quot;K&quot;;\$0"/>
    </dxf>
    <dxf>
      <font>
        <b val="0"/>
        <i val="0"/>
        <strike val="0"/>
        <condense val="0"/>
        <extend val="0"/>
        <outline val="0"/>
        <shadow val="0"/>
        <u val="none"/>
        <vertAlign val="baseline"/>
        <sz val="11"/>
        <color theme="1"/>
        <name val="Calibri"/>
        <family val="2"/>
        <scheme val="minor"/>
      </font>
    </dxf>
    <dxf>
      <numFmt numFmtId="13" formatCode="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none"/>
      </font>
    </dxf>
    <dxf>
      <font>
        <color rgb="FF9900FF"/>
      </font>
      <fill>
        <patternFill>
          <bgColor rgb="FFF5EEFD"/>
        </patternFill>
      </fill>
      <border diagonalUp="0" diagonalDown="0">
        <left/>
        <right/>
        <top/>
        <bottom/>
        <vertical/>
        <horizontal/>
      </border>
    </dxf>
    <dxf>
      <font>
        <sz val="22"/>
        <color rgb="FF9900FF"/>
      </font>
      <fill>
        <patternFill>
          <bgColor theme="2" tint="-4.9989318521683403E-2"/>
        </patternFill>
      </fill>
      <border diagonalUp="0" diagonalDown="0">
        <left/>
        <right/>
        <top/>
        <bottom/>
        <vertical/>
        <horizontal/>
      </border>
    </dxf>
  </dxfs>
  <tableStyles count="1" defaultTableStyle="TableStyleMedium2" defaultPivotStyle="PivotStyleLight16">
    <tableStyle name="SlicerStyleLight2 2" pivot="0" table="0" count="10" xr9:uid="{4767161C-2E68-4D6F-85FC-2E61B2858960}">
      <tableStyleElement type="wholeTable" dxfId="46"/>
      <tableStyleElement type="headerRow" dxfId="45"/>
    </tableStyle>
  </tableStyles>
  <colors>
    <mruColors>
      <color rgb="FFB48DE8"/>
      <color rgb="FF752BDF"/>
      <color rgb="FFBA8CDC"/>
      <color rgb="FF9900FF"/>
      <color rgb="FFF5EEFD"/>
      <color rgb="FFF4ECFF"/>
      <color rgb="FFEDEDED"/>
      <color rgb="FFF2F2F2"/>
      <color rgb="FFFFFFFF"/>
      <color rgb="FFFF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sz val="9"/>
            <color rgb="FF9900FF"/>
          </font>
          <fill>
            <patternFill patternType="solid">
              <fgColor rgb="FFF2F2F2"/>
              <bgColor rgb="FFEDEDE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9900FF"/>
          </font>
          <fill>
            <patternFill patternType="solid">
              <fgColor rgb="FFFFFFFF"/>
              <bgColor theme="6" tint="0.59996337778862885"/>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Class DASHBOARDING.xlsx]Pivot Table!PivotTable2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900FF"/>
          </a:solidFill>
          <a:ln w="19050">
            <a:solidFill>
              <a:schemeClr val="lt1"/>
            </a:solidFill>
          </a:ln>
          <a:effectLst/>
        </c:spPr>
      </c:pivotFmt>
      <c:pivotFmt>
        <c:idx val="2"/>
        <c:spPr>
          <a:solidFill>
            <a:srgbClr val="B48DE8"/>
          </a:solidFill>
          <a:ln w="19050">
            <a:solidFill>
              <a:schemeClr val="lt1"/>
            </a:solidFill>
          </a:ln>
          <a:effectLst/>
        </c:spPr>
      </c:pivotFmt>
      <c:pivotFmt>
        <c:idx val="3"/>
        <c:spPr>
          <a:solidFill>
            <a:schemeClr val="tx2">
              <a:lumMod val="50000"/>
              <a:lumOff val="50000"/>
            </a:schemeClr>
          </a:solidFill>
          <a:ln w="19050">
            <a:solidFill>
              <a:schemeClr val="lt1"/>
            </a:solidFill>
          </a:ln>
          <a:effectLst/>
        </c:spPr>
      </c:pivotFmt>
      <c:pivotFmt>
        <c:idx val="4"/>
        <c:spPr>
          <a:solidFill>
            <a:schemeClr val="bg2">
              <a:lumMod val="8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48DE8"/>
          </a:solidFill>
          <a:ln w="19050">
            <a:solidFill>
              <a:schemeClr val="lt1"/>
            </a:solidFill>
          </a:ln>
          <a:effectLst/>
        </c:spPr>
      </c:pivotFmt>
      <c:pivotFmt>
        <c:idx val="7"/>
        <c:spPr>
          <a:solidFill>
            <a:schemeClr val="tx2">
              <a:lumMod val="50000"/>
              <a:lumOff val="50000"/>
            </a:schemeClr>
          </a:solidFill>
          <a:ln w="19050">
            <a:solidFill>
              <a:schemeClr val="lt1"/>
            </a:solidFill>
          </a:ln>
          <a:effectLst/>
        </c:spPr>
      </c:pivotFmt>
      <c:pivotFmt>
        <c:idx val="8"/>
        <c:spPr>
          <a:solidFill>
            <a:schemeClr val="bg2">
              <a:lumMod val="85000"/>
            </a:schemeClr>
          </a:solidFill>
          <a:ln w="19050">
            <a:solidFill>
              <a:schemeClr val="lt1"/>
            </a:solidFill>
          </a:ln>
          <a:effectLst/>
        </c:spPr>
      </c:pivotFmt>
      <c:pivotFmt>
        <c:idx val="9"/>
        <c:spPr>
          <a:solidFill>
            <a:srgbClr val="9900FF"/>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48DE8"/>
          </a:solidFill>
          <a:ln w="19050">
            <a:solidFill>
              <a:schemeClr val="lt1"/>
            </a:solidFill>
          </a:ln>
          <a:effectLst/>
        </c:spPr>
        <c:dLbl>
          <c:idx val="0"/>
          <c:layout>
            <c:manualLayout>
              <c:x val="-0.14056224899598393"/>
              <c:y val="8.527131782945722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50000"/>
              <a:lumOff val="50000"/>
            </a:schemeClr>
          </a:solidFill>
          <a:ln w="19050">
            <a:solidFill>
              <a:schemeClr val="lt1"/>
            </a:solidFill>
          </a:ln>
          <a:effectLst/>
        </c:spPr>
        <c:dLbl>
          <c:idx val="0"/>
          <c:layout>
            <c:manualLayout>
              <c:x val="-0.12048192771084337"/>
              <c:y val="8.527131782945736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85000"/>
            </a:schemeClr>
          </a:solidFill>
          <a:ln w="19050">
            <a:solidFill>
              <a:schemeClr val="lt1"/>
            </a:solidFill>
          </a:ln>
          <a:effectLst/>
        </c:spPr>
        <c:dLbl>
          <c:idx val="0"/>
          <c:layout>
            <c:manualLayout>
              <c:x val="-0.13253012048192772"/>
              <c:y val="-0.1201550387596899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900FF"/>
          </a:solidFill>
          <a:ln w="19050">
            <a:solidFill>
              <a:schemeClr val="lt1"/>
            </a:solidFill>
          </a:ln>
          <a:effectLst/>
        </c:spPr>
        <c:dLbl>
          <c:idx val="0"/>
          <c:layout>
            <c:manualLayout>
              <c:x val="0.12650602409638548"/>
              <c:y val="0.2906976744186046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38A799E-A512-4AD6-B782-36CE1644DDEC}" type="VALUE">
                  <a:rPr lang="en-US" sz="1600"/>
                  <a:pPr>
                    <a:defRPr b="1"/>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Table'!$C$21</c:f>
              <c:strCache>
                <c:ptCount val="1"/>
                <c:pt idx="0">
                  <c:v>Total</c:v>
                </c:pt>
              </c:strCache>
            </c:strRef>
          </c:tx>
          <c:dPt>
            <c:idx val="0"/>
            <c:bubble3D val="0"/>
            <c:spPr>
              <a:solidFill>
                <a:srgbClr val="B48DE8"/>
              </a:solidFill>
              <a:ln w="19050">
                <a:solidFill>
                  <a:schemeClr val="lt1"/>
                </a:solidFill>
              </a:ln>
              <a:effectLst/>
            </c:spPr>
            <c:extLst>
              <c:ext xmlns:c16="http://schemas.microsoft.com/office/drawing/2014/chart" uri="{C3380CC4-5D6E-409C-BE32-E72D297353CC}">
                <c16:uniqueId val="{00000001-41CE-4865-B3F7-805CF9BE6E40}"/>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41CE-4865-B3F7-805CF9BE6E40}"/>
              </c:ext>
            </c:extLst>
          </c:dPt>
          <c:dPt>
            <c:idx val="2"/>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5-41CE-4865-B3F7-805CF9BE6E40}"/>
              </c:ext>
            </c:extLst>
          </c:dPt>
          <c:dPt>
            <c:idx val="3"/>
            <c:bubble3D val="0"/>
            <c:spPr>
              <a:solidFill>
                <a:srgbClr val="9900FF"/>
              </a:solidFill>
              <a:ln w="19050">
                <a:solidFill>
                  <a:schemeClr val="lt1"/>
                </a:solidFill>
              </a:ln>
              <a:effectLst/>
            </c:spPr>
            <c:extLst>
              <c:ext xmlns:c16="http://schemas.microsoft.com/office/drawing/2014/chart" uri="{C3380CC4-5D6E-409C-BE32-E72D297353CC}">
                <c16:uniqueId val="{00000007-41CE-4865-B3F7-805CF9BE6E40}"/>
              </c:ext>
            </c:extLst>
          </c:dPt>
          <c:dLbls>
            <c:dLbl>
              <c:idx val="0"/>
              <c:layout>
                <c:manualLayout>
                  <c:x val="-0.14056224899598393"/>
                  <c:y val="8.527131782945722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CE-4865-B3F7-805CF9BE6E40}"/>
                </c:ext>
              </c:extLst>
            </c:dLbl>
            <c:dLbl>
              <c:idx val="1"/>
              <c:layout>
                <c:manualLayout>
                  <c:x val="-0.12048192771084337"/>
                  <c:y val="8.527131782945736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CE-4865-B3F7-805CF9BE6E40}"/>
                </c:ext>
              </c:extLst>
            </c:dLbl>
            <c:dLbl>
              <c:idx val="2"/>
              <c:layout>
                <c:manualLayout>
                  <c:x val="-0.13253012048192772"/>
                  <c:y val="-0.1201550387596899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CE-4865-B3F7-805CF9BE6E40}"/>
                </c:ext>
              </c:extLst>
            </c:dLbl>
            <c:dLbl>
              <c:idx val="3"/>
              <c:layout>
                <c:manualLayout>
                  <c:x val="0.12650602409638548"/>
                  <c:y val="0.29069767441860467"/>
                </c:manualLayout>
              </c:layout>
              <c:tx>
                <c:rich>
                  <a:bodyPr/>
                  <a:lstStyle/>
                  <a:p>
                    <a:fld id="{F38A799E-A512-4AD6-B782-36CE1644DDEC}" type="VALUE">
                      <a:rPr lang="en-US" sz="1600"/>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1CE-4865-B3F7-805CF9BE6E4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Table'!$B$22:$B$25</c:f>
              <c:strCache>
                <c:ptCount val="4"/>
                <c:pt idx="0">
                  <c:v>First Class</c:v>
                </c:pt>
                <c:pt idx="1">
                  <c:v>Same Day</c:v>
                </c:pt>
                <c:pt idx="2">
                  <c:v>Second Class</c:v>
                </c:pt>
                <c:pt idx="3">
                  <c:v>Standard Class</c:v>
                </c:pt>
              </c:strCache>
            </c:strRef>
          </c:cat>
          <c:val>
            <c:numRef>
              <c:f>'Pivot Table'!$C$22:$C$25</c:f>
              <c:numCache>
                <c:formatCode>General</c:formatCode>
                <c:ptCount val="4"/>
                <c:pt idx="0">
                  <c:v>327</c:v>
                </c:pt>
                <c:pt idx="1">
                  <c:v>119</c:v>
                </c:pt>
                <c:pt idx="2">
                  <c:v>427</c:v>
                </c:pt>
                <c:pt idx="3">
                  <c:v>1248</c:v>
                </c:pt>
              </c:numCache>
            </c:numRef>
          </c:val>
          <c:extLst>
            <c:ext xmlns:c16="http://schemas.microsoft.com/office/drawing/2014/chart" uri="{C3380CC4-5D6E-409C-BE32-E72D297353CC}">
              <c16:uniqueId val="{00000008-41CE-4865-B3F7-805CF9BE6E40}"/>
            </c:ext>
          </c:extLst>
        </c:ser>
        <c:dLbls>
          <c:showLegendKey val="0"/>
          <c:showVal val="1"/>
          <c:showCatName val="0"/>
          <c:showSerName val="0"/>
          <c:showPercent val="0"/>
          <c:showBubbleSize val="0"/>
          <c:showLeaderLines val="1"/>
        </c:dLbls>
        <c:firstSliceAng val="195"/>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'Pivot Table'!$I$21</c:f>
              <c:strCache>
                <c:ptCount val="1"/>
              </c:strCache>
            </c:strRef>
          </c:tx>
          <c:spPr>
            <a:solidFill>
              <a:srgbClr val="9900FF">
                <a:alpha val="40000"/>
              </a:srgbClr>
            </a:solidFill>
            <a:ln>
              <a:noFill/>
            </a:ln>
            <a:effectLst/>
          </c:spPr>
          <c:invertIfNegative val="0"/>
          <c:dLbls>
            <c:delete val="1"/>
          </c:dLbls>
          <c:cat>
            <c:strRef>
              <c:f>'Pivot Table'!$H$22:$H$25</c:f>
              <c:strCache>
                <c:ptCount val="4"/>
                <c:pt idx="0">
                  <c:v>Bookcases</c:v>
                </c:pt>
                <c:pt idx="1">
                  <c:v>Chairs</c:v>
                </c:pt>
                <c:pt idx="2">
                  <c:v>Furnishings</c:v>
                </c:pt>
                <c:pt idx="3">
                  <c:v>Tables</c:v>
                </c:pt>
              </c:strCache>
            </c:strRef>
          </c:cat>
          <c:val>
            <c:numRef>
              <c:f>'Pivot Table'!$I$22:$I$25</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4600-4FE8-8646-7C128D908377}"/>
            </c:ext>
          </c:extLst>
        </c:ser>
        <c:ser>
          <c:idx val="1"/>
          <c:order val="1"/>
          <c:tx>
            <c:strRef>
              <c:f>'Pivot Table'!$J$21</c:f>
              <c:strCache>
                <c:ptCount val="1"/>
                <c:pt idx="0">
                  <c:v>$394.1K</c:v>
                </c:pt>
              </c:strCache>
            </c:strRef>
          </c:tx>
          <c:spPr>
            <a:solidFill>
              <a:srgbClr val="B48DE8">
                <a:alpha val="26000"/>
              </a:srgbClr>
            </a:solidFill>
            <a:ln>
              <a:noFill/>
            </a:ln>
            <a:effectLst/>
          </c:spPr>
          <c:invertIfNegative val="0"/>
          <c:dLbls>
            <c:dLbl>
              <c:idx val="0"/>
              <c:tx>
                <c:rich>
                  <a:bodyPr/>
                  <a:lstStyle/>
                  <a:p>
                    <a:fld id="{DBD1B8A8-88F8-4FEA-82DC-1C1C7291482F}" type="CELLRANGE">
                      <a:rPr lang="en-US"/>
                      <a:pPr/>
                      <a:t>[CELLRANGE]</a:t>
                    </a:fld>
                    <a:endParaRPr lang="en-GB"/>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600-4FE8-8646-7C128D908377}"/>
                </c:ext>
              </c:extLst>
            </c:dLbl>
            <c:dLbl>
              <c:idx val="1"/>
              <c:tx>
                <c:rich>
                  <a:bodyPr/>
                  <a:lstStyle/>
                  <a:p>
                    <a:fld id="{DFC73478-B4F9-4167-9C13-1D6ECFB6C2D8}" type="CELLRANGE">
                      <a:rPr lang="en-GB"/>
                      <a:pPr/>
                      <a:t>[CELLRANGE]</a:t>
                    </a:fld>
                    <a:endParaRPr lang="en-GB"/>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600-4FE8-8646-7C128D908377}"/>
                </c:ext>
              </c:extLst>
            </c:dLbl>
            <c:dLbl>
              <c:idx val="2"/>
              <c:tx>
                <c:rich>
                  <a:bodyPr/>
                  <a:lstStyle/>
                  <a:p>
                    <a:fld id="{55268CDB-40F7-47ED-8029-BC1BB8028E95}" type="CELLRANGE">
                      <a:rPr lang="en-GB"/>
                      <a:pPr/>
                      <a:t>[CELLRANGE]</a:t>
                    </a:fld>
                    <a:endParaRPr lang="en-GB"/>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600-4FE8-8646-7C128D908377}"/>
                </c:ext>
              </c:extLst>
            </c:dLbl>
            <c:dLbl>
              <c:idx val="3"/>
              <c:tx>
                <c:rich>
                  <a:bodyPr/>
                  <a:lstStyle/>
                  <a:p>
                    <a:fld id="{99949019-4559-4682-BF76-06A7A6D139CA}" type="CELLRANGE">
                      <a:rPr lang="en-GB"/>
                      <a:pPr/>
                      <a:t>[CELLRANGE]</a:t>
                    </a:fld>
                    <a:endParaRPr lang="en-GB"/>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600-4FE8-8646-7C128D908377}"/>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Table'!$H$22:$H$25</c:f>
              <c:strCache>
                <c:ptCount val="4"/>
                <c:pt idx="0">
                  <c:v>Bookcases</c:v>
                </c:pt>
                <c:pt idx="1">
                  <c:v>Chairs</c:v>
                </c:pt>
                <c:pt idx="2">
                  <c:v>Furnishings</c:v>
                </c:pt>
                <c:pt idx="3">
                  <c:v>Tables</c:v>
                </c:pt>
              </c:strCache>
            </c:strRef>
          </c:cat>
          <c:val>
            <c:numRef>
              <c:f>'Pivot Table'!$J$22:$J$25</c:f>
              <c:numCache>
                <c:formatCode>[$$-45C]#,##0.00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'Pivot Table'!$I$22:$I$25</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1-4600-4FE8-8646-7C128D908377}"/>
            </c:ext>
          </c:extLst>
        </c:ser>
        <c:dLbls>
          <c:dLblPos val="ctr"/>
          <c:showLegendKey val="0"/>
          <c:showVal val="1"/>
          <c:showCatName val="0"/>
          <c:showSerName val="0"/>
          <c:showPercent val="0"/>
          <c:showBubbleSize val="0"/>
        </c:dLbls>
        <c:gapWidth val="150"/>
        <c:overlap val="100"/>
        <c:axId val="63947791"/>
        <c:axId val="63942991"/>
      </c:barChart>
      <c:catAx>
        <c:axId val="6394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3942991"/>
        <c:crosses val="autoZero"/>
        <c:auto val="1"/>
        <c:lblAlgn val="ctr"/>
        <c:lblOffset val="100"/>
        <c:noMultiLvlLbl val="0"/>
      </c:catAx>
      <c:valAx>
        <c:axId val="63942991"/>
        <c:scaling>
          <c:orientation val="minMax"/>
        </c:scaling>
        <c:delete val="1"/>
        <c:axPos val="b"/>
        <c:numFmt formatCode="[&gt;=1000000]\$0.0,,&quot;M&quot;;[&gt;=1000]\$0.0,&quot;K&quot;;\$0" sourceLinked="1"/>
        <c:majorTickMark val="none"/>
        <c:minorTickMark val="none"/>
        <c:tickLblPos val="nextTo"/>
        <c:crossAx val="639477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Class DASHBOARDING.xlsx]Pivot Table!PivotTable6</c:name>
    <c:fmtId val="13"/>
  </c:pivotSource>
  <c:chart>
    <c:autoTitleDeleted val="1"/>
    <c:pivotFmts>
      <c:pivotFmt>
        <c:idx val="0"/>
        <c:spPr>
          <a:solidFill>
            <a:schemeClr val="accent1"/>
          </a:solidFill>
          <a:ln w="12700" cap="rnd">
            <a:solidFill>
              <a:schemeClr val="tx1">
                <a:lumMod val="50000"/>
                <a:lumOff val="50000"/>
              </a:schemeClr>
            </a:solidFill>
            <a:prstDash val="sysDot"/>
            <a:round/>
          </a:ln>
          <a:effectLst/>
        </c:spPr>
        <c:marker>
          <c:symbol val="circle"/>
          <c:size val="5"/>
          <c:spPr>
            <a:solidFill>
              <a:srgbClr val="9900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chemeClr val="tx1">
                <a:lumMod val="50000"/>
                <a:lumOff val="50000"/>
              </a:schemeClr>
            </a:solidFill>
            <a:prstDash val="sysDot"/>
            <a:round/>
          </a:ln>
          <a:effectLst/>
        </c:spPr>
        <c:marker>
          <c:symbol val="circle"/>
          <c:size val="5"/>
          <c:spPr>
            <a:solidFill>
              <a:srgbClr val="9900F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solidFill>
            <a:prstDash val="sysDot"/>
            <a:round/>
          </a:ln>
          <a:effectLst/>
        </c:spPr>
        <c:marker>
          <c:symbol val="circle"/>
          <c:size val="5"/>
          <c:spPr>
            <a:solidFill>
              <a:srgbClr val="9900FF">
                <a:alpha val="86000"/>
              </a:srgbClr>
            </a:solidFill>
            <a:ln w="349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9050" cap="rnd">
            <a:solidFill>
              <a:srgbClr val="9900FF"/>
            </a:solidFill>
            <a:prstDash val="sysDot"/>
            <a:round/>
          </a:ln>
          <a:effectLst/>
        </c:spPr>
        <c:marker>
          <c:symbol val="circle"/>
          <c:size val="5"/>
          <c:spPr>
            <a:solidFill>
              <a:srgbClr val="9900FF">
                <a:alpha val="86000"/>
              </a:srgbClr>
            </a:solidFill>
            <a:ln w="34925">
              <a:solidFill>
                <a:schemeClr val="accent1"/>
              </a:solidFill>
            </a:ln>
            <a:effectLst/>
          </c:spPr>
        </c:marker>
      </c:pivotFmt>
    </c:pivotFmts>
    <c:plotArea>
      <c:layout/>
      <c:lineChart>
        <c:grouping val="standard"/>
        <c:varyColors val="0"/>
        <c:ser>
          <c:idx val="0"/>
          <c:order val="0"/>
          <c:tx>
            <c:strRef>
              <c:f>'Pivot Table'!$C$29</c:f>
              <c:strCache>
                <c:ptCount val="1"/>
                <c:pt idx="0">
                  <c:v>Total</c:v>
                </c:pt>
              </c:strCache>
            </c:strRef>
          </c:tx>
          <c:spPr>
            <a:ln w="19050" cap="rnd">
              <a:solidFill>
                <a:schemeClr val="tx2"/>
              </a:solidFill>
              <a:prstDash val="sysDot"/>
              <a:round/>
            </a:ln>
            <a:effectLst/>
          </c:spPr>
          <c:marker>
            <c:symbol val="circle"/>
            <c:size val="5"/>
            <c:spPr>
              <a:solidFill>
                <a:srgbClr val="9900FF">
                  <a:alpha val="86000"/>
                </a:srgbClr>
              </a:solidFill>
              <a:ln w="34925">
                <a:solidFill>
                  <a:schemeClr val="accent1"/>
                </a:solidFill>
              </a:ln>
              <a:effectLst/>
            </c:spPr>
          </c:marker>
          <c:dPt>
            <c:idx val="10"/>
            <c:marker>
              <c:symbol val="circle"/>
              <c:size val="5"/>
              <c:spPr>
                <a:solidFill>
                  <a:srgbClr val="9900FF">
                    <a:alpha val="86000"/>
                  </a:srgbClr>
                </a:solidFill>
                <a:ln w="34925">
                  <a:solidFill>
                    <a:schemeClr val="accent1"/>
                  </a:solidFill>
                </a:ln>
                <a:effectLst/>
              </c:spPr>
            </c:marker>
            <c:bubble3D val="0"/>
            <c:spPr>
              <a:ln w="19050" cap="rnd">
                <a:solidFill>
                  <a:srgbClr val="9900FF"/>
                </a:solidFill>
                <a:prstDash val="sysDot"/>
                <a:round/>
              </a:ln>
              <a:effectLst/>
            </c:spPr>
            <c:extLst>
              <c:ext xmlns:c16="http://schemas.microsoft.com/office/drawing/2014/chart" uri="{C3380CC4-5D6E-409C-BE32-E72D297353CC}">
                <c16:uniqueId val="{00000001-D676-4074-88C1-478A616CEEA2}"/>
              </c:ext>
            </c:extLst>
          </c:dPt>
          <c:cat>
            <c:strRef>
              <c:f>'Pivot Table'!$B$30:$B$41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Table'!$C$30:$C$41</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D676-4074-88C1-478A616CEEA2}"/>
            </c:ext>
          </c:extLst>
        </c:ser>
        <c:dLbls>
          <c:showLegendKey val="0"/>
          <c:showVal val="0"/>
          <c:showCatName val="0"/>
          <c:showSerName val="0"/>
          <c:showPercent val="0"/>
          <c:showBubbleSize val="0"/>
        </c:dLbls>
        <c:marker val="1"/>
        <c:smooth val="0"/>
        <c:axId val="2000131455"/>
        <c:axId val="2000129535"/>
      </c:lineChart>
      <c:catAx>
        <c:axId val="200013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00129535"/>
        <c:crosses val="autoZero"/>
        <c:auto val="1"/>
        <c:lblAlgn val="ctr"/>
        <c:lblOffset val="100"/>
        <c:noMultiLvlLbl val="0"/>
      </c:catAx>
      <c:valAx>
        <c:axId val="2000129535"/>
        <c:scaling>
          <c:orientation val="minMax"/>
        </c:scaling>
        <c:delete val="1"/>
        <c:axPos val="l"/>
        <c:numFmt formatCode="[&gt;=1000000]\$0.0,,&quot;M&quot;;[&gt;=1000]\$0.0,&quot;K&quot;;\$0" sourceLinked="1"/>
        <c:majorTickMark val="none"/>
        <c:minorTickMark val="none"/>
        <c:tickLblPos val="nextTo"/>
        <c:crossAx val="200013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Class DASHBOARDING.xlsx]Pivot Table!PivotTable7</c:name>
    <c:fmtId val="11"/>
  </c:pivotSource>
  <c:chart>
    <c:autoTitleDeleted val="1"/>
    <c:pivotFmts>
      <c:pivotFmt>
        <c:idx val="0"/>
        <c:spPr>
          <a:solidFill>
            <a:schemeClr val="accent1"/>
          </a:solidFill>
          <a:ln w="28575" cap="rnd">
            <a:noFill/>
            <a:round/>
          </a:ln>
          <a:effectLst/>
        </c:spPr>
        <c:marker>
          <c:symbol val="circle"/>
          <c:size val="5"/>
          <c:spPr>
            <a:solidFill>
              <a:srgbClr val="9900FF"/>
            </a:solidFill>
            <a:ln w="317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rgbClr val="9900FF"/>
            </a:solidFill>
            <a:ln w="317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5"/>
          <c:spPr>
            <a:solidFill>
              <a:srgbClr val="9900FF"/>
            </a:solidFill>
            <a:ln w="50800">
              <a:solidFill>
                <a:srgbClr val="9900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Table'!$G$29</c:f>
              <c:strCache>
                <c:ptCount val="1"/>
                <c:pt idx="0">
                  <c:v>Total</c:v>
                </c:pt>
              </c:strCache>
            </c:strRef>
          </c:tx>
          <c:spPr>
            <a:ln w="28575" cap="rnd">
              <a:noFill/>
              <a:round/>
            </a:ln>
            <a:effectLst/>
          </c:spPr>
          <c:marker>
            <c:symbol val="circle"/>
            <c:size val="5"/>
            <c:spPr>
              <a:solidFill>
                <a:srgbClr val="9900FF"/>
              </a:solidFill>
              <a:ln w="50800">
                <a:solidFill>
                  <a:srgbClr val="9900FF"/>
                </a:solidFill>
              </a:ln>
              <a:effectLst/>
            </c:spPr>
          </c:marker>
          <c:cat>
            <c:strRef>
              <c:f>'Pivot Table'!$F$30:$F$37</c:f>
              <c:strCache>
                <c:ptCount val="8"/>
                <c:pt idx="0">
                  <c:v>0- days</c:v>
                </c:pt>
                <c:pt idx="1">
                  <c:v>1- days</c:v>
                </c:pt>
                <c:pt idx="2">
                  <c:v>2- days</c:v>
                </c:pt>
                <c:pt idx="3">
                  <c:v>3- days</c:v>
                </c:pt>
                <c:pt idx="4">
                  <c:v>4- days</c:v>
                </c:pt>
                <c:pt idx="5">
                  <c:v>5- days</c:v>
                </c:pt>
                <c:pt idx="6">
                  <c:v>6- days</c:v>
                </c:pt>
                <c:pt idx="7">
                  <c:v>7- days</c:v>
                </c:pt>
              </c:strCache>
            </c:strRef>
          </c:cat>
          <c:val>
            <c:numRef>
              <c:f>'Pivot Table'!$G$30:$G$37</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0A96-4D3F-874D-9F67F1DE6457}"/>
            </c:ext>
          </c:extLst>
        </c:ser>
        <c:dLbls>
          <c:showLegendKey val="0"/>
          <c:showVal val="0"/>
          <c:showCatName val="0"/>
          <c:showSerName val="0"/>
          <c:showPercent val="0"/>
          <c:showBubbleSize val="0"/>
        </c:dLbls>
        <c:dropLines>
          <c:spPr>
            <a:ln w="9525" cap="flat" cmpd="sng" algn="ctr">
              <a:solidFill>
                <a:schemeClr val="accent1"/>
              </a:solidFill>
              <a:prstDash val="sysDot"/>
              <a:round/>
            </a:ln>
            <a:effectLst/>
          </c:spPr>
        </c:dropLines>
        <c:marker val="1"/>
        <c:smooth val="0"/>
        <c:axId val="63967951"/>
        <c:axId val="63974191"/>
      </c:lineChart>
      <c:catAx>
        <c:axId val="639679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3974191"/>
        <c:crosses val="autoZero"/>
        <c:auto val="1"/>
        <c:lblAlgn val="ctr"/>
        <c:lblOffset val="100"/>
        <c:noMultiLvlLbl val="0"/>
      </c:catAx>
      <c:valAx>
        <c:axId val="63974191"/>
        <c:scaling>
          <c:orientation val="minMax"/>
        </c:scaling>
        <c:delete val="1"/>
        <c:axPos val="l"/>
        <c:numFmt formatCode="0%" sourceLinked="1"/>
        <c:majorTickMark val="none"/>
        <c:minorTickMark val="none"/>
        <c:tickLblPos val="nextTo"/>
        <c:crossAx val="639679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[Live Class DASHBOARDING.xlsx]Pivot Table!PivotTable5</c:name>
    <c:fmtId val="2"/>
  </c:pivotSource>
  <c:chart>
    <c:autoTitleDeleted val="1"/>
    <c:pivotFmts>
      <c:pivotFmt>
        <c:idx val="0"/>
        <c:spPr>
          <a:solidFill>
            <a:srgbClr val="B48D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48D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48D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Table'!$I$45</c:f>
              <c:strCache>
                <c:ptCount val="1"/>
                <c:pt idx="0">
                  <c:v>Total</c:v>
                </c:pt>
              </c:strCache>
            </c:strRef>
          </c:tx>
          <c:spPr>
            <a:solidFill>
              <a:srgbClr val="B48D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Table'!$H$46:$H$55</c:f>
              <c:strCache>
                <c:ptCount val="10"/>
                <c:pt idx="0">
                  <c:v>Springfield</c:v>
                </c:pt>
                <c:pt idx="1">
                  <c:v>Chicago</c:v>
                </c:pt>
                <c:pt idx="2">
                  <c:v>Detroit</c:v>
                </c:pt>
                <c:pt idx="3">
                  <c:v>San Diego</c:v>
                </c:pt>
                <c:pt idx="4">
                  <c:v>Houston</c:v>
                </c:pt>
                <c:pt idx="5">
                  <c:v>San Francisco</c:v>
                </c:pt>
                <c:pt idx="6">
                  <c:v>Philadelphia</c:v>
                </c:pt>
                <c:pt idx="7">
                  <c:v>Seattle</c:v>
                </c:pt>
                <c:pt idx="8">
                  <c:v>Los Angeles</c:v>
                </c:pt>
                <c:pt idx="9">
                  <c:v>New York City</c:v>
                </c:pt>
              </c:strCache>
            </c:strRef>
          </c:cat>
          <c:val>
            <c:numRef>
              <c:f>'Pivot Table'!$I$46:$I$55</c:f>
              <c:numCache>
                <c:formatCode>[&gt;=1000000]\$0.0,,"M";[&gt;=1000]\$0.0,"K";\$0</c:formatCode>
                <c:ptCount val="10"/>
                <c:pt idx="0">
                  <c:v>12046.198000000002</c:v>
                </c:pt>
                <c:pt idx="1">
                  <c:v>12495.222000000002</c:v>
                </c:pt>
                <c:pt idx="2">
                  <c:v>16364.009999999998</c:v>
                </c:pt>
                <c:pt idx="3">
                  <c:v>20031.236999999994</c:v>
                </c:pt>
                <c:pt idx="4">
                  <c:v>23183.214400000001</c:v>
                </c:pt>
                <c:pt idx="5">
                  <c:v>36357.307999999997</c:v>
                </c:pt>
                <c:pt idx="6">
                  <c:v>36495.541000000012</c:v>
                </c:pt>
                <c:pt idx="7">
                  <c:v>40995.877999999997</c:v>
                </c:pt>
                <c:pt idx="8">
                  <c:v>54000.040999999976</c:v>
                </c:pt>
                <c:pt idx="9">
                  <c:v>75691.049000000014</c:v>
                </c:pt>
              </c:numCache>
            </c:numRef>
          </c:val>
          <c:extLst>
            <c:ext xmlns:c16="http://schemas.microsoft.com/office/drawing/2014/chart" uri="{C3380CC4-5D6E-409C-BE32-E72D297353CC}">
              <c16:uniqueId val="{00000000-9B8F-4AF3-B44B-224970C8531C}"/>
            </c:ext>
          </c:extLst>
        </c:ser>
        <c:dLbls>
          <c:dLblPos val="inEnd"/>
          <c:showLegendKey val="0"/>
          <c:showVal val="1"/>
          <c:showCatName val="0"/>
          <c:showSerName val="0"/>
          <c:showPercent val="0"/>
          <c:showBubbleSize val="0"/>
        </c:dLbls>
        <c:gapWidth val="182"/>
        <c:axId val="575214703"/>
        <c:axId val="575226703"/>
      </c:barChart>
      <c:catAx>
        <c:axId val="57521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5226703"/>
        <c:crosses val="autoZero"/>
        <c:auto val="1"/>
        <c:lblAlgn val="ctr"/>
        <c:lblOffset val="100"/>
        <c:noMultiLvlLbl val="0"/>
      </c:catAx>
      <c:valAx>
        <c:axId val="575226703"/>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521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2DE61A0-7D4E-4416-830C-CAFC94D026C1}">
          <cx:tx>
            <cx:txData>
              <cx:f>_xlchart.v5.2</cx:f>
              <cx:v>Sales</cx:v>
            </cx:txData>
          </cx:tx>
          <cx:spPr>
            <a:ln>
              <a:noFill/>
            </a:ln>
          </cx:spPr>
          <cx:dataPt idx="0">
            <cx:spPr>
              <a:solidFill>
                <a:srgbClr val="BA8CDC"/>
              </a:solidFill>
            </cx:spPr>
          </cx:dataPt>
          <cx:dataPt idx="1">
            <cx:spPr>
              <a:solidFill>
                <a:srgbClr val="B48DE8"/>
              </a:solidFill>
            </cx:spPr>
          </cx:dataPt>
          <cx:dataPt idx="2">
            <cx:spPr>
              <a:solidFill>
                <a:srgbClr val="B48DE8"/>
              </a:solidFill>
            </cx:spPr>
          </cx:dataPt>
          <cx:dataPt idx="3">
            <cx:spPr>
              <a:solidFill>
                <a:srgbClr val="752BDF"/>
              </a:solidFill>
            </cx:spPr>
          </cx:dataPt>
          <cx:dataPt idx="4">
            <cx:spPr>
              <a:solidFill>
                <a:srgbClr val="B48DE8"/>
              </a:solidFill>
            </cx:spPr>
          </cx:dataPt>
          <cx:dataPt idx="5">
            <cx:spPr>
              <a:solidFill>
                <a:srgbClr val="752BDF"/>
              </a:solidFill>
            </cx:spPr>
          </cx:dataPt>
          <cx:dataPt idx="6">
            <cx:spPr>
              <a:solidFill>
                <a:srgbClr val="BA8CDC"/>
              </a:solidFill>
            </cx:spPr>
          </cx:dataPt>
          <cx:dataPt idx="7">
            <cx:spPr>
              <a:solidFill>
                <a:srgbClr val="BA8CDC"/>
              </a:solidFill>
            </cx:spPr>
          </cx:dataPt>
          <cx:dataPt idx="8">
            <cx:spPr>
              <a:solidFill>
                <a:srgbClr val="752BDF"/>
              </a:solidFill>
            </cx:spPr>
          </cx:dataPt>
          <cx:dataPt idx="9">
            <cx:spPr>
              <a:solidFill>
                <a:srgbClr val="BA8CDC"/>
              </a:solidFill>
            </cx:spPr>
          </cx:dataPt>
          <cx:dataPt idx="10">
            <cx:spPr>
              <a:solidFill>
                <a:srgbClr val="B48DE8"/>
              </a:solidFill>
            </cx:spPr>
          </cx:dataPt>
          <cx:dataPt idx="11">
            <cx:spPr>
              <a:solidFill>
                <a:srgbClr val="9900FF"/>
              </a:solidFill>
            </cx:spPr>
          </cx:dataPt>
          <cx:dataPt idx="12">
            <cx:spPr>
              <a:solidFill>
                <a:srgbClr val="752BDF"/>
              </a:solidFill>
            </cx:spPr>
          </cx:dataPt>
          <cx:dataPt idx="13">
            <cx:spPr>
              <a:solidFill>
                <a:srgbClr val="BA8CDC"/>
              </a:solidFill>
            </cx:spPr>
          </cx:dataPt>
          <cx:dataPt idx="14">
            <cx:spPr>
              <a:solidFill>
                <a:srgbClr val="BA8CDC"/>
              </a:solidFill>
            </cx:spPr>
          </cx:dataPt>
          <cx:dataPt idx="15">
            <cx:spPr>
              <a:solidFill>
                <a:srgbClr val="BA8CDC"/>
              </a:solidFill>
            </cx:spPr>
          </cx:dataPt>
          <cx:dataPt idx="16">
            <cx:spPr>
              <a:solidFill>
                <a:srgbClr val="B48DE8"/>
              </a:solidFill>
            </cx:spPr>
          </cx:dataPt>
          <cx:dataPt idx="17">
            <cx:spPr>
              <a:solidFill>
                <a:srgbClr val="752BDF"/>
              </a:solidFill>
            </cx:spPr>
          </cx:dataPt>
          <cx:dataPt idx="18">
            <cx:spPr>
              <a:solidFill>
                <a:srgbClr val="752BDF"/>
              </a:solidFill>
            </cx:spPr>
          </cx:dataPt>
          <cx:dataPt idx="19">
            <cx:spPr>
              <a:solidFill>
                <a:srgbClr val="BA8CDC"/>
              </a:solidFill>
            </cx:spPr>
          </cx:dataPt>
          <cx:dataPt idx="20">
            <cx:spPr>
              <a:solidFill>
                <a:srgbClr val="9900FF"/>
              </a:solidFill>
            </cx:spPr>
          </cx:dataPt>
          <cx:dataPt idx="21">
            <cx:spPr>
              <a:solidFill>
                <a:srgbClr val="B48DE8"/>
              </a:solidFill>
            </cx:spPr>
          </cx:dataPt>
          <cx:dataPt idx="22">
            <cx:spPr>
              <a:solidFill>
                <a:srgbClr val="9900FF"/>
              </a:solidFill>
            </cx:spPr>
          </cx:dataPt>
          <cx:dataPt idx="23">
            <cx:spPr>
              <a:solidFill>
                <a:srgbClr val="BA8CDC"/>
              </a:solidFill>
            </cx:spPr>
          </cx:dataPt>
          <cx:dataPt idx="24">
            <cx:spPr>
              <a:solidFill>
                <a:srgbClr val="B48DE8"/>
              </a:solidFill>
            </cx:spPr>
          </cx:dataPt>
          <cx:dataPt idx="25">
            <cx:spPr>
              <a:solidFill>
                <a:srgbClr val="B48DE8"/>
              </a:solidFill>
            </cx:spPr>
          </cx:dataPt>
          <cx:dataPt idx="26">
            <cx:spPr>
              <a:solidFill>
                <a:srgbClr val="B48DE8"/>
              </a:solidFill>
            </cx:spPr>
          </cx:dataPt>
          <cx:dataPt idx="27">
            <cx:spPr>
              <a:solidFill>
                <a:srgbClr val="9900FF"/>
              </a:solidFill>
            </cx:spPr>
          </cx:dataPt>
          <cx:dataPt idx="28">
            <cx:spPr>
              <a:solidFill>
                <a:srgbClr val="752BDF"/>
              </a:solidFill>
            </cx:spPr>
          </cx:dataPt>
          <cx:dataPt idx="29">
            <cx:spPr>
              <a:solidFill>
                <a:srgbClr val="B48DE8"/>
              </a:solidFill>
            </cx:spPr>
          </cx:dataPt>
          <cx:dataPt idx="30">
            <cx:spPr>
              <a:solidFill>
                <a:srgbClr val="BA8CDC"/>
              </a:solidFill>
            </cx:spPr>
          </cx:dataPt>
          <cx:dataPt idx="31">
            <cx:spPr>
              <a:solidFill>
                <a:srgbClr val="B48DE8"/>
              </a:solidFill>
            </cx:spPr>
          </cx:dataPt>
          <cx:dataPt idx="32">
            <cx:spPr>
              <a:solidFill>
                <a:srgbClr val="B48DE8"/>
              </a:solidFill>
            </cx:spPr>
          </cx:dataPt>
          <cx:dataPt idx="33">
            <cx:spPr>
              <a:solidFill>
                <a:srgbClr val="B48DE8"/>
              </a:solidFill>
            </cx:spPr>
          </cx:dataPt>
          <cx:dataPt idx="34">
            <cx:spPr>
              <a:solidFill>
                <a:srgbClr val="B48DE8"/>
              </a:solidFill>
            </cx:spPr>
          </cx:dataPt>
          <cx:dataPt idx="35">
            <cx:spPr>
              <a:solidFill>
                <a:srgbClr val="752BDF"/>
              </a:solidFill>
            </cx:spPr>
          </cx:dataPt>
          <cx:dataPt idx="36">
            <cx:spPr>
              <a:solidFill>
                <a:srgbClr val="B48DE8"/>
              </a:solidFill>
            </cx:spPr>
          </cx:dataPt>
          <cx:dataPt idx="37">
            <cx:spPr>
              <a:solidFill>
                <a:srgbClr val="752BDF"/>
              </a:solidFill>
            </cx:spPr>
          </cx:dataPt>
          <cx:dataPt idx="38">
            <cx:spPr>
              <a:solidFill>
                <a:srgbClr val="BA8CDC"/>
              </a:solidFill>
            </cx:spPr>
          </cx:dataPt>
          <cx:dataPt idx="39">
            <cx:spPr>
              <a:solidFill>
                <a:srgbClr val="B48DE8"/>
              </a:solidFill>
            </cx:spPr>
          </cx:dataPt>
          <cx:dataPt idx="40">
            <cx:spPr>
              <a:solidFill>
                <a:srgbClr val="752BDF"/>
              </a:solidFill>
            </cx:spPr>
          </cx:dataPt>
          <cx:dataPt idx="41">
            <cx:spPr>
              <a:solidFill>
                <a:srgbClr val="BA8CDC"/>
              </a:solidFill>
            </cx:spPr>
          </cx:dataPt>
          <cx:dataPt idx="42">
            <cx:spPr>
              <a:solidFill>
                <a:srgbClr val="BA8CDC"/>
              </a:solidFill>
            </cx:spPr>
          </cx:dataPt>
          <cx:dataPt idx="43">
            <cx:spPr>
              <a:solidFill>
                <a:srgbClr val="BA8CDC"/>
              </a:solidFill>
            </cx:spPr>
          </cx:dataPt>
          <cx:dataPt idx="44">
            <cx:spPr>
              <a:solidFill>
                <a:srgbClr val="BA8CDC"/>
              </a:solidFill>
            </cx:spPr>
          </cx:dataPt>
          <cx:dataPt idx="45">
            <cx:spPr>
              <a:solidFill>
                <a:srgbClr val="752BDF"/>
              </a:solidFill>
            </cx:spPr>
          </cx:dataPt>
          <cx:dataPt idx="46">
            <cx:spPr>
              <a:solidFill>
                <a:srgbClr val="752BDF"/>
              </a:solidFill>
            </cx:spPr>
          </cx:dataPt>
          <cx:dataPt idx="47">
            <cx:spPr>
              <a:solidFill>
                <a:srgbClr val="B48DE8"/>
              </a:solidFill>
            </cx:spPr>
          </cx:dataPt>
          <cx:dataId val="0"/>
          <cx:layoutPr>
            <cx:geography cultureLanguage="en-US" cultureRegion="GB" attribution="Powered by Bing">
              <cx:geoCache provider="{E9337A44-BEBE-4D9F-B70C-5C5E7DAFC167}">
                <cx:binary>1H1pc9tIsu1fcfjzhbp2oCamb0SDFLVZsi3Z7m5/QdCSGjsK+/br34FI2RJMS5oYvRtBzUQzLLKI
rDqVmSeXKv37uv/XdXK7Lt/0aZJV/7ruf38b1HX+r99+q66D23RdHaThdWkq8099cG3S38w//4TX
t7/dlOsuzPzfGKHit+tgXda3/dv//Te+zb8178z1ug5N9rG5LYfL26pJ6uqJ93a+9WZ9k4bZMqzq
Mryu6e9vF+sk/MeUWbh+++Y2q8N6+DTkt7+/ffS5t29+m3/bT09+k0C4urnBWG4fMCmU0lSTux/6
9k1iMn/7tkWpPlDUZjYVVN/93D/7Yp1i/MtkupNofXNT3lYVpnX3+njsozngrT/evrk2TVZPq+dj
IX9/+zkL69ubN1f1ur6t3r4JK7PYfGBhpol8vrqb+W+P1/9//z37BdZi9psHEM0X7rm3fkLoyjR1
8GaxLk0SZq+JEj/QhGvBKN2gxB+j5JADRwviUMB196Meo/RyuXYjNR8/Q+tqsZdo/ZGsv63T14SJ
HdhKCcaYPcNHHTiCcM4I2+CjH+PzAkl2A/N94AyRP97tJSIXpvz/oz/yQHLNbcnJZv1n+Nj6gDqS
O0qpjX7N9Oflcu2GaT5+htbFnupPGY7mVc2cOGCaM+ZQsRMmmLcD6JfUSm5wgrPaOMKNM/rjeYF2
4/N94AyYP77upRotTJbdXtfhdVPfL9B/zxQEPZC2pJJzuZMp2DB+3AF2TN4/dEsRXibNbmQeTWWG
zuLTXqLzRxmvs2pd3a/Sfw8NF3D/2iGcyo3eOI/dj2YHgmsqpXQ20M0QeolEu+H5MXKGzR+Xe4nN
wiSmXN+YV8TGOQA0UhLBdqoNJfBNwna4Aqd7aMxeIspuUH6MnIGyeL+XoNyHQG/MP28wtyb99qoR
EAAiAIBy8VhrbPuAUMW04lCu6QfvPwToPxVrN1i7v2UG3HI/CcL5uqrW10FT3db1K5o7wQ4QkXJb
2HynStlgCUSCbjugeQ8Re7E8u6GaDZ9hdL6fIevyNll36/L2fqVewRvpA0IcWzG+9UYIdh6mFGx5
IJSjBKdbvZp5o5dItBugHyNn2CwP99Lw/TkYZID814MGmgM7ppj6BVGgxD6QkgoBindn8mZx6gsE
2o3M94EzYP78ey+BWYElhDevmDlgzoHU08pvLRpBZPNQZxwwOMfmgjnbD8zIwgsE2g3M94EzYFb7
mUA4DxH5VKZ+RWiEOuBCAxkQ7LufGTRaHFANWBC33ivqJu55kSy7UXkwdIbL+cVeKszRrSn9V2Vt
7EAJRJtAZicqDj8QQoAjkC1qM4V5gUC7ofk+cAbM0R97CczJzTp4xWhHiAOwZWKz+2rBLBKlVBwo
iUycQ2Ze/1lBdsOxHTYD42S5n2AkKBuY8DWpMjmgwALR5TajNuNiDhKfwlFcOj+42kPGfPICiX4B
zPeRc2z207OcZDfh+lWTnfoARTctnPukDCzUI5evDpBMszUSohsLN1eY5wX6BTL3A+fA7Kdrubjt
3pzeltXtcO9+//sQRkBtuCZa8q13gWt/iI0NK2Y7EqXfDUuepwZeJtNueB6OnSF0cbqfZs10r8nH
2AGxhZK2EBu9mOmN5gdTglpRsn1/Vss5eUaa3ahsRs3wONlPn//nbVW/+RKCkL1uK4EDSsYkMmnb
IuesyIYitaLchl79KGI/9DUvFms3QrPhM6j+/LKXqnP22pUCB3GksJm27Z20WTvgb4SilLDlA7MM
2vPy7AbnftwMlbOrvUTlfF0OyTq7eT2Hw5GElszGqs8cjTqwCfQJvR8bTwNj91BnXiLJbkR+jJxh
cr6f3PkMy9Jcx69IAtAaBUiYo+TWns1iGUeCoNm2zek2JzMjaC+RaDc2P0bOsDn7ey/15Z1pwuqV
2TM50A78iFL3FOyx4miKkih10EuwTWTOijcvEmk3Og+GzuB5t5984HwdZrf3duUVyLNEwmxq03jg
Qx6SZ6UPGFVUgMVtbNoMmmfF2Q3LdtgMkvPDvdSY8/A6CP119oqooEcAFTMNerZZ9Z+tGcppGvHm
9v0ZbX6JRL8A5vtc5tic7Ck2VRXi/3kevh48HN0zDFWz73kY/dieIVGDpieGLoJtNuAneF4k1K8Q
ejB4DtKeUjQgZJryNRECNVY2kjVid05garIBGbAp2yrQjA6cv0CiX8Ozmcscm/3s5zg3Wf2qqTSB
Tg20pVGNdP/dzywlQAm0R0jK1NTj8Yg/Py/KLzC5HziH5NNe2rSL22/luopfM02DdkGcGuC2vW2p
naXQtD4Af0Mkel9Wm6nLSyTaDc2PkTNsLvaTC1zctuvXrDVzfcClQo3/vhl6xgQoVfA16Ia2nU3t
jD7Wmefl+RUum3nMUdnPzMyUpj1ep3kVhK/ZPCP4gXIkgpr7LtuZKUNvk4RKMSSnN6ZuVnR+sVi/
wujRrOZQHe+pcevenN/24fUrFjrRcovTOPD2YmveZjhRog4ocZDsdH5Sn5dI82t47mcyx+Z8L7H5
M6yuTVaFrxvpKK5Ru1Hb0P9nKm1zhm4bvbuX5kUi7cbnwdAZPH+e7Cc8a9i3zK/Na+JjHwhKOQoF
CDann1mdgDKCJjR0d9wz7ZkC/fkimX4B0IOxc4T+2EuEJoP/tynjex/9CvkbNAlyzcR0XG0Xm0b/
JgJRAie1zd/MQtGXSLQbnR8jZ9hc/L2X2LwPwld0OShKC5zhQJSztWsz3oYeQbyDApvY1nbgkh7G
Os9JsxuTzagZHu/3kwi8jxN0O73qiU8c3nC4QDl6oyrzvk2NGgJYACH21tbBFz3C5AUS/QKX7yPn
2Jztp66Ut/6rehkcmcaBTvQ2qY2XmbGAjZdBCIrDNzNMnpXkF4hsx83xuNxLPD7cZlk1JO36VXsE
YMMcjdsGtk2ZZK4vOHPjcMeZytMb1GDjHurLS6XajdDj0TOcPuyn/78McP3Bm5PqdevROOypmAOS
vD2ioWe+ZgpDKdID02Hcu5+Zr3mpVLtxejx6htPlfjLpT7f9qx75pDhEwx2BKx82ngck+WGRDek1
DgIHRfpRvH6oSM+KsxuZ7bAZJJ/+2ksTt7nVYrmOX/e8ADIDHNwYaZqNaszDG0IOGCdoXFezZPRL
5dkNzePRM4SulnuJ0Cc4IVwZc3t77wX+++iGS1zFAZ0g2+QmmeWlnem4B8cJKZTj7n5m0eeLRNqN
0IOhM3g+7Wfr7ed6HbwiMjBZONWJ5OaWTM+Qubv9wUZLB1OziPM5OXbDsRk1Q+LzftZvvtyWKSpS
rwcGDnIQWzL8b5bYxDUPCgcItUJu8+5nVrd5gSS74fg+cIbIlz1F5PX7axFLUuZoVKE3Kz/nZOi/
BbGWOH6zeX/GyV7S8fsLaL7PZY7NfnDm6ydvEtvQoo1nefTJ//QqNY1YH2lNnDrbeI6Z5oCSobMW
9zzc93KKe3XdnBecXXD2a7F2gzQb/mgm/0e3p/36ZrXvV9At1/X68O7uugeXqz397t10cafebOg2
LtyJ22btTm5+f8sEVvn7jXjTV2zHPbHm38fdrqv697eWUgfa5hxHDoAeToISuJ8OPfS/vwVJmHQS
ZAL1Olyj50Als+kOq9/fIkLiSC0A7u2VONV0NxyGoNOXM2TxNEV5XONmve+XBn4wyYAcyPfV2P77
TdakH0yY1RWu68Oeyjcfm6ScnohEhkZfPbMV8h0MAuTX60vk7PFp+j8JjcqMdrG8dahXN/qQ5SK3
kgXJ23D8ImWTx2thlbJaZcVQDWJZs14G/cIyHvnmZ6XIrIVhfWyf6kAOzTLWVlYcdzpNqvNEprk1
uCbuZf5NxnXUmyXWKon4wrdtQW/t3gzNZRL0drJ2HJl71zzlhbrwVVjk3E1pWEEUkcsyfR9QUnfZ
0k9kGeeu6WSavqP2UEBkP03pcMZSnkX/WFVrMOYBpDsWCYT70RqhVsqERkVhyjxgubAjHq6RTdOw
CVTg3HqdyaLiuE5FIo4T0ValfTxWfh12izHMcfliQryQeaunH0/BWx4/f2oL4kiow2XiWIqe3n+A
0Rhxp1JEhTcRjXkcLmrDJQ9crZlVRKuy7/yyXpZB7YvAtYQ15tmHTvChYgsqRtXx01oFWRW7xhS8
pBcI2gu894yQoLUPhbTBeJGZ0YqgMoMTmhJ7/KGQdgrg26zNv9rSyEgucoLzT4XreY3W5YKOtgWR
vcH27WKVJI3Ae02jrfokp56Dt/qu5qpYNR3vCVs+LZyYHv5gl0M4hLLwbJQy5PSA5GPh4j6uUi8w
+de8RDm+OORV7IhzRgM+nPGqGYrC1V6bjF/SoB8G222CsiuCRUtYpy79YvSs4zIV0filtJpKXTih
mjZ+L9o00UdxI1MzLE3FdRu7Q2vL9jIvo3j8MiYq7mKXJMkERqgTy6txYZUO8Es+4DKyL07a97Xn
chkNeKlG4tfOMpcVr1bKbnqMins/hOIUd4/Xjm8NneuYPsJXGCgFJA+tbNrzdS7TeN1XKivylW5L
2l4Jbsb6XVnGXukmSVqydGH5Xtof+wKb5u/MyTzxpSUttdJD2/GhP22RGaje08sPRjdffRsJbPgu
YSsciZttDe4NmU91nnwdaVqVvtszYueV25nIJCe8KbpKoPPmuxH+sEH2oVmbrNYjvKfDXYw6k7WF
WZs/sSpJFXQp7/7mYzNtxq4RaZktWWXH2H6qLaT66kV8xCbsWFNX/rlNwZrKZ5RiurnskRwc1zky
G32XOOrHBKz/43038rYpLK3SL6nI0pq7tWmkdWuKoBjkWRBXGT0sPduEH9rK8cfOzQNp/EPfqVlr
XJwd6JLWrZlfnCWeo656XibO4FYdVe1l7VgkXBRy7M0ZNhEJ3IgIL8xd4SlKs1MSEOxD0wa4e+DE
i+IaWyRu0dTzfrp+Mh9cHpe8b4+eXniKrPjDGTu4NIdMARa7u5EKvu7xjGPlBVlXVPbntskIjLMs
Swbj3I7TvhVIe4jjgHY9tm0fa44Xv76z2JbKpy3Nm6hj3pXXq2lLsyIc0/I4zBnHDo2KsSJ0VSRt
XoVHoxxiaJ3XpZOvoIOTQjttWkCNnp7S3HagM5DjiDNoM+qVk8N9PKM+CC0WlNy6UVYJg7D0x40N
c0TNiZuVtVJfY0m8GnnHp/bwzOvYeK7QOGqFaJYBo/lz82YwtrG4c+MP8KbKbUmeVH8FwmOZ73ZR
2ITvMw8XEdduEBhA8sy0Z0Di8TaSg7giQQuJmNmebV1ftqFF+oDfWHZiF3whO6LkGhQBJtuMoZ1c
hBY19JzHxdBcxRUhY+CiGSDBojy9EHMlIpKhmI+756YGZsSTMwBqFZJoiDPv2tNjJssjU+SpNxxa
Xlrp4Whwyucdxs+TR/OaQlUOpz+me3NnuziwAy+JBlLeCNWBv6wGqkYar2TZNbBVoeMJ9bVssOqF
WylkJL4aMrSlPmxDQ/LumY1AZxzNnkIypJQmCoLLEaBgj3egr8dI6ry2vsF3wc8e93Uwufq0NwEu
OW66SIxiEabVwHK314xDKhmSoLlKcxUNi8yiZXal02AygYU0JbtM2zCrvj0N09zmoiWDwOqiTRa3
PEJbZj626TynJMXYf+vLusQmIE1MsFik77i03L7krXWVs7iYlKbuzPQS5n7zny4Wug9xupcThLKC
i59cvVOwqh4qZb5libTgpCPwMljWdiA1bC73JBht5Te4YzGNZAYjU+ZpSeWxY0UW3HcRgEdOnHYI
MCoLx6Q9E32cm/QZ3zC3lDauWkYkznAOnAFhpWbMu+ddluts5N8qj6nJvNVVnjQfirEO82zRFUMB
4Sw7bfGeGYqJYjjxOFhXXZ57J5Uuk8hfpONIhrM0KDLYvUwTBYLRSGIllyrV/pguGNcTi2BWNExO
YQQHgR8IvQ6m92n82YwBOrATDjYX2B88HcoKswkVPEtHE2Xss1MHHBykzv3JUNcWbyaKc8d3kDMd
YMO9oJ+oEDjlRL3KvAAcVkBB42kvp1+ZIka3caIjWxyHXTL5i2LojLrwih6fCgM+uYLBT1W1ii27
5KvcKVteLQasKlbqmanNbDGmpnG9H0NrPvIjAlbxsQbWfUztpDHDZ+63E6OrywIueEzG0FzXxIlZ
5g61KcYvNsumXZRahsJx9SpN/OFwTBWt/ZXmVtN9hi0vsRydHXEAwtsRrCsLLQ1XLLokx1tVA3p5
HLK8A3A19BYPDGuP4F+IsSiWIvUFlqKu7cCqFzJpImzVQLMI/9qsz0QZp2btp/zRzAw7UCrYIJtJ
B2En+ckh0G4UalCF9alNbQMWtXECLHD6Nl4gsgz87BkVYTPXOz1SoI+VEdB3lArngReJDAxt3tuf
qoZih9QDrgkMj6AhWB8R5cLIQ6+zTF+5KuEDFjxpvQyKDTOFVerKPqk/2KpyvGjl1cIBaQJxaS9L
FMLAlFMLBKnuMxD6LWx+0WVYyj5xMnAKsI0JDj/uJyCsKKR40UOk20tiUgNJZByDw8eqnuLUp1db
6JnVx+QnsgwyhTtvYCvm/h9Gs7J80g+fgmBQiefWTczzhdcRL7pQbBTlcFgEpcodVzOmo8AtyyIs
TknS8F66OWyCdVb6qSXOvTSw+aLoTO9fkzAhx53XCLWM7cwkNyJKxvIyNSrF3ysYadK9Fy0l/bh0
okzLfFHAylbNquuk016UReD1xlUpSek7Tkqql1lWarqI+ropPdf0TjFGbpC1pegXfh+3UIZ2LLsh
cXtLRiJaaUYbcaWSehD+gvS06ZqjXHcB9WDlPL8+qQMb9mthj0k3jghrsRXzkz4evMYtqjxSq1bb
Pl/K1OrHT50yLPzSiMT3llzUjC4GsDgzuMqvK73UIevihS8T/xgXQtbLwpBuPPN0RsgR7WjAVr5V
OQE5zGOTis+DbP3Y+qwN6ftPfd3z+tyq6sy6BLO2mxtZKlV+Hu3Wz4ybG0OD6qPuxyQ+8kJkN1aj
EU5qXB0bzoKFXY5V4XyjaeRkNwHLTdsvsVWG4lY3ddeRRZx0FY2Oay8rpLOEt5SJOvJSK1YXmtpW
HB+1KmdVEtwGTsZrrHJPuVOK85GbFlt6pGWVBx/RxlorcphlIs/tk0Z7YZC8y2QfF/5h1Pp1177r
pOeH4coTadfISy9jvDhRkQh8Z4W9onjs5u1IEP4klRN22vUtoYp6GXjlGA0nnV9ZQXjUhSlY+SLW
nYCBbfOwkX8Zq1GyOsHm6Cxv0XGEd/SiyRGdarceuNOr9wmzbbzUm19aYZjgPbShCTxuNJUovo1N
oVl7Gqky99kx7S3LthdDJOPGPuqziKaJK0U7xQ9EWiGm43MJp7LuvQEdvItIBlr674cu73L7Q+RZ
UZes7JhbLD+Jm0E77XsVcRlqt9B6yj7YZS2D+Ivte541ngmRVFgpayhgss9htYtAnlncK+3kHQ2L
kCYfoqiLHO+wi2AI/EMT4uqXcgGTNYk0tFZC2CHxgyEsliSPo9JZZjWxZPYX81mG56VRovXnxneK
YlGCLWJlmdOE8CALqoLpSyA/Qju3KPREZUVQYfaLPKAZV6so6KYV40kd48VUQW1dZak9mXzR1r5j
L3RXG2yAMUMQcFTrMsXn8s1Ug1qOWL4iwjF0G76k8vC0JKCgYhkNJ3hoLgIm/6RJP61zJnSEXJLV
WCWgsLLYCcRtUSDxU6zKMEREuugcOtjFInQC2VhAUDRF86WOsibMsF5WMJqjoBkF7c+dyJ5EDoF0
Pl4p7Cw8geOt4ptn9dMGU6U1IS8HC79LdDotTdtSfBQu1ik6yNCi9xtz3M6nLDkvviHhFuB3ss+N
uoql8DRfiE4jTHJzO6BYi+3u8cZK4yvtyJom59XD3WI02DXlYpsL0HKU0794JeNzTsLSutoutbX5
+P0ibz4HPs3ic5vlKQSgmRW03+JQ5WF5FGZ8wKQLNuLPxLg+435IrkBTfaNduQHKjG2NrQZ+2pT+
SUb14EmXxkE7qPc6bQxWqWVpgo+wHJFouUAw4LXajckwJQf8FBcNQEdtnxTf9GYFTQ4Ngl3bzClg
IXJZi9xkqqPHQ+NMHJZsoN1sD+XFCdZHiRAjDqWdTJPv1RBgn/q0nB4TiEDhl4MpiB18Hq1QNPUp
Zsqn5d1spLEZGkiJSU7fQsOywjhUNjh2V1UHk+ibBbXGbsQ/TMKNsA8tIrM4OhlxB0yfH/lT3EcO
u7Ax0Gkd+VN8UHXAN2xtVnyjys+wfSqJyB6TL1skBd5XyGVPX8ja6UW0voOXJCOTOqSjnOTPGuUH
3ecm8RM/XGW+g+8NCk59fhxXg03rM77ZK2FU6do+2i65jtoS4vQhj/El8AAGD4/yMIafb2kxKvIZ
zC1y2mVeWHUWLkjle3i4jAL8yZ1lneTIACSg1QhsAFPQnNjGn9S5gX/F7+KhUZGzikEW++GU6yrp
zXEtDEnTRaJFkrauV/kIrqmmDT4f1EWFF5BGmVykRYP/DmmHUFOSjiKgKpDLTy7auPaQPO3KCE+n
gW/aLyrzeoQM3jBOe7/TMOXRqucFg4VxyiBpnMMkhYtND3sr83R1IjVcVf83UX0Ee+MnxsTx8Tad
HNVJUEarJkiQF7weRIWu7+M8CrAcR/xOZwrjJFiwyutib/zCA8d09eeCd0GnjuvN1HvtV1ginvdj
jBnFflfJQzUSCitXl2JaPtrn065BVDdt8U2WwaniDitAGzbNtw5DhpcSG3wKY0MkDCw3TEZkX/B3
b+JMu0jtDio95zkt8Qk10CnX18qmwr7aJKNHKpPSWzVZUXrsxPeKEd8xbgJUD+lLxNaFFDGyCh6N
kSJMU+SYskWdIIErz9JYTfpUiy5EEt6PnRqmkitvgM+rBliaaIUM4LR4TcinlCprnBi5+CjJfAzH
lTCY5d8d6JlnnXZeVZbhhebRFMqbBu7u3I49ruqPAsHe4B32XmQNwUp1uUyqJVK86AdybSTL1Vfh
c4ogH85QA/zREiNmpbJ0chup9KbtVrKSYvNtVjKqDfI1PCQhb0+7Uaae/TEem866KkGmEaSPeaHV
V9hb7C+ry0esQCTINAcvzywYf6Thpmx+EoKvglnr1HT5V6WHoKDfRJ+o5EKpIh+8lWCmqq1/upBG
vXcIj8YT6VYJskTWwkmoXX5B3N7F9SfiF5HvLzw58KC/7Gxwm+JGt2FbsL8rz0EK96iMmzbVC4uN
VfxlFA0Txm3gHXokRSk14JS2LXVDG+zyNNJs0eKXlt26dofKVL/czmSDZZFHSKMscG5xmKZ1Z26S
pJ3snx78yZqA/U/KG1bp9InsLsflRWz6naTEwicGf5g+6HFkcdNDZDinDGCYeDlU2Qdb9C7GeqD5
YQRFnbRSp9M72y0LTglLpNH2hbc2WaPJnFr+ouyHktsuZSVxPjSB7XfG7UiGHJMYRk+zk67IJi33
rXEqm1SoE+FFgJbVJ8VIsL8FQZbuAtH9JHkcotL4dfsgWWq4tAJbxbraRGxZGI127EZZ3oiP8cZg
xZuCTIF2Z+wGKymmYk1VqlKIZeqnhfHcoFCNddWEMsec6w5VvPY0ZP5E4wLR4xl2m0xiNXcKZ5kY
fsT1ZDMpec6mMuMy6/ppT9reyOLQlUGVpelhECXQxtVmQZAtmYxejK5sfK+oqBWdBYwntvNMgWAW
0COfCvuAHcxg3BT9KfkS1Mi0IavDrgJjFKS2fb+HNnQGZrawxKRBSYsEdeC2YTHJ/kx0h3zBg/rE
9HhccIKm/+nOZjx/lisrm95YXWUjpb8xjRFqZZACcQA06elHzVKZ0CaCdgI8C6l9/FdNYf2D4mHn
xIXjgUre7xES98YsitwT4j1u+5h2t1bBBGoTRkDYiFIAsq1xfFqWxykEdGVh/zj4CzCOQjkc+3yW
yfVazlDmivwrHMSHGQslnfh4VeHm6sPRgDo/t84/PxCdekgcKEczFGH0LIkdByWhSUq8y6LP4Cj8
GB7/xB5imLmtZj89QTqlYn8AO81wOj0jcYmDw3CB4Lzg0yeR8LM6UZdbi9EF41TcHBQfpFz1onLa
VZR7Y/mx6fgQLdMmm+w5L2EarGoU8EfPSPR4p0MihFLTTUbc1hJntufJ40ETq7MHXlwmG6XqwOug
430Te7DrodOGgCAQzQDN1BzOAdTCCiZBopwXzbhoC0T2K5lyI4nbw7QMC5j6Ah+Hfnj0Ihw44slF
t8n65hsz+/Qk5jACOPz1M4ILgVC6ovjTAI/3MPxuUbPeai+CKp4s03hHhPJKZs3HwXIagStjX57q
ksi3oy8df9Pjrg1n+ptej59n92AjuBiqudi6vd4PisglBpbVuGWFi3f+s+ehNDo1w0MxcNJH/GQO
eOehYteG0cXGLYEkT2jYcQK9yKpichhPP3CyLw+2KTYEyvTTbSPoRxHIaM7ymd0w9mE5yvjYzqwy
lgs7TW3+VZVQmOdU8OdHAToHeW50zSLInJu61GPp0PjKP95QkVYiO4J9xIoUL0/Pij7OQOPb0aGB
C3HZdC4Xf+NrXvbNSB14UZ/raxIhTb1VK6biiSqWPJ3Cyc5ps3RBUlEy27XLBBVhNwEVrRY1z3r7
c9QRGMFn5Nq0iDxYcOQwsQR3V/FOZTUcK3q8owhBXd0Og+qoHBkJqkMm+6mW2OC+nsb8U40ZylEL
U/nI+Wo39UZEsW4t/ZqmZ2ARaA3yFybOkZF6xwRyIuRD6knfN8cDOIs0F14fxrQfFh5Dsv/vqihS
hGdlxERWHKZJM7J6QQxRVbp0SokU4DveU8PVB73px4gVgiT+3stSWvTnsR+0Gq08TatCilxNhBaS
YwRAdpguEyvKsUW2xMm2MCxw4w3dQeTgwImpO/O6CYHiu9XsgpTBpSBknehJ1zILRNswB/FLxhos
N6ifauwLXiUTybQ2nCtHaQO4kdyhY+jGVZ3S0c2qUmfhUuV2EjXufSqmgDsP3C3BumN26IzosL5j
4Uzkwi5aZLwQ88SKHeaOwSPTGNFOe0pQbQ79RdKnuOHoCHWGJEo+c9BxzS/UUGuRn0SKWFOSompL
5H+HTXyou6HixTKImxTpYGSGbFQ/3CioHeMtrMb4HUndAieVJPugC53b3aFfwOgUn+Sg29F8Qh1k
KseBmxKmLkxdobjxKcyRBfeX2OcoBq6CsqA0WqQUZPifASFx5ZxK1XfsK5X9UDsXSOd5+cdM6yhm
h1FWWQQROq686+sFWsxQCTvMzABsl13PxnJwiYWMSbsAZaTSWQxi8Lp3sa7qanRRTOpCRPnaKdHX
EgakOhIkqbtviqTxECw9gUAgc1M7S8u/MmSErMZ1Ni0TWxtZoJrlq3dOCn8SrbIgUawBu7/jf0jI
T/x1yOrJGW62RnLHUjM7iRFKlhr17NxtS6JSCgvrGxtisDhmbhdbrf4E52KcqzzTVrJKQ+lLN/D9
7koOoYyWQ9h5R6Fo+XFI+HiSln17jAyLubRLxRa9lsGFHdYJQS67LT952NTHwpemcqF9wbeozJO/
fBKaZa+phxg54fURgnCkulgmz5ycfDUx1DHrcvVOdWG+tEUQAF1ilavI7sVhZMLm/RglNTlEtFAf
OgPhCXasSq+DvLliVORnpbD8s7St6kNZITWOMrJ/3JpGLwPdOR/tPChQlcvDm7AqvGUS5L47iCxb
Sk8Xp87I0tXgZejiyXIp8NXOkC1ElNmrDl954iBO/Fb2pjlC1dK7KXScHMU9TUZ30JFcBRExV7lA
zcBNkDqqXIsb/3PXj846sTKJFEOTfuocFh4SVpNTQXQQusay+DuB9OGqrCucsYhs7yOSmiG6DWqu
byhKUIizaE4vWxYF4SofMuuQVml9WbUCiRCYgmU19M0pr8ohdmXaOQvP1l7g/BW2TA8nKHY31xUT
ET00TV4j/ArTYHBbXDV/69TSTpeWZ5WnqUY72VLQOvrYtzxG/JaaM1nVtFh4TmDWJKrydz3udTqr
FJ12qCenHhi/7U570OxzYsftCbLy1mkY84AtHVi/G9p1PHPH0aEBwvnc+rvLi+62sKx+wUI6rqsq
MgwdYTnaGsexws4Nkjxx0e9QNst87OL+VDV+4buE5uHFQG0YYoR6i7bjCT/FxQRJflr2RbliecPO
ZJL2LjLQX+T/Y+/ceuNGtiz9VwbzzgbvZACDBoaXzNQtJUuWbPklINkuBu/BuAd//aysqq5yuU6f
Qr8P0KcBoyQlk5eIvdf61qb1X0NN6TmN8PgYqVUDyTPsq87NpmgyvyZtWqjlzFkqXj13qBVD4Emd
rPQIhm2si77LeBXoJH0DWbRWSTwtxxUCRhWHs/rgomX8IJlXYz0q1T1vzG+fheNzXG1Ou5pGgg/V
gOMDMVNCC8SD59hep660DySWbKqX3Qxvw8z3CubT/IK3DWwV5yb6QGBuXPFYlLUWIb1O+yV9k2Xu
bgf4EAZ2SKrxoVRVVAcbOmXd3eZlsPbVFI3kTQQotpoSdeNQZYPcHnKbjwcs9Hlek34vTipa2QNc
drB5lonneF340WgXHQdu8jeR0GeL/v153+a9PG489dWwzd13jxNyZKrQukV56p+UIBmtRLrBSR47
VYXMmKucjPy4oT6Oqq6Q5JksirwnjicfB0HXd7Ob/bvGDd6YYo3vUoBhxxA7RbO5TT2h7g2qzC7m
NhBy/LKH63JMpoiCq4DMfWY+TLGXOaxI4dCX0KmyMT8VMIxqLpfhOGZaPIPMSHD8Jr6OwiU5DHki
X6EXbg9kYeIU+Yk8zbPYbzo5bK0rsOSiPZ/785KG6lro1D4skoqPoizTr8losDjEmzfn1M94eKC1
3UeJ0jdOFPaqty5ZoSeVy5Hmc9qgbQf5CTmGXO2BoLeUMvFhj0v2XELSed32Un3Eht+d8LAVd3sU
KBAIeX+YCM1u4bxHSa1mMjXl7pcE97tYDnsXrA8jrIGHzq18q0H2hQdhh+2VK512aPr3/VaQVN8A
MxihWszrxy7ZyYw1e3ZtUozlKYIXWRu+p/el6RI4BiL4FtAYBMmtz9K9J7WfHWrwptCQ2svbMUtM
odoQgywmVU2E01sb8O4B6s90DlK/vExKvOF3OgjQffQiZ1Qwgy6GsyMD4KmMR/01WXn8RQdU23pi
NrwDqqmf+9iY7cjiKUlrwqLiJqWrKA8knBdyPbOSN/CX070y8OGbkuxzUQ27IqaaE7qc1wAcwo0P
tgLnOg+tErcbMTCgIicie7Wk23yfuDT4UCyk53XuBFtbRrh4HLrezC2saM9u5n5c+yYQSwaeidIo
OBZGyv3Rl4vQ7HgpPcKGbA4vnxxx1lbbjdcjtAIx1VGByqXOZk3NHVScQdaJjrqPtthXX6/hlN8C
tqFRYyOUiDcKAoF6yXp0pQLriOAqy1E4dQuw0JNReXGdxS5cho974mlsKu+2kOjrGItdeFWmcCqO
2+QX0TAjM/1Egm4cQFB2ExGVCGg3jXWQEvfUJ6Aeq5il04fVR8F+tGiAhzostji8tWRwSx0L+At3
xYTltAHesjcrFLfrIVZ9jWzdeK0C7+RwP/kgJ3uC07+Ebm6gH83jhbLlcTbfK5UOpWp8PuRTDOFf
rngeStiutY58PLdppCd2OzK4xtW8QH6ud+W2pUpmD0Oq0MN4Wvo0W9vOZvZu7CHfNoPr3Snp8E6U
Ji9DVkCqG0R0NXaCwybVWeGr2MKVz1WszkFGXFHPA01lVaRjAokQWuJLxAPxzRCUJongPj6uK42S
tjMs1nGNEo4Faw1mACixrQqWP/ogXQsUZrr0/VRjJVX4gTUMesykwiK0lXnL+MSrrNsiR9pxLqKC
tTx2a5bdRYHJ9TNM5pmehq1M3zpjvuw76547xr90hGdDhTZhfrJgTlpaUnEMsXmEWCRyAVuu2G8m
H09nkfT6YJggNd/4zqsCkBWv5jmbn8Qy5Y0Qua902adYX42av6qO7odinWAvdo7ewfkswzpy0m7N
js0mfSCSJU8FAFDR9AYaFO4H3DAVeGb7LVr5+IFviyxbWRTdrVyX9UlvUnWtdp2hV1Czu6IKZkeu
5nXYmnjZpsO40expGcOoJYqtNyPNgrt4dOlNzGGmrp2EqU7QFjVxTDGYQBf6uLs4nipE1aa5CYnZ
ZMujfD2D/7ZAz4WlFZE2dPU2dkOd5tLwikQzBQEGoF1fyRxfrvUQ3592ile6Ufjx23GA79cIPJS2
2v0oztjlsfn3+Tg1/YD6AodAH7Hr9AddkLzWC2cvQ99FX6AIugNgInJcQzIfCl4MD8EQitrMOfsc
LvPzNIDk7dC4HYqYDq+rjdVaZcm6viYhFdc6TqirqHBDWfcQba8pj/GluxDKe+9MjSY8uR/Qllwb
G/VfR5YUX0baRZ/HKLG3Bo5yk/FtvUogZb/AFIjHy5rmeJUM4XaXU5qgbsXieLkJ06/peGnS/TJf
dm0Xy/fVlEHfTnkPgxYi95pfLdnSr7UUvVPwwPYVImZhh6hOJqwjVR70Q3Y3cRm/M8bUWMUTjqEa
poKV9Yi/W0OWwz3BPM+u5lzHRYMW3kwCtdbYXc98VZ84ujZWjzxJwi/YeK2oSFBacwrUmDeKD8Gp
37L4+cIzHKLdjLrqfcDvs8wN79qUHNsDOs/DqgHOVivNkltYiuKGe8AulehQ0tw6qfn7GCvX1xLy
p6l6M7mvSnk8K3go0adpDnX1m4GbZio4haZdBpNcQzzvgHL1bkcxX2TmO14CZ+hhLpi6ST36typA
OaKaiW5B1gbbDGIv3E32ouQ0vRbcuHqUiWymMNjCs7ZF9ATXrySglVDDVbmybDpaFFXXWP0W27qN
sQGlHEHpCbokWM8Js1FQa3ohqf0cZrwV3IAPBimDm6hO2cyGdDSHzuSweOaxHkYUaaK9tLGmpn7r
Y9TUyUL3z4vUy3gfr5GVDboKOmJJI/m681pEupv8MQjjYUnvc53QshqjrU/eJmD/wVKboHQDPcDI
G114N7I1X0mNbtulvNI7m6WuC2y4mW8YfLVyqjRYzNQ3i/F0Hm98SSHp1FKjAeMPk4FqlVQOkCbR
B6H51n/uujFdu8biUYG9g5RQsojKuG3N1aFDrbZcaaaD+Re5SWeyloHLmpc22+ABPtEwhid05AC4
1NIInwbh8DBoPuI6pAEwLj0giQJvwgBSxdf/PgekCHEe5bD4hnDmss+ZyGL29JuIHPCLEaImcpFs
44g6foM45QUpAMdw8WfwHO7Fty6locuP4HV3PG9bJEn/qrllAauWEgJcgM6WDjbHFoHlWL1oBkGh
vFUoKN05HEjo01p3Um/jcYfrhquFLW9Yh/ek1IuZm2xS2i83icbX26t+Bf0ha8A4yUyfEpXxPm9z
BA365DrUevMr+KheocZB79BtB87LAetxoNZmBB11FwMyQ+nOCVZMT3oUUWV67FUxe8+hDhsovH0N
1EtPNm27xaX91HILEohAO1jW8nZH6Ve2NJhyCnfOUMJ1FaUbSdvC70l6hB85v/BST88BqB9VxStC
cVWq8ey0oGDmb+EyosoCu8rE2K65JKwxAvyMq/Z4gym659r/yshek74zDxBxzQn6dH+7hjSpxzjX
d0Pk/dzyZAZEZggMah5MTwNxtrjaUMIVVbJwn1ZuseNyFCoEXelKbheg9Wb8xveQjlha05lWOfZR
3ahk94+yD6xDgRBMLSpQdIh04Fl2FHmq5obOpXsPduo8r6LObtFjOfZj1li8ZvKrwLR0UcnBoDVY
9sCgGxFDxFqUE0KeNMtG860L3EVxQUUdL/U+su6A/JihwWHWUQloKN7IUtMwXdc29aE8RXItXicz
pRAsCxp3aw1Bsc/QoRZenucyD3UTh5lWn4FkAOeoBAf9V4M12QwKpCgG7wRx69yh856rdEMdfudg
BLrKJmPRFmM+XQedXBFF0hnQaDB/fAZSEnstm3LJCKyyQLEjqGNcmMJ1QZWA+TttfNqGWkMwe98B
UuDeoOSDDsIV33Pnhzzi7sHjYjcpoSVpBzAf3wNAVRAPB97dBliG5Rc0l5Z9KIZZXKquJO5PqGDy
a5EWWf+OJTLxx8Skw+NqE3oHfLP71okIZ760uwNGRzWUkX3vXcX70D6XLtMPVkwMXwHxOrjWxbxi
NS1mhM3GjDxGkA+LhgyrvYogWvSNBbPzySYp8o3ZKNPTkg4DsEmRPW20Ww8qXsLPuZBRRQrwkUxM
OxJWcvcV0gv+jKxn3DexlgaRjGlBwIn0hpirLheg5uSyA1PtqHU4XDJdkA10wzVfCh8f4FzB/w0T
BB6bziQGS2+AvFpfKV4Ae0w6uaEoWLy8SzTXt10cmbIJs44XBwAa/KN1hQINrRZ8S1AKxZdUsLKr
ZhTg91twqXglJsEsFWpq31f5SAkwmXHrWYMNfQARBrnkYZ+hAFR7znnejgbgX5OEc9/um8PvdBkw
P+AsM29Mwn+xki1tTKWrrcr8a4HVwtw4tQjeTJspH2UmlMbHZdmGhqCHCjTH610y0fimZNNYAF+i
fq5ERMlNELD43U/9eO0CLh/AEA412LT4DUy7XuB/FMTXfSYHURc27X2jrR9kNYlS0Vazvpyw/opk
uhmi2GcHldvsJaCMuzOUqzGBGLDOvpr4HL32BCRGNQMQOa8gX8K2sJlHU0BipNI2GmZzO0cD+zhm
Ttga+yaqOtTnDUvEVl7OW35vEwsZOolXei6nOfm8gf7oKqOn10TO62eh1rXCRExojyA9AXB1Brf8
JF67wIYdaisX1AEqjzuhAedL6C5flk4HV2LAQ92IfizulVbrtco2ZPVEMd5CFyhOAQ3LFyjGfYHb
oMvfebwnrUtD+WiEj69GvNE2rgdT2ku1Fs5AehZIPIWU5UkmbMmbnQQonOaeuOOSxWZ6RIq3bwTE
rUbgVk/rLcl0i/Iluln8ysAs2ugzo959JlRFFZc6RPApG9u5nOgvwJ3DJs1S9Vyi3D9GKY3eV5Dx
n0P8SlYFDicOka3PyEyWdw7wwZEbhaeu1G8Ap9UD16GnVanWMMJzsD+QLhhR0UTpfMR+IBa0GTJp
ygLQDH771m6x+DRA7GhKh0ZlQ9Z5rxyL1pegnNKngSXpXKdQ9a84XyJYdCBAxyT56jXUf9GOHHqQ
eMcGNc6mgTePFOpndLTrzB9FKtc0u1cD27DKS0wWAzMlNuSyAS84P8wbvAYYoet96oH4+KONkbWL
m2QNnWJXoWbzsF8BMPfqmfbOZl+zJV3H07CWs0prmopQBU1pstQKLF4jKBt4beA2BhL1edgACIx2
lI1l6PtajLkI3ZX2DipmlccuO6TpYssv+bIoLCobHyc3YR3LWJg1qPPATzSBz7sOoE0K9guYNMp4
0F4eGW08NMDr0wyIKuPr93ALfCEbGK0ACFvJrR8ZnNS+G0Ex8Y5e4HbcgxtskG7o9nD7YJJSoYXp
E5cL8bKWlpqhgUFcou9D4LZ3w3kYVqnXRlrM0YvakCdabu963E3kK/wV3vvarilKsmrnDCvDiSLk
NJAaivXlm6R5F5LpyDpniu2TDro9zqqeliP+Gxj9Inc3gZJomG8GL+mU1y4kZWEO/96e+6tDDtcQ
BMjlXTKXvBsM2Evg/0dCAlJZqUKkF77PK79kQM1vjEuSLQJGuSxYqoGkmdAFCGD0Ayy6fziAv9rb
lwMAKICIG0YOwyWEKfTXA+gzjwxp1xffxt8OYP6NPJlHMuGOC1b4Yr85pb/PT3j4zXn8bQ7A15Uj
WdMx9dM///PjOuP//s/ld/74mV9HJfz5L7yzRaxy/UX925/CG40vwxDkzz/0l7+MT//96C4zFP7y
j7+Nc/hvBjY8fpd6Uv/Nf/zLNIe/TBn5ryEZl3kHmNkMPuYPFOBv4xzqN4T00ab8+abpP3/r92EO
Ed5AHCVIBIWXMOLlvbf/NcwhwJty/yMNgVzgIfo1egx/+vdpDileOhnBw73MJEYuH27///5fcG0v
Ax3w5pYswR/EK41LUBpgNf4nAx1+8sB/ZRcQU8LzhrfxILKUXm62H3gfhXAA37R258UmCCRa7ITV
mgDFrsfCmg95kPnrwZllbMNwVK9qTc3zmEoHrows26cfzt7vt9mPOezor8/WbyQFBhZcbvEQxnx+
cex/OJp08XwkTJtzvC3RuRv3hVa6WNHQO6NARhub6tfC8KCvxFyqrQZsha0A4HaRYvcslm9EqfAe
f4OhsJ2m6BmAShkdfZ7R7xG4cfcPz2L8E6/wK/uB5A2AIRByYRn/xH6kPaQJgI3qjGRE1zU58h3P
JsWucVCFXzMECV00NH2BHngvcpRGfgyT44x9OIIktKpvzEkZ1X3AswZS9IpuaGYhvDKRjUCm14E9
jBrKMhoc2cAUIS+SbTfIgmSuxbyL/K4XzMzHf38d/n4ZsMSEBS5EjnsDMa6/XobCB2hg+CTPiAmS
l7Uro7hKxxi3Bl+0e7BOkCdOo+nzv//Yvy5sWQgZEmgL3tiJ9v3y/y6H9cPVh9jVpVx2y3kp9+gM
0l2fYeAjO0DZy7//pMsS+QNf8esnEQTFLtwYslKXmfk/fhJfQEpu0NbPsGvTN0SdxHSkqvRxNXLW
hhsg7DoJfbnWMOLs/E83zc/YF74lAv4ZRnTgxWVYHX76eIA2PTYQODbFNmYIlursbZwux4D4hWzR
AKyVD3Hpj3baLMy4cS2+Q0FAcob49Nbl0ADqxA5Q9wc47M9QjeOkYaX333lgeBMGsB3qDBacOGFs
/a7/CZz5+4UCVIVlAzgQIn7YC/96+sJcZ0uW0eAu0nR+61E4d1UUjGpJq8RjesO1Zf34DtgeXuu+
AUrGpt7XaEOKX1Sx72vtWVegBBvM9x4o6zeTcVbgZcR/rMT/Yi0Bq/bzRUYaEDfRZR4vQlxZcUnM
/XA75aLsQ3Dpyd2Qgl8kZaMI24+XnBY5KKM1QNot/GBmn2lk4lkB4Wo5yljw45RyTNKYtvmRYyqN
q4rJdp/sMK9XXqKw4tnGn+GTlQ0FaVvrdRh6RC4TtEZ0kMvZ8kCikULN3XURGSp0/ICIYsPmE/yU
6TEeuocO/pirJl1sZ0W3jyqeg6TJTYwT2fsYa0Oq970KbTncTiwrX2kI9ZblZXS7o/whtQ0Zqljc
8/1VUAo0R9aXexPZLGj2wX3lEl6kBuaLznFWxYHKTV9hFkD8cWOY33OkRRD11c5G+k4QzIOEuWzB
Fz3DR+eQX6/AsfOraCPTt97wHM99Mo9PPaGuqAxqx2tBha49zgOq+Zjcwy9wLWrW7RBFLjLtBOQR
hp1FiKk2MaPtLBMBVZTcMwqjuAGOrU7YamJbI4yRo7Yvps9uDtlNLAh/yqBIHTUZghig77y/lfkq
Whm6YT+YsewOAYrqN0jr9hcgUDyrASyFulq62HQHp4YVD4e1re+MLg9ipayZVDKfFvwo4NVUrDjR
cNCrQQ5DAF3EAu1aM7dXqZponahgmSHYjG13wRw/2CRKm14K0DID7iR1SJQl8uiSwt3mEBAmCjhz
U/NcwY2B2fWNURbH+6u0gbuIB0RgKV+/xn4eVCKgZWrNw7MaFZgiiFPbfgQ+pSg4lB4owhBP61OI
6TdXg08SXWtcAwpDJiQQUBi8zWahFPuhmka7tZgX04W1mFRE79kW5iALRl9Y1ng3EXWbS5XgjrJ0
jaStNfbCQx6wgd4bPDp5V28lR98fJRh3c1imXpAKRTckl9bBnagDSiKCfoCCLQdsRpE8YQS5/YOd
imluJUVVcMiWbt7rcs+wYi7xCFd/ZiKYgCv4Tj5ADQOzvXZ9+UugTdGHTbjGCvBNqctzBgeQXi9J
oYpsqBcnt92fZIjVDWZVxwpg99Ls24EIufQHP+WzP4VSzrzOYggAdeEyPx0FQndBjcsafwr4vEcN
5OBxbvC/MLiHPRKAhlDL8mmYZzJfJYKoqR0BdD/uWiUw1yGlRTfMMlksMNdipo5UGL48YTNOrtHZ
xONBcxxBu6qp29sycjsaksFzezeX4GfaAI+KAJkV6WuBqV1T09Gk000BQpNXfSFRnyyYybR/R5NJ
cvgnCt4S4sdsu4rCPj2hkh/zGvDSljT92tNm13REV2wFJ8gn2iGtE0DlO4SIYQ9uQjqlh4hTEAQF
IwVvI4weWK9YH9muHUnKMBYGP1dFBPIFbp8OsK2zPURf+BXBF4F+3SMJg+coPkc7Jhb0VWnSIPno
Jxvrc86JX5sFfe1dphdsSR2QR/wCgYieHBAWjZZXOCELu94QoHMHabO9v0FeXX1Mhzh7yxyFIFpG
uHkRnAHn1sp873HwILvAAyYI6tdoDdseYcnXyVpUFkM3mCe0bfadC5bAGbEdbUvMSIFHW1L8nWxa
EZddhInO8J6S9INUWfQxUnAYKpsjkVsrhAxdi2jW0J8ELDxY6QU0y/s+KMjLEm6Xm3MYNnksJsnk
g/OpKutws7g2zC44sBXMRXSDHYy8oLnG3T1jlRQNXm7p1islCY0fBgGq5jEuF5JeuXSw+k45dSk+
mXcP2Rjkrl3tjI9e132HORDPagcYUly+/OXQLdYnHBeEpXOaLfgWekOypmLjOu41GQ0eHT51Y/9h
QZYUpqlGVdDhv2FNjdXC7rco9dA6Es5CXG6k1fXdHDDohn2oN9iE4PqT1psNHB3+DVMb3wgLCEyS
S52slvkFtgm5BsHdlxXimCPuC7jPb3aBBwAvY/CPiXKhvOlQ5g43KwdX/FRitzjKJYzOG+m2V0xR
yrdL5K+Pr9eyI/oGY7KgWXlRbDA3AY4feYzTerHu/ddxGrMHpyVk3Q0DT8ZPNp87eYJdOv+CuNll
Dem3iTXoA8qk7UGjyQPHIIpPQUjnw2x5B/k4xTLnhWWPPajHG3hSQ9ZksYiRg5myFNsRi8mLwDCO
rp3iBY/JHtCEXKXLGm3fZyzI/rqMcEu1IF1wjwwZDJYDLBfTYpOx200kdJzXlEzKYKdNTIjSexu+
CAKMMPAo0693okT0DViblxgyFxUG1EyMP+Xm6AJDWdDKVxyXxdYBBBvEuo1Rd84XMBOM3KqykKd0
hqhx2u0FcoQfLfcjn8Z1vVtyl94GCoJ9y7ZlNjcdcsmsLjM5s4+oROS3EPwqSMeil6YambSQia0p
N+wCfnuaYPD3n6N1T0pTAcYZ/TNXYCnwxwAAtQyp8O46oNy+sy4MDLKgMh+vetDeH5wM6H4U8ND7
tt81btI+VkPy4MZpz85zzi9GPTdhfpdGDASiR3UjWwuuAEhuufQXR7GYsXZIObWRS5xozAQg57gj
0o9DTV1XNJ7ChKgphy3+CdJp9HFgAvcadjrygnt9lg8LWTAoR8ecIA03MwAOTr8i7mzLqBpHUzxn
cPJtY8E2p0CtJgxl2CiGmWBzxx3d8j7B1UTj4N1tn6hxvS0EZ8kDqJQpv8LsAfhNvXNBdzeKgNtm
lrD3KlRjWt1NE8XxC+QLD5KVIwP2GoZXfkvx3Psc+DJGY7ECr8FCVfr/lZR/OSn7z7mYURii/P6j
fv+bkvJ/p7f3tz/flHKRUX77ld9llBKvE0Y2CePZEOiIIJjkf8goZYkXoUYo9NFUAfX5VSv5XUZJ
sv/Aq1CyAmNqL50W8kl/yiiYio7+C+/tQmADc1T/ZzLKTyrAZdTSJckToavD6JG/SXJDxONUJmlw
IkGQDlU/+P2kSSo//nBO/kVP81Pf9evHFPB2LtOQsQj/PH1zj6TwWLmCE6I/0UfMoIDposPyfraY
+vMPTR5O6I8t8uWzMP8QQ8WwKSCGcZnL/GP3hGsxSGISevLRSu7DXJg7RCiAq+6he8Aq3f9TyCSJ
/v710PvnURZiYg7edRf+1Ba7UWYbIp/01HtBsbFuq7oFQtsBUAQUmEHgseQFUloSH0IN4wumNsZu
HXNQL8txyzpdZ8akttJugYUw9OJEVgepyBMRvi+IsAC2k+QId44c7S7645z7uEb+ebmGLTN/mEaM
Z5wCoZ4jlS/XGIrIDxgb1p+pV/057TAAqkm6hR1Rjs9XfScxUkXJ+UOMRO13IOn7CxtT8VLw7i7U
vm9tMaECA+542uNkvEtTpF5qNiT6Qyz1/Mue7Ov9jj7+OQ77oVpQ2R2yjS2ws2aDrnKxp3ClmOW4
b/GxNCGyRBhq1EYM/A0aGnlTRGo9w3RFyBi15Vs4dcFpyi9AlQjsafNQ7qvUEZpDQI/Xr7LEENR8
nx3g3J3pCvUPqn9RpocQXe9rPwbEjo1josCuVXiL3PUryeLMy1u28OFQLAUqSktxn9chw+QyWJDz
8q5FwV8HzKv4NJAxfiTQ6BnaU0m+DSUGsKAQFSit59ivI7IavTsIU8LbQjSOvY9sKrMabPB0H06A
b2rkGbCGY8jLjQdj8VL6HeOnaC+AaF1Q6WEH3JwCErpHZPqRuT6sqUPhwpBHbmUUilcMGzKH1YXq
UBqIl5XDpJpvYp7ZkS3sqxcDbzqEPW86UiJBEO0ZQxWCk8MWOt1t07x/gqgQfEhQGN+GO4LFlXTR
CL7MhEEz9gMNq2BFgjbvsysKERMRoUW2ie/H23Do9LdO5up9jPwwtXu350sbqJ5c4xRIzEfJv25q
qi2gpPMyQeTDJNtvYeIsvML0hgbKYc/rnomEA7ZRPh0DXsJzAdUG688uGGOQhjUGtuRVwdXNEIgU
3IvqELALy+ENWT6KHy6+JFRDDVpzDzY43x6pneLbHFVv5lBuVyVe245bG0+Pg7OHeXwpwiCR+e7m
IjhkIlB3GE+1vysM261xZbN3DpL8Hr0EAny7Uo9bpoIayYxHhLX7Vmf750CL5BzvLG5jv8tzAIWn
tSS3T8tCdA0FxBz8nH5Y7PypSOgan3rQdCatFAhH/3XJe8Q2KPQYtOUaMZup8iWPh2oHCtGM3Twi
/B9rP9Z+2vL9trSTd1cTCTHnsGYATcOKBrCCXkZpMeABdbeWtsOJWLdGeyOHjynGMHRqqhAxL439
WHjFWhLJogNCD3oEfS6CelWG9rkiqlyWozVIL312QYqBN0h/xmDNSivDpp8CXx7kgKo1xXgNhekH
o927RzNml9E4vDfdOd+A4FYrwjr2oQOrViYVzzfJbggNDPB2DD7IXmMOghkJwYUGrEUlT+KXAfH6
7LAhfVJ8KxwwrYopzG65Hj2G3omncUbRAuuUyPE1yPj4RMzcH0W4YBle5yI7mVBNLwX1wSVvHlNf
WZ0n15kza1jZ3VhdZQEjxww97/X/Y+/MuuM2ri76i+AFFObHD+iZ7OagFkXrBYuiTUyFGSgMv/7b
oOxEkh07eXeWV+KIpJqNBqpu3XvOPpiYmltjmuwDXSfdRd4wMycvFt+4Csr5LOia9Y/dyIk+zPMw
vjqipH9dGmW9Q7VqHiuJ5ycYaNdj+5LWse708sQ409/2xbCUYdFEaGOQ3VU3jWVxFHGVa+wMp6s2
sk1RWtV+H5ad7k0BXhQm11Hkf0brXHBO0coPSwe0KrBLbUA+oMbiYTKt+leLkdgtv0ga73Ks/Sjy
/GLZQO+QybYF9nbk3ObfSTt1XmSBWAEGjgId17nFgzbm60ADMkgZQg7la7bWF2+Uq/LJ1PvpXuaZ
A8JqKaoPcZFQcK9p7waLR+4MPLdy808V+A5Z/5sqkHnCauj8z2Xg90lM/y4ff/vB34pBWOdrpcVk
AoA0CQXfFIN8yfPhteG3okhyqTC+magJhnHM1N7LR8GXfpuoET5lMJ+jlwUGw/5fpmkYR3+omjz+
w0wYBijzWf0PFNam5WEtfL86aG6HcHVOqg9sin26pRlecMS1n7FgqbPU6jRAVPgsY1s76qN7EdWA
Gr6gI7uB0VM88HyX93LQn+xIj9Ng1UvtKmv06A7RG2zhC4YW8IpdNrN9eJ17qQEQBGIy7rNpbF98
szg7ozyb2shgo442fWv7sD8LG1DB4AWqTd8GfUgvBdcxbNwaEUWJGlfXPLQSthjpKiw3iO7uHaMz
6WGOL9WEGMnOOXpZOLTaPn3rZJZvChNkoVt5F9ecgH65iJTi8s3Py/NoqMcI4Qgb9rCDuXIe5uXe
yuYbPea7OLIjykhf5hpRISzEV7vPTzyxr5XrIJPpdpWMoG0WifkpauAbtp4TrFXFlk4kxk7Nuxi9
+Zwr+eLqi7HT4/FRb/PzegVYhLyNlcu3DBpJCHA925mSrpZZ4C8ZYnrialR4TMZHr5wojgQH+Fb6
r2OU+3tOu4c4nm/yQVTHRdJnBL3AhdH10LLTk0jQ5E/5dHWS+XGsrefEzE/xJF9oGrxUHJ1d1D9O
4Fjd1uINoUB6q/r53pJ8VrPZ7zB3IvO18tNiDXRdepyBpWDJFRUXCnBwhB+m7WH06ck2zVkmB7aN
mx5pxDbW1muZFC+DAThJnxeoVyO79PpaNUonFMPLPfvUfS/GPTq6G8OLWVuVflO7lRaqPHkzJd9m
G+kZf9iN4MM5eBXOiwwbYVBZ89MSQTCUvYMwHZLQJu94IZV6GbZDC5OOnZ2qGW6y1dC3sqcrCuLN
NJc08RNUIVGVvpRonunDTK9etdwwzUhDjvzpJW/c53TSv3iNeefjLgqdEQGa6A8LfqdDM6nr0tgH
+t+owlvzECOJDjTdo/br0UEOw3LjYHzZjiOfp29yCvFd7oSJeiRoRMEW2+lPQMNffXPsAd3SJutj
eaJVc2U7vkKceSuAAoe6U/WboZiugAiQEqZ9vZMoS7cLXfHQMNI0fL/uRglSz7eeq6bMdhyNLrgo
3V2//hzvM0goq9A/Os+p284HZ+J2ZLB8qYVWf4Yn54dulswb/C0K2B63nZziKKSvYIez36tD487q
1FS2OnaF4x0npWl3eTLLbbPUxV2p1fNOT6TCTNR0odCk+dob3ecZ3NSt4eVIb9iWKEAQYmFU2fgF
bWMXBtULYPBWC1BGggVkTlE+wUB+KiaNHWyxkBNTgqfhlGAnLPPPrTkrWPFyOyUAGhYz3dT93G4b
C53UBm6hwyF2auOTV/VZ4DCkklpyX1b0qUbNesLfEKO/tm2gNvbLVM7ta4k1m6cyS5D7rz2vOQvg
Ajm4bwsm8eiJ743e7pGjcfsvmXitsHRQZxR1kCgdo5MwdqZb8blx9EMEzm3YRIa+mcCk34EsGfYg
AJiD5O6zqzmXgSbjMVLtG13yG8vJ/2Z2+OPZF92WoGlAQQFBhlHV+vVvJodp5qB6HfPqYClthYw3
gFK96ZLazXmJ8PZ+s8X9F6f69dXWnAjyO5B7oLn9/tV8axxKZ3bLQ8yjvqEfduKskwQO+q+/eaUf
JqKQBHzTtAGyws0lq+999/rmfY2uO5lZVFcH0ecv/uq2W5fjzBjn0OSgUx35N3331+/ue6CM/fU1
YRY7jLn99X+/f3exSX6B10XlYQajuLU7dYX6CanYtA5UvDhIeb9SLjdtx+r21y9trj2Kb8b8X18b
sgO2AgPO9I/cihp0GMJUrzx0RWtusqrw7meGZ+tycYM2Pj8wVXsd8QDs8lGBlGRotQEYgAiUg0ni
AHMtlxs6Dey6pn3w/QI+9NBuhTfejA7Lt+eIOsxxODVVRi+33RUgYqciftI5VqIFsS6DJ3GmVxWV
t13VP8cEkYeWx/Lw1+/0x87J+sFamNlsA20a7J8fbiEhUxBbuIAOieh2QOLudX+5LxYcJX/zOn92
RS3m/pRW8LIhOH//afqjAQXSW+9Vn7q/m5BpGynUbrStQen42abz8nMfr80UNd+7vV48JDF7qLXE
b41iXV5LlSyngDDEdANNFUPVOFyx/12A2uwTj+UeM0IRxnHi7JtJTM8x0749MI4a2N6c3gx62z1i
HHmaWrb9QaTWqU89mtJOX91YZfoWpTbu+xxBazt51X7SsreoIjojHnZLj2qRCdIhme1DkkDlY3gJ
a7qebnIXiKwYlntCYrBHC/5u32NcZudz6BrUWH99If9khaFfiCIJwpELI/mHD4x4k6ph6FYyE4DT
SjkxsbLZtXCY+5mHv34tKuw/PAXIzxBIANykYbN+/ZunnkAF8Pt4Xg84CB6tLj0V1d8tmO9P0g9P
2qoIsUjsMIQvvB9eI02aHGKCXh4qX9W7Lp1EaEXL67rSp5hD930bnTi10R8VF7T+ydYtcQ5M0SdG
8F88R5WBQBMFTCFjAJixicM5wD85g1g14rcFpMjWjdL8IJGzBJlt0uTTl+5WYluhbfTR6/ljh1CM
o8VRNpQ2dQvNzT5sfMjiTIs4Dfp00YapxlYh0je75BZs0vysptUbSw/FczIKVIMBhG3UeFeSNORM
/YhRJkHovJCC/a9jzZ+s+e+6uh8vmG9Dn8HVgYbUFt9/KKWo1w5LUR4MyUEBaUgapiCbA6HlvOeE
K5BSbm3k7F0K2wHk3LU6Ix5MrMTKeFFOY8kp4SxHC90/x6g2Q6I/j0iPQRa4S5Ar2OeDi5kwsi8J
rO+N3bIS4QWu4JvOTyTVvHLMZj6dfsABTlWF9ydstWmfJ/rTTCEW1OgzsK6Pe78eH2PwC0HWcn9a
NQtf5ygwtLS6N0VEz1TYyxMmZfV1WIKClHitP7lIf/KQsGes/wGRy3nvh2s0xo0LU0SVBwZONJ84
frgjv46F1iOq47/5RCBD/fE5QZaF8sEm98f7wzPZWCZoKmsoD61g3P/erUCpfaLfecDjmQKv5ZZc
kNkESrBMZRkVYCzP6PwxIlWRE1SlXxOsoJqtT5sV0h/GpXL2vnS5casp7w5kbYeEgmp/KisTwGX3
ihz8cZIg+d11M+Y2i838JRrXKnVEor/o52YoMRlX6JHSfqt6mKA9H+n78XKxJiQDNt/ot/nJ0VZR
fz2qXR0NWEoWBOeTN92/H4KiklCgkQHZqRzGa9pzkPRyGua0lsfAXkaIKTFmAMsH76GuIjfukeGf
TJNqzXCHTVrm82b9F63gTyK13pD1oHaG1Xbb9THqJvtSueMVjjYHCKbhPE+1FsqGaolmDqp+1FJu
zXe3mv3cZJDC0RY2t749vbY93NGBC5zJ9JyanFn8iVKc0KznLFGPOGycEJrYARLTSVPZaSlwL7Yx
D3DfyxOH4n0RsbNg8+LG5OlwRoZ7hv2ZaWl5yg37ojq1MUU7h+vBCMMAcOqmrW4Q7V5kbz2Llu7X
Xz/ezp9syNQ66IeJauCO+jHcQDIubRDbFofOpcXZqcdOZ99bx8GRzWO91l/vR+0KTvcOPAD74frM
l0m/m8duBMHMj8G82iBJyLZ+7mMKaE0XIVOMuwoRwtafhvkgjU7jgJYXBONY6bYpZfxKDoR/rlsM
cUvMvtgviX8LuZ0q36VNq7HGZP38BDgFJ38LIt7RU1QCMQZSkG+XIeZgyH6YmBUfSEyZ7WbDtUfE
FbSif2yRr4T+IM/0ax8te0j3lUT4kLa5uWlgpUM9uGbY3DYFNv7AruZXp8PQ1db9o8vp4AD9+KLY
RDhkDlfTme7Xar53f99f/5mz/k2HjQ2ekuxfO9Ef5qzEhZW/vvbp69B/K3T/+mP/bq9RmeiGg7mA
WZq3rrtf8wc11/yJaoWDA8Jza22xUe1/02Cj2hecmhhQEu3B7/F7g03/yYf5bXvInzh7/I+Sdevd
YfHd3umayIN1jn5kx3CS+aF4oh6kL1il6lBx5t8IQoS2yVL6od33z7OTf/F0xemTLLMtamU/pLfb
BdM05whB8jrUe+/qKS8/aTDSz9Mgb5W38hi4EUXTmgHuapRgGRrLeTU6Yp9ddpZZ6JsmJuUBTpa/
q32NVoEzcNT3xUMdKXRtSUS/z/LyrdG4UxCzfaxIHBVmdM1DXW/0TZZ3z0r618FOK7QVLOmOnX1x
tFrfSIJJ8EgvUAmU2x5r1T4bXlKHi61M+CG2toXB+4Qn7JEYkC+q5eUdm+5hRXcp7pkCQYsLEXM/
GJy1AlHyfgjCAIDSNs+OkUHXX2dwo8bbI8mRGhiD+EZp7rFtvSMEyh6pHZdGIf2Le0r5JcvfRK5N
geNwKSuv7TZ6w18qFZfAYkbFW+Ay6N6xSLtug2IuwxXL76BqS9smYA+CIRHVIbMYoVagtTdO4/DV
3HoYvaHfrj+ZWcwUUh879SKcMohnLkENTGtr98byEFfywZ8lUtKOl0R5Z9/YFpU5NgWxHRp+IbN2
8o2+xB+hdMI4cOn5+VX5NpcNciOzhZwRzflmzGcUkD7rYiQ1g+vgX31d77dmKeuw03FsrpasHXow
D4q3EvQl/e4K9iJnWOxA5dHkssPru1CEcPVMBDSoUdyjZ2jX95skbWZvM1tNt6ld7gOEbw+F8qil
dB9KlqFQ9vFfdMoeVMovFWe5dTS11t8ZGR7ZCsTNyfV7sVWIbTZ6z/dSMV7SzsiJn+jE1lVJFjqR
g/wT0VEwSPSPhW1fuJ/fJh/DIruBF8gx/cKBg89+4f9lkT0FxPSVbPkezl9V8TMFV6kzam8j3Ho5
A/byw7Zrn98/7yLG7qkktxWo3mUXJ9wyeJv46BuspIPjyZNOHc5Dzl3t8L1ewt3pudwq1fosxE0/
f5RkIQWOh+Xc4BfhyaPNXOfpZeByuZZ7nVFcbseG58R1x+g0Mo45Jy5PB828Z5duVkijyeSB42by
eBrfL0ZZ81CMGt9a58UXONJiGyEuO0kBFNyKuGll3kWnufSNR6ygdUgODowZdBIIeesaErUQ2zav
9E3RWlxSXfE7xEl343UUuzH+h1uziUjG6xexzQE6EQlkQjLKSvzPFXcZAyf0k2V+9gQPKh5XuFQq
QUM6x3Kr85wwuE4fVGJf3h8vM1uWg24MAr+lJKajYsYFH7AK9IKP20p8usWJXu4n3cy3wC14DHNs
Bu+frUYvL9Ci8tYBXs8Swi1Au8xHzcy1eb/LITEvu4rNfd/FVr5FgenvYBnKzahxO7/fAOsdziP+
kFoL5KmZZczHYby1Fn85vH/M/QD/q2+5jSYmE1uVGdFLndrawU54qwuSQlBVhnYgJoHVy06/QGzl
IzDytxiJKvUhT4+u8TQXhIyEojSik94O5S3q3uliT/beG7MvWpzOgQZY+zbKRb6VLk/EsOjaIbZ5
TumTG7cz8tWd63CTlWRo3Wq0KMOlZPnC0f0CwMpjOk9VN1l7P5HA97SJv8wYVYjSxglpLZgwZuyO
BnDXHkcOf6vk1ttMaaGjm7BNuNS0n93YYHEb+eg0l+5+NIiHxPS9/WKU875GHk3rXKkQ3QUlreJX
GAeDp8ilSVZ4rGCFSyPhfW0S/iS27w8t4mhFMqZ25e9O7u2WW6K1rQcxr2KUSPMCG68S2w6F+dxM
HIcdWE55hQkWjXaJf8OaLoObvxGlx6WZeQLer7Xj2/kmL/groVT5O6tEgm5NfbfRPJsl0LJRZRAJ
ei+MheZS1ci9FzVvjcsfF0O25aGvA6h408nSZLoz2vbV0+GIlGuztmrcp2Jt3+b0cbVxuLhrY9dE
AHKa04kTiSY7aTCAn4ES5iND4/Jr51gunyE+kDbgUBE4W99bK85labMvIqumjVFnPgIOXVztGJxN
5411dkb5PZxSkoe8wNTReAcQZaxhu3pNg6RK+3vy6BwEPo4hY3fX0n/LwjkHhzih1Om2i5XUTAia
RjtxknkBOlH9ghTp1Ur1aghic8rfmCNoC7YBDUdyyPI/HjCTVzvUoZNfg5YigLDOgGAVGR3cTcxW
tMFkF539sVq0nTTLsbvgZ/LcI2rerjj089JrzzOQwjCh3ydvo8Q3+6BtpcF0bMb7frGVI5jBMIDW
HktI/afEda7flGJ/ct5dm2c/1DUWbVLMna6Oo+xH3rWkObIQbzAc3HSeQb8mb2nO5mKW3nVoK5Pb
iqfOSrnT//p1/3DOdjlC0XlGvEtz4OtQ85sGEZ4iwWSiHg7G+L7Y8Qyaaf5LOdL8nur87a9f7Q9H
o/XVaBM5wiIYDGne952PZSQuKF3K4SBnbpC1EvDzSGO6hcLi/ZX+OQT8zSHAYOH45jP5wyHg/4gK
rsqXbw8AX3/ktwOAoRMdjzOVUCUXc8u79u+3AwAT9J+I+XS+MsuZvHM2+F1s6SK25Ke+ulL5Cr/D
bwcAk3ByqhAKF4YAZON5/8uQXYgfRgrcM5i5GCbQreH3sX6kpheN23VT7owECNUweFkHxr6QFCW2
U+kI15VHcnHWuP0y7HMScgr9EyRZHOc56vvuKgqrX9oAzTlJTLIF6Dpm1EhlU3sfUgcSh8PUNStT
A0H+OIHWssheLGgJ+vMh08aRWSFQBPqVR/g2RaegYECe6OtzKeesRLGS8gD5Xl3e2uClT2gXlX7M
Umc+z1YUXTOzqUHnOs9aV6n9SMG/BpsRPmZn9W1WYKgvsgnxiW3n4po4PCphmqAOwoKx+hXILfS3
IwCnES3NgjbS4QD+uIAnetFrgeyGYHd1Js8TAbhIeoQ/rVrl3b4Z63JfTkruJ9VSmuAPTI8I8huX
YWfPEtzNOrozTcN96NRzT882VwMbA43xpLDyQx214y5bWtqLUJz4iwGeRFNYqEjdCTsqf+7H2Xgc
CQ9Xe3YXAsG6DkFWDNIOAVs8L0GXF+0msxv13LdMm6OFWX/Yxk09HScKpRWnY/NGQSEN4plI1YYo
MkPuO+G0wPlytXXiujGoYtvbkTy1Fa0LKRnHEM7UNB/to4Pc58lHE3Er3k1a6bthK6F3iiNp9XER
Lomlq2FnFe82L3N1fDnv5i+V9S5pHqslzH63h3HSxSqG7454PAxjB2Itkg20OUxlYvWXjavTjMEE
pjNG2TQloYNhRjNWXxrNav2FKgetks3TuFs1jFt8VPNLsRq+d8Ru4XCrpvqDUbbJDUFv8rlanXCR
royRU0fck06Ian8jWveOYBncc6uPDs8qaVrAEdjT9XerXRzLZjereELu3/p30+rJa6J2NYHg00ve
LXvV6t4j85ACwU4GNIe4no4kK4hjvzr+HNuNPvM0YAMkP83/EhUKc+Dc9Srfx30jrpFMh+PYFu5O
SAgngV9G3QcYLq/66jdUq/OQNFdMiDwB6bFycQuG87tNMV4di4UjrVO+uhhX7e5edetoze4Ww9jY
q+Oxezc/dtggoRW3l8bTly+yL6IN7qX5aUjr4hC9Wyg1TcdOWa/OSrV6LOdqKi+NTeBa0L+bMIVK
o9BenZlGElUfHc4lnHr9km0+jT/16Ds50PeRfMxXh2e3AHqFTbjvK3DqrRtZqOSsXH+wkwZ347tR
tCotOqSeHRnRzTsFa7D7+g4Xg09Zp8tfGV/OR2TFFaN1yhtFCROUUf+aYe3aEHA1hjYMxMOa6QYk
T7xM4/yJVCE7LPPYnza+Em7LscTEPC5xblGGDg4iDqxxvCyhQsPcBv/siv+V+AygAjvJf+6Nnauy
f/l+WxRff+Zf+6L1EwL/1exPC2zVi/2rMUaMMFsmnQPT0Vc6iPj3vmixmerkQq/VlU3exTcsB8v6
yWQux7YodCa/1GD/y8ZomT9MMOg169jJ+YfJLDO4H6dwNaEoIorm5M6tSYQLpVZonIUJ7ON84+Tz
wa1ys9wNAHxXw7JZn2PBUEiCA/mF89ZSkWtTMNGGY9pMxwR4MgTEznVel1b426JMPSuwinq+JW63
lZ/SxWpuq27Rf8nMePIDA/UuqnLbcBGTaiiM96nmVB/dvnfFsWvQHJ8mM23Hc1uji076fCIGV8iZ
rDMnP9eUKCF+cua/s3arDzMKuRZ7amhk5QJceW4/q0Gwp4lEHi016XM4Z57xK9P/AZMqCFYGtjhv
OeyVdhJaTpKepQLWNWCyPmjt0B5VVWScDtJyelCNthfZIDaV8D+N5QRTmHZgwXLOkhLM85J9muyO
I/Vg1siIp9sEAE97WOHVrFpjboBpHCqZTRxXzRZhi4GKCxGXbDuO0FG+GAGfPFdZXwbjPoW5torX
u3tAOplzM9LXfOWKoDLr/Cxqr2C0liN7YqdZN24bT/lKfQtqa3RIvms91vutmMR4rjJLppY8uHIm
UbncOYvHWh2OEOZ784C4Pqka9tq8VoN7s+CDaP2FDYl514R3Kx+YpwR+3E5CHY0Crqi6ISyS0qQP
JoOE7PwYe6Rp1pta2NbPyhTGYweV/V42IDF/8Uu3zt78zOje8ASLkWlC2dmF8cEtImPn9Klb0cFz
I/e5HmGNBg1ZB7ewhxlNlUPNhWrzKEHFPWRHQh5LE5px/oATnI0xLVp8lPl419HyC/Q0ZROWU15t
4IHEIdhE4+RlOeDdWF92CzjRfV4ld5R/02PvDLDYIAkKNGst7gnZ9OiWcJTDs8RcgbUWcNxBL9fO
D7G/iLknvd3RDuleKlHLV9E3hrnz4e/bGCxIpe+9COYkqsG1W9r5xqnD8c1wDkVZVqSZcbDK4TOc
TNWveZb2vcYVtJHP1fHnuIUsH2cW7sXJ1vbYrMuNy8udpWNilV+M6aGsemOfjLmX3VlG5AZF41FK
5ULPb4TBvCUYBeMqb4VUKhiYl3TdpxEKSgtAeracYG8yCM70VXqdvPA7YpzTC5QQEvF50g35ZrCc
WxQx3XMy5dHnpKXNUhULSMvMtLZ5k5enwXDrj1m3XOzStR/WO/sOoJMOX8Qst05jnJcMbjE66D70
zNreeWktWq5Arb9VxqzfVbBJnsE1odpprPG2Urk8dBJMwJw68T7LqBuiFGlH1OBgJFK329cOyJDY
wpDBAVjcern7RLLJXcmYLHS1yLkFAmXf1mmjHbKsGz/ZTTUmQUaW8i0Ri+Lnwp4nmp/zUmFnl7r5
yOly2BplZ75prodwvOdq7PIl649DL19Jl6G7mUYclTUSAMnEVI71oTbHKQkF7dBXy5vjKwHDDD2r
vLW/9EWV7ku/Ix58qbWj9KQImX4SbjQoeRwRDp7yCcaal2VAkRV2ZJOoyANpuABda/pONEmnbEcG
C90jd+ixRMOxufarv0Byfa4Qcx64ratHT8y35BdTZMLVQyackMjsmY17AuxI6CzRjt4vk1Mm9770
0oOKqvIXOms+0FeiRIO60HUHwLDFsFY3jpGTPfYFPXxadMQFc3d/MLSqLgKEXOLgg14Nx3756OmZ
ARLABpHsuvQyoMexsg+6+ZnePEmYyaBtptFgnD/pjv2zDXJwYxr18lhNdMQstx0/4T0tA9vMqrOQ
NcBB5U6vdOTUVgmzpzM4amFuN8u2kqTWTJjKnnGRFHeLkfp3avKW+7m0qx0Nn/5etG2N22XUP7hG
u+RhR5w7+eDE2Ww70qZevHpoN9Y0VI8ZwNWehmxiYpsaOBjgM3+DnqsfSlW6P5uiX8BdcGuRSDhy
SulnxWEwhrxeVqz83ogg0sUHdBbNEoc8kebOig3xMUaFe+ONdnKqCJu9bwz4zD2tYa6sn8y/Yj/r
P5DtDKKyEdT8nY71JEiIq8BtxHHTMJQ4Li3WiBCA669FkZpYYMETmTbYwimrM+RtTXu7lNX4IF1t
i3vFPzdK2Cm+qjSJjqaj5edEN5oNwYzZZ9kpcc06WZ/d2ps/6KPR4YxwEv8ROnp/UF4/HaspSi2A
xNYYqiTV71p6658Kv2o+0btv78tBRk81x4ybYWomXO3e8tHgkLXFLZ7t51bNRHz2TaA7ZZdsLN4t
FWsv9P5YygWKdQzbHl29PhPA25UbLbVLRkw0DBs90e8b3DIocLwI/QAC0D4s8nG+sYHs5WHaGmLr
VZbJdezHZ2tyMdMo1Ftw6VTCOTxaTkZqOK+oh3RA2VGZ3sc9bmkn0/1P82J3B91a2Oi9UgfJ2cVd
usMT5NBQrutr5Ko2DjSytIkGiCilN9443RJm0e66GrFG+E9x/N8UxxSzFJP/uTb+vzan5/7Sfd8z
Wn/mt9rY83+ikqX+RBj9gyfDt36i2+c7LMkoIiCgWf/uGTk/oUyjnKZ0FugkVsPG7z0jEwSawXfT
CP1tnvw7y+23VupXQt2fS4mof79vrlIO8Y+59q0MqnB79aF8q4Ij615w5husoy09Qkls4uHaslf7
JUqmE0Z67PlahUa8Gsf5F9J+3Fs7twBne4YxPlYslsHQ1doL6BOQ1bblX2CTmVcH9A+NbAraTdxZ
7gXhdvc4Zyq9Fp1NrM6g0mMRO8bnqo4I0s3c7ITmeNvPgA/xpmWHCXoPtXgGUyvohnp5JRNcC9OI
yRSLTS4+kB+Xn+BzljeRa8r9YNKcnfryXNnIuWHDgHTMiuRkqA64RFoAaSk0x9wILXZP5ACTQxPJ
6a6qPQlzwPNv5y5mvuaiuH6YtMEn6ijXz8ackm9B1KkKVGU2O+HSdjEqET+vGJELZIF7YwKZHAnj
Csu32hhORP+nAZWOjbQ238A+raShGTeFoUqmqEXbExdmWLjuYICYlk2l3NJG2NtSr38ZaWDtzJYk
+SaFMcKkLf/YWBnK8Ula2b4upuzgg1rajNYIiN+dDRAfYvhUeWkE8TQZH/oqXV79eZyfoUybDzEZ
RwcyI9qLY2bTg+1wcXQAuzsiAIYbnfjwL4U5TBtg5+6uVlLtXYPy0oipKqy8lIiL3kFb1vCL5pur
9g5JNJuEKJEUEj++HVJJ0ChpLpvOjs5FXhdwlygUMJZtYINiG1Vts28aZb/FMIIRIlED9A7iJOLD
o6MokuLeWNyF1o+WMTwAUKltzSUbbmprzp7iOfV/dhun2FKN12D6sU/WamyufmSl50V39DPOjkkF
eC3TT1FvdbfZoMsPFmXnHmyq8IOxqfSDPUk3CxC/mg/L7KbnOLaW3ey60Bwwk7qPwCQMujx944E0
MtUaUKXf+y33CjoCxt3ZYsnXgUDDS+Q48kAik3nj9LXcF7UDkNxz0+eGpPlLGdf2A3DX5TCBP7kA
lzBvxGiv6bVVfEdOdXfNFtNHaNDJY6ENx7qM1vCE0vZQWdTiZ+a1zrlhiHlMDVlT9EkA0wVhAjsO
M/adrMcbkYwWt2PTHjRGjkMS9y/J4LFDzVNubEUduS+NOf5qN1NxjOeaiJW5sI9VE1k7F7DRBkm9
eDKt/JWJbs0pIrbEz65XXitlLk9dV89gqUv9oUoc5AcYI7STzQyC7hYEmEuiUJQzeHaaF1Aa2b3L
8BMCKcKUV4ijyb5Uq2ZhSeVHKGNFqBjpb3WVFzdZzIc4mia91YEYDI+o7g+u2fWA2DGUB31uXPuq
PNLecU4VNNySRM8Qvyln7RQ/1YNpGPLRjuTBmcf+5ERLeQRECzS1Rrk1sFjCYPTTows7ZgeWv9m4
Hb5h9H3ZI7J269cFzH1o5lkSLgkSOejj+bPL8PQjk3btoRZFFfKBukQ+JznHaseo77V2gunkNDcN
1uws9P2d3WfFPuoIvUF5LglxeVBRpJ61CPlo7pjGQ6bH5qFkpNSFctTVhdNV+2r2M7+JpW9IyHD3
JAOA5JHGgCCEucBzj7IakJi+yBQm7VwRmTzHd0tX5Xtt6hcajrMNg01Nzgp8JdM4juYt4puO/no1
rOoOX32Mlxm+gsx9yNE0jlnmulQGaE85dtVNfZ7LSN8ahvacibz1gjimVZhKH4+r0+CdbkuHrkj6
KQd9fJQ6SGeark0gOFt+kcR130RV4j/YgNGPXWdPRUB4Uf+Q9lpOyl4Z2gwHXpzMnfYZc5B7vXOK
PqwJvbgor9JDLyoWGZCz7myJgfKffHaNC9PM5BMm+/SWM9hnf+mdAzviQvOiUxem+Bw71JjddplD
cvis+bfFYLX3fRY150wfmyctSiX5I0W9BeIV7wyfYIMFFCNWisb8lEMcOjhQPLdt5FW7ZMrEr4sb
D+fR9usXiyqUzYXgqeekkOnHXhhKBhRX/s7M/HhP2ALw/DmGXGNEyT0OKBZxhksBte/0QR+49GVi
L5t57uttNwkPzSRjis0kOX2bbjZyo9GtRgjMbLrWh2U/x+awL0n3OOb+Un+UA0l7zIhRS0TLfc55
eFsrBTlg7vUFALwGMdCOp53TVOpiqFic/P9n7zyW60ayrvsqHf8cFTAJN/gn9+Jaek9xgiBFEd5l
wj/9t6AyLVEqsavHPanoLpUIwiVOnrP32kaUPUFwRmVDPw0RC59bfDfjiQrNeu9iP6hWWSP9T5nj
JEFRDvpjHoKMYGWKD2FrBpPp2Jdzl2qfa+Hqx7r1tC3ZMIpuQZkfbKERfS4idZVPg3cXDV64NRBn
3cR9QsBA74baeiJDaGvRTT+XU/NSQmz/TBeH5b+T7YwGahQR9LfBwBSCu9tU2old6osiuJQJXFRY
9XYBf6vsiGorskS/WlrrfPvTNEL7RSGC85NYpHVp+e1VEzX5vop5pRm1uhkCYyUHFDKh17yxN8kO
fR4D3xwH7TQhoggzS3HZA17bt3b3yZY2hIdqwb2DzOlestb5RFrTsx52b24+f/Kq8bpELbDW5gFV
h9UUBwlBfiOb5NZEznYEu+jespEw71ErlJ+hc4wPMuQv9iVcrWcnmRgCHWuoVHp3rBvV9O2OcROR
X2eUWqDFESVluo2xtWoFARJJfDqiH4S5PnbeZdM2k/OonPCtQ0PiMdAYuHE4vk24GnBM1mGl77qJ
qmdXwJw+S+pGqz7VLKDUXn4fGGOYbRuENsXR06DyqCE1A4q87MQAn3jsZOJ+sie7edLdMEovwzHO
T9zYNuQt7sc43OUzMKNyPaqBDAkaOnb66oFb1e7sBusjII0eLVKlkaZ1aNzECkpNZ+yOiGzbO+qB
Lc+wkiPaNZ3BGIZC8QDSedgj5nDXU9F25/yX49ZH27ImN+qYSHHaYY0AbaEBfs3IMLsnSUTbU4vc
lTMtvNgxXTTVvnYTa0lEDGFurKPSmM4Z9DTnkrt5nOk0tXEyPIvMn47Sd7SVElq3M8pxQpC0lFvW
jNOO3rQ8SZJDFm5Jp56CvgrbPVGUYp01XrKjl6Wvp1BcYShWQdpo0WEWEb2RMAyPEiPgsdUJ3DPy
HFKXUZ+CpiAXK3Kbp85y8jVZCNMuafqEvAB8lugYmTwlOea/UNTomeKMDxlYp7XNbd53zB0hkJjF
ztZD/Q1fK2V0ndXEUTEGtYxXBGOO96D0rnTV504s0NM7PL1UHGv4X0nxP1z1f4arxmOHtOPvN3Hg
QCv5/Fp9u4n7/e/8NeCAOy0oRHh8mCIg/f33gGPRBLBrgvGDs513GPHKn8pfg52aadmge3xDfD/4
d37DvGFipWTnZ7kIC/7RgGORhnwjkMEq5XkudhDX43AC88z3ezidVUIPNSCIzPCaFAml73tT9yh7
X5TymOqFy+KaIRyI0x1lEYyWUwvMHGG6BV81l9FCNdGmPS6pIpl1VmqmpZNSRkJJpDMZ8IBTqF2X
pe0Y7jIvsZPk1I6GnuV15t+G3T5sZo51R5jMQEdpFXVFN8anRk97Ejf24LkaAmGNz2nPM18cCXeG
wJdZA7Zr/KzohD+ZpQzbNUFEsp5u0oYZqLXxRDS4VyxNXexfJNg8BoJRiJZFgKYVazCMpI/mnZy1
ifYRw4U1abSgO/83F/wdIPGBWga9yi9bH8GX/Hl4ll++fWt+/zt/vDUulDEeRkweEMCAjC2i+D/1
8vZvrueifIel9ceb8adaxv8NyQnvEcZNBPWQJ/7d+QBoJuhS6IDJTG/hif2Tl8bw33s2Fw8KnRSh
EwG0wDLeCa6yFAWxMfvNfnKm+BFhRlmTUmExdRgBnqxHVxbttm6my7wy5yXrEgkycHDAWHq9pZVR
otC2ZuMxTDpwtmUJrRSE4PBlbJ0lqwJ5MpRO3CO0dktPIzq9y5+EJhGuMbrflhGw3MnSCRgffV42
LmKyD1Ew36Qt8tCR0v88T22+ex6Wvr0LuZAgDEJ9jo6hM8yokMJqLgk49NIbXHyOPCEqF1N6QWiy
NtrpbuCXM1dQF+qDOyfhoYLgdV36kTjSO3lK3UZ7TPICtWZTYl8jlQu0sBmBmEVYXoOouphH5gTF
qK56L3q1tYyTJAUJR455hTIu2/o+dMDJtjRQpWW706PsrWYbDoPBh11R6hgN8KySctEAFGhmjh73
5pVjjYu/rj1ryVxddSaSXMO7BXR0RoxNCUWgvGERMU5HJJPsaMqencOw/KM4xRh4Krz6MSywdM1G
O4IBip6Qox+WQnm17O6x0D419tLJqaqbMdXmT1mOmLi24jjI6KBvO4ib6yRh0+L6t6MVbkIXeQmZ
NMuvQOy6zY8mI9TaubOrX1iZpgHFzuDfKD+/r7A+3BujhYJ40ckTW2cRyoSUGasAnXCd6LS5vsRz
OhPRoR1bMTXPlaDwAuzTMziCNLq26hxSpElC22DvmS4z5rDb5oJ4EfkoMu/WUUlFGDFuLANW8Cnx
wu5mdn1j7zeOx2zQu8sZxTTsuYc70tFYtQu6cgh6FcQ1P+w+a3ojyzWJyNZVa+bWeZHAtmbbEI9I
+WNmEXlc3ligGTaWRGQTmJV1rfIW4YYXAnKzYrCfvDnQL/okiHP4mH0xNv5ONhZ1d1Qb5P8mE/Ew
xJ8zFOzJgTSNsTuJ2BPivMTIdgedNDkRhaM/CU48UHDi1owICXayuZbMOzxA2fTrJv1kmBq7PVRs
HFF2pe30Rpb2rO08YO/h2+S7w1luSmz/UYmwO6ccRaGWR+wuU+Pmfz3u/6THjd9uCZT4+/roQn6J
qvLbdf6Pv/JneYTIQ9DgJpoLycZijfprocf6/BtOP+g/1CWkdnxrjHJ+Mx2TrwJG368L/b973JCH
qGYg6FtoyVxBJ/CfrPSW+U7Iq9t4V6m0TJtmuo2c9/1Kr7o5Gzo/uUwznw3+2jJ0NqQyypwL0smF
uBLgyRSWPb2UW5hbTAVWw4L6zkKUEuN5Q1VIkisz4hX466y1rmP4Bfn4YHuAMMB0ZLJYESSU7aO5
1IfLNm/010KvB51gWiDdHgj92NNXZmdUUcxLaGYeWkBfRBtoJumxSEvjbSEoVsSoNt6LZmaYKxxE
6C699lVVRTNDKZf+F4joXTRXc0D9Rp5HRjAG+1en65D7S/Ku57yWpARZQrujufUClCAOChu1C5tq
lzk4bfdkntPTMRP0ynq7expQe2yEXoO7oQsUX0t3Yb6qapwu+24OfTQPQyE3Fo1yjU/R3BI12+R1
4OtxfNKwEY36JFq30eC8JEPf3qneidNz2xy1QLEjvEikLgYG4DCN1rkz2evWJVRgFfoj4c9Kb5Pp
xsWgVgbciekxnGCdoGZDYDmNYXRDoRj6EDgmqruJX/+QOGF8guV5fBRJYtg7PAM6Ti2rx1tMOhzi
v5Shv9s6cbRisagfJjlKqAkNkc5kHuGUhdpcMTjjW7Auwtm78LLBJRwuFzwS6ZyYfDrGWM3oMZWS
gZO706eWWblzyZkQEkuEZIE+LY/HgM0/GG9dkooM4OXNlbnYxBFufJUIFsKIGGTaGh3f6ti9amYx
QjyPswjsS1tdZQ6fcgbWIQ6YxrgiAnnYEEjpHENBMbvCwuG8DqiVgpHB0LmLuQEkzFQVMfO+CbvB
tgGJc8qgPp3OdHoqbn0EMz942IZs8oC9DRdCYG/qYVReiqyJoTah3RVslJMp4jvrJQ7U/UKJU/hO
JcLGmL6lxyjdIJ4D6h1X76pT0ZJuRUDFTVGXyRC4GkaC+1z2uCsYBunBFPP5XUm4l8XaGsclGssk
+PCYVqH0Tx149a/okqcaE7ObuVhpp0I77W0goQs6hgRhzUtO+7KNT5ywHJ6ZByCXyNTQbaa6LKbD
GE2xvVbkOhJmmzt6vAchif/E10WObc2YWrrRSzdyry86zDJKkstknIx5HTeUYKtKhgVvdui5C89i
SoglSyuSy+uQhtspMYfd0iwV1rqKuZukgS26Ib3UJDgFjWLp0in1RDG3IQPijLpwOM+Vre9khuk7
jmB88cQJPpEpE+oAmFVyjk4477f0hanNbEN3ZFDk3vBoJqratf7Y8MHW1fVMHsN85XfaZ232S94p
JGEjgOt0ss9boqrmbdvE1J9RN1WPIw0hsWJLF9/OM+6bnQhrWRJ+LFI8fBrFx56VaLoRzYJlN20H
snmS56azy/XYXKzKoXUg0Ei+MaS+s/GtnVoJQtObPjP7ej9khMAdJDF1gVdrxomllA7QJ6XMKwfe
R9LGUgYwEauZ3RFHnE1NuptHyzummoeX0Bu0cTwdDbCGdPRLMshrme08L1Qb9Lh0DpFmGdU2qmcc
3rOwrmA56f3W6jBoOX5qnlRO6W8sL4XQraFqZQ4fj8ZtPSNg0q3c5D5nUGZfZOOmzylJcCS75P2n
Ze4jN7ISgndNjD0DP/q9hYHh/yAZ8KxziyD3DeKfSJ7wH6BiNTR8iyvbRMfNdNKbGRCiLbORxU/M
aGsdMl0u+mDsSJIw0bFGK9uREXInXIh7DRdstQnbYojaVUVWvEA5WXfUbzBSbw1avPf9wMCLRxhK
BUp87g0N0L3jsYt17MQIgABMQWuScAAxlnDccsbgmGt2iBFpHOhJhkqc54XZMbORbmGcDVRBZ3M7
O+nOayrrsWnHR0ZzPcZVBPBGYCSgv9d0jluMhahvQN8vHP15MtR1AclHrtF7jNGVMfahJFFA5BNZ
EoXltku0BD1fgibIdB28cxy6xvZ/9dR/Uk9B5aDA+PtyigliK5PP7b+qt3/ReuqKl+9z0n7/+39u
oukU6RRJqFaXwmoBMf61iXZ/MxYdLsUTwMdlH/1X68nyKKAEXR6gbx47R4c/+lM/4P2G4cQy+UP0
66bJH/0D/cCyHf+29bRIe21aY4ZNSUjpt5z5t/KBySgzg0mnvs/GRfT/Bmv5YpzCQ7oksgzlvkj0
I9jSDRuTRyNjp0hO9zcX7w9Jw7/Krrgkj7JV////LUb+H34FvGGoezlniGHvul8VAuLa8xA/VXLS
z0PxOJGvpPpsUxaAaE1wzG3TkUDNR0/k4VldR3TBgEJtBvOTwNk8x9hJQeHrpIMkFRwRn4+gS7LD
IscXdr9iUBOQowAXov4sGH4lFd7fEhJf9pTiRF7+5ySQACfTnZqrXVLADNM2k+3vRcUqvqLOPEVF
VU6rWW+x6mlSWVagZ2jprfJ+4psreSb2FHwrqJErRGInUUf4TsIXQrRqacDhCPe0MzZIWAdBXG9U
dkr7+4qdXLcZCSo3NWYmjv/JsLSNitxnpoN441Mydh0Lza8LetZfUbFtEOcG/VisCe24HjVcN81A
tKcqQKjUT+z/9V2Sd5eRcsGflS8zKJQ2zdaNM+Q7Z+bXGGCLEABdfi5Goe+y1GPsrA+fSxEFkdOp
05LgE1AB0C4dxcHmbZJZF9GS2P6/xeU/WVwWsQ7v4N+vLlt62cnr87e7tT/+zh8riqf/xo9Abg4R
XiwN6383sz33NxYZh3RHw6Qn/VV29GdfjmY20n7BgoJayMSr+NeKsmzxUP/TPtbxL5qO/49YsT+8
zQ4tbKBt9MV5Nmmgf7+gRMOoz15ddXvT7BiEMNJGuiNMYC2is3xEpLYsT8EPJ+wYYnzN31yrnywm
rKbfriVsEBdUBy1+euqIYd4nCTRNNPs9tdlu6Mx+406FszESM0czkRT7/+JQWPboGQLFxdj6/Yki
UO4No7DbHf2hZEeVM0BRYH6NVbD5L86KS+lbDoNg5wdj4GyMGYntghnlOCbMaOcmAC6UrdvR7Q6/
Pqt3HsSvF9DinISOqJPN9ruzIo6yy3KbC+gnbNz6ySS2p3Pext4JojLET1jRLlww2OuadJffF4W/
BWPxDP5w9yzsmQxvTIYu9tIH+Maw2yJWCa26bQl7FchR0zHelAZmjF+f4o/PiI3B0mTmgqKPqNl3
R1Gwy1XfhB0jUeFIns0SnpU9Nm6/SesCR+SvD/cudJIrauPBpmtBL5zH5Cv15ZuTwhVoWrHRdjvc
9vDfMvkF28ybF1WomfOCbRMTml8f8cfLiE0TWh3YGkOwQ3n3TcdwkA6eVXWLmgNDFhlA3Cy/2vz6
KMtl+mZo9fW8TL7XRA3rTJms5TJ/c16MQ6kdmqzbWUk/rSxNO8XqfDEZJhgWvbA/OKefXcVvj/bu
ppGcEjWRnXcERsCQB8m7ivoCmFuakeuKz3Mls+zl1ydospD+cIaM5hybNpbPA/luKZvijNJ/4LUz
YkdcIEnL7yO9o1ldzUyHq4gufnPtYhNcN7lQr06re8fatvZdJKtd3/n9psPcspKDW38eR0s7TA4g
MjNsmxtU1qvcjXEBZc38wcJk/OT+WzoiEIMBjWv+8MR5CpFl1fIaJUMnwK8tmHhAQXa/0TSL3r0y
sFp61RBYXL2NifDjSZ/dETyDV5/jLrbWUR35FxiJ//jq/+0Lbv/0V2N9Xt5w+orvmY2pnxMtaOct
cZXxBg26HSQyHteN57S0pSJ1hysiXeuD4+dBhcjhOJapPCWjr4fIPdKD75f9q1DpqiHhfYWYPwzC
ktYcNqWJqsuU56Yzawf6hQSM9IvSkn0hFBTp33ekxd23vReCWk6atRSgqy3LTHDQSo9aZzy2mVT4
KnOKptD20WzaJ7HI7khtAqsgJgs71pxtJfMfwCTtReW7875J8A1PAprGGObhqR5P+oMmm36Xlghe
Q3t6yybruvXgkPmI7fZ0ttoLfnK5/fXT+uMLgguPwoC3XviO6757WEcFgcSmutslKj7XcI2QL6sf
jGS8pQtYb7quMP7xK8kRIUSjuVg2Iv67I/py7D1/ztqdDMODQUY4zYLPfilOpUWwIpFhj78+wx/X
bfzxrDZM4/0l9/DdsqYivy+5N+2OTX69MknEOUQVAE0PBF7w60P9+Jh6KK0dE8UatHscbd+vbVHH
BGogxXjne719UmmNcaiGzv3gAv70KBgnKVMsrI3vb1nBzL9oBy6g5khdrhrX1/ZYg73LX5/MewAk
KzVng57bo1qkx/+eyZkRkmg4NePKcQSoidwO+jc038BRZYUpXbmUFDz4IDQIQPUeyKDbVSJLPlqW
rB+WU1TvdNptWAmoPcW7+9c0lZiT3lU7uOUuwCQ/35IC2W7FAOgWyM8sDsiB/I3Uqy95NbjXWZsO
u8jW+7Ninq0jaaPhB3fA/OnvtMwpEOz41KzvPis4tzQtjC21K6OuPOjS3vh6R+IfSuLzEGnqOna7
+tNX8GPeaNNFB7B+7cCFCXyvBDla5l9ymjPnmTcG8zw8oc8z1w0A9pup7Ig3aBN7b2PcOZZTfo7c
96Pi4ucn4KOmsCjpef+Xb9g3X+HQkH4xkeKyE3D7I4Jttt0goruYVWxd028LQmXo68J1Wr5YsjgS
qvnsJe6tko5/6OowXI+QFxY3jX9VzW5165H5NEM9OFoeBjuyCidsoanGt6LNtzJp6g/KI2O57d/X
ETwW35zBu2VkaHN+4WpimK6l0TGkm3ps7RE4qKYHLT17OOWM19NUpwPK6Bd3zEeRYNZPnwLGWwgK
PKzR7193b2ItIS1Z7VItbmtYZJ79Qll16WIZWhHJ80pHeHyghx9/Jre77fponVYmA2krBi8Wqa2p
EwEjmYWthsQYipVrdvWaiZG+Y5BPoy6NjC9TaRgslS6q6Wxj6ymxQJr/UHup3Bu9rZ9qICH2c1U9
g1u7cSYOFImvqA5f2R9c8x9LN2js9LUFFQK+7vdAHtQZbhbCg9s1af5Qhju3T/NAm9GIQ7CyPqgT
f7JsO9TA7DyFyw9+jwxVOZZPyaKz+5qfQeg5X23m+4K82Q+OtOxN3j1JHAkVly9oiejvC3vyzzps
ujZPkoxuM8OKHtJ8XvRGE7sJe8owC+iO5h1Dx/gIyf6Tr6+jC6j6lsWHicL7+9ewjbDhhKmOyopx
E4nrl6PbXOsifMvd9oUtr/PBB+p9325Z04HVoEAzTDbcCGq+P6DfawqYLI8s2/DyurOoe6bQCqYS
lYvVz19IGr2tknwMoqmmuBFwynr66HhO5g/W0J8+TCjo+LKg+/phOJt0bW/HPe/vQKhCoNcuYhSi
oldaUkVrO07ffv01+8lHEzcWrVQahQDw36/YzBvIzupGbjKTwR1qhnA9d178wR7xp9fXoJPBk8Tl
/QE5kCojqgxRqx17ZLn2+jHGY8Po2QlxxwzK4u3sBdzgqUENEsL2pRtA6kSvncyY3j94X3/clHsk
QFItQ3F2gaK9u9nDRBxZrLAbWz00MTLmifaU89nUTxGkdwP+tSrKXey2Jq7fTv/gtTJ+9gZTDXGx
qduhB787PHlm6F5KXe4mQ8QvtYtCBBJh1F4oJrgktDuV46yrjh9A7BXYxFXvNLkdID0kAY3pYZxh
OJmGsz62gKaZbdsZazuy1euvn4yf/JqAGh0w/UsuApK171+JmEnkZJdOsyO6RG47QRSuAEawoZZP
PrgkPzmUz/rp+qiIdc973/vBLK/qRrrNrp3D4g3Atns1lzFmf83R/4vToga1GQ8sLbUfVrUaUmRb
e6LZYYyTV/gdnW01ueFJKlu6iH81Gi9/Xym/7cT/ZBHjSLRFKBFdmlrLq/dNLWHOqM2rjiMlyNqC
ED3dDRglc8PXbV7pY0GLvIqnD5aPn15K9tckoDrEVfnv7hrkg7L1Y7vZEesMT5QwP/rmhRkwrFcf
HOoryOT9F4JKQ0eygtYWXOe7J9nLRNVFs8EjIqTebB0MIBIKlRjmAN9Rma8dqczAoSbP143VD9qW
nWM3bubRtQp8YYxPN5C8Z/8QQnS4N3HcxYEsM68LCBZ2UNOHTfyMUUI7y0hjVBBHcyCEivE84jtO
yVq7TsVoxe9tkoIGS7ewGy8BdnizXVzmQjLzjpjn3jodWQ0Bqgbb3KZGMTobfHux+egPxGh+cVKa
JdGqZgcTnxBtaYWBTDIZ36kcksEhL+mu7chOL8RG02vjWMzjqO2gKPTq3C7g/J0JRBHhlaPIPN/y
/7WBYGqpMmAEgpCroCS4OzojEWNxPdhWlW6xeOQ3PYkWKO1LrdobkiCe1RRJEAp+nNwXCmI4Mcei
Sg9YDCJ4K11VZdspQ6+wAa9SytN0YWTD+AW9D/5KDT65nD0IhKDqQW+cFORm6PQditoM6sJeiqsE
Wtqzi1UNjXDYjuvZgyR4U9skoAPjUul0OWClvikTIdvNpDW+e62ThxLhTe+j7kARO24bD7s/3MkI
aYKoo3leK5X6uxIwQbXJw6X9p2smU6NG2d5dGjf5esyLylorgV0Oq1ltA83srujzbrverh9Cwoge
c83Tr9vSGVYhYLO9tkRjWo1/0eXTtmzUdoQBex26NFFFTII94o2dKbIhyPyMuVbXH61+GsC6quc0
c7ALdSZgqHS0tiTSvwoCzjZMnKBACunuHCxrG18kzk744GyomJE3oG44UfgWXtwWaJroiCYq3f55
bhyY8tYIzh9vhZ3k9wtawcHxd2n7KIHgqySXaLfnNUYe48Qr8vjMGrgf7BbIcUzC+5FUmJ2tGYAd
AJAxHQwPoS+y9ZhmHUUFYsWcr0SglDtfZfl4aFrBwHyebP6RXWR0l8ZBSMASoxnMetZsxlbmqzQO
iWZysRIOVhygTfQuQ09ck/U+bozBi7fQN7GPoUEMQnMydzOl63UY5fUT8FT9tIxdrI9t48ByaOWb
ozVkHrZ9HXg0rHeoRe0l6wyEG7m3B0tPQPNMLnrLsT+ibtwmdm3ALJseC1LlH8sk3Lu2uEm66dEe
Q0aJuk+jrgsfC7ItJW9g4R1gzeCY0ZowAFR9i/w+PKqQRCknqryNDsOB+9DMRA35cwCnpr5OpNZf
NpH0rlXHmHGw1Gk7gULJx8UFqJVfVDPUe89qk32iimJfFl7/JlSLViohyxJIap+080REblPOFltz
U5dRuKkSvyUU2YvnlcnD81CgrB4Dt2EfwceURYJ81uETQt3svBl4ytIJ+w9ygANhwtMG0kSFxnX2
Tvgf1WbkhdiEv6ffer9n4RIW6qoGZBEMhiyYlSk/aZBjiH3F86ORSFXv3CVnd3Thiu2tLDe7oPCk
26+mivn2qaY5MFcz1wNokE+9rR1pz+qKJm2T7KXkSqH/KPNgYfrcxnT1L808Bb5WlFlyAGQjN7af
NOfGYHpb6OcDQX0Nzbg4UfqLo4fUk/R364076/lJzUf2c0sgigNgNqrW6WAnFmJr5dyIPgvffJr7
xCWXDhHoX/nl5FqMd8yZijdZS6ytU6GMpxJteMAWzb4g/rX+RAjsEKhYEedCxXLrYcX81Ct+zoRG
cFO1ZnOcK/bTyViKgyks9UAXblFNqxiZT9/xJMDebR7jyGs+N7XIttmoNY9uYyb7FFtEfsDZnm0T
QuMfcDjAk3Nx4wdOaBfQljDG5avc1Ox1pkNyjhzHXqcUXIeugZvr0kLesCv15TZj31Tsi7riv29J
hbhvwiGaNx7KFA/60cI4RVEEV7lgNIgxOc6XZ1Abjhi34xtMJvmqcmVnbhWXU7uHEMspunXmxyeR
OfOrOll/35tjN5xFYRhdJB5uauKQ57MKivipiAU/lTTYndAT56ZvSUdZUYk0R6eO44t0UPUTrTtz
Q+PMvogkr+qmBNCznbsx2w7VKIqd67rRRZ7XvbuubezQvEQNLxV3lyZ8c8yws1wgL6xfZB/JKzFL
41YlXO+EaKXdPIE29mIuKgnB04nGo3lV27J+sZcd5rp05ppg3SZNgBXbyR6bKz9W68ZLQ4rmWIOL
P517Vb+0Uy0f+5jrOkONIbEtQoA/dzGXtSmL8BjRjdh1fqte/UHZF2JuNNICKz+6GLHO1NS7cAtf
59QSCMdrc7AEE/XBCKdTg89yHUCewpUNUJ/wijKGnOl1XQjPudLRRBkTGc92Fd7VKBzPHburnpwI
9jrmfxBNpkYO26rHfvxqdzCco9ZryPDWwyDSuv5kcbjtgZuOd56Wsi5GYbK3Flx8rWvRRYfAfEYX
aFOBl5g6LrDJ5gfgVEW4aokdSgNYkuERVRr/AUzoxUY85G2QzjWihpn3nDZWqR7wK09vaC3VqxsR
7gd4LT8Ysl2e8g6MHzMX075Jiri/Rx7Rueuh4pfMbT279lpZP1tp7Nxo/oytvC6H+GJyihK2JU6m
x7yZx0vPUd29TvrydbLcbhOD76kNrPu6ESCJ0JhMW991dZPUPdy4QnHVPIIHL/VIm970GZ6RNgq7
xBjhhdcmJOQDKBfY4tbAT6zm7JqSfbxDX6he56FHxT/jfoo3WhFPby6hw+U67IAorui3KLnCD0oC
taNV5AiIdCYJDbhbeC1itlyrulPNdCDYlGy1uONJmtGQsfQ6gieNNSu+IGC3MtaFMVeXmpXSxO2n
nHutKw+tq2NVXrmG9/BW4R/BfawXkHeKoXmDyGHci6gegn5QsN76tOvWvHrNFavF/FaZaS3XpBOT
Di1Tu/tiIty1uWdYTLS65rI4fMnVTgfYJldL3v3tDPHu2m91VjPXIfW69pqrNixp/Ddmfd72U/1p
xHt9ZbRedBE6TbJrfbznQJetA+uYT/ypx/tdAuh8aLBX6FdSI9OsZ0O5wAemiovnWe4Ze+JwS1QS
gmm0BC5909ZCvBxa3tOsvPY8LOpo1+d5vxdOwa3hs3lqQaiHQOlGySWZnvW2JsfhTtY9ulNY0G1U
8a9UXddB2NfWi+1H9lbU+byuBUQO0xrxevSWszO4XismmoLwGMl72FrFdG0UcrykCBm+UlvvzXzR
DWrVDU6zM1zPyLB1HYxaK2UwdH563tD/0buYULyilhwWCbk+ILmLXXKnHWtmvK4n2tlIfMVFOdnh
jROSl0pwTxex6BYz/meGjQ0up4OdtMd+msgU5d08I6hVnkLhKOHgoxSi1KcE9Bn/0UJ99iFvHjK3
HK8zKA2vPdzQJtENljSPf1iq2ZQo1NGIi5NxTMUD9fYCwhqrF39Y5kxVu43pLB+asHKZlsUUpH1a
TQ/eOETXehkPW3es906VN4E/4MFdJYRFeMP8TP+v+JQVeGH45nCRkMpGLPTscNbuNAkwRlmmDpmm
W6s+1FCkozneqq5j8GUsKdWAPi+RFuo7C3zZTddoDkudH113ioN0duhedjqmHxrT6IgAjT6DVXHu
HdXmpJ669yPexR3tUjJ7AKbTiVt8J1UyxGeJR+OmMsxDiMvpJdbDYdt7mr7Dyk9gdYKUd+h5GVUd
QzrNaBVG0+ScUFyIh1TYu9Ieqy2vEwtwBfBtFTkYXHxgpG89AbcPYy2Mc7/wZ1QLhbit4QesR2rY
rc3adVKEKr83bNe9mnrukt2rsdm61IUr2cpog0Cz/jIzajKJ/G2Tc1KdwhtM9sQVQwYDPFPXQGFE
gSJ9hMZOyjdsDZSg6851KOhRuj5D6iUPAflcC12DyG+h4X2C3zLr5kObaMWWV3GbgElZ4M42BZnb
nRfCDu/yrKLMEAQ3sgSChPXa5NrT5RxkheWdqAnfU0iCbmzn2SoD0HhR1HZVrePBNxha5PNhmqr+
zMExUFKjgbfB+VpidB/TCyLo8Cc06Zzz3smSbWmupbxGzND6Mz9s08fCFM7ONmjA01rDWd7MNS2N
LtHGSz+0mlNIawRR8GVIIHZIaC9E3urXtoshLXXHfQg4sPdUdoYrtDpRJQo4JSpi7xnwkG+iWgyl
6bRyVLo3Rs1/9JmZss95llWJlB8ew7qpCSBI3TKGWNC3xuM4CXmoTPfFmJ0voayaJyrWHKxYUbFo
YXh3c1vbWn0XbVq3K64mh4oln6TB0Ntv53U0kvVGOTTue7DWyVGzqkEEvasrd+9mBu66UjjVhQbM
EWn/5FYXtG/ICDC9FAB1l5PfyTNqp08FDo8rs/GKK9ABWb5KJhbQlGSr11yZOiyFNH5tQn0mpgMd
+EWDCuBoI1S/mQTmt0dJxcN9S9jkIC7O+UqAMjrkNSlmsz/Wn/ha0jubc1BANP35oypMzFvqY3am
WRGLY5SN6rXIqvZVdYomgpq64i0jFTJeKTJln3SVGi9ZDL53iTseL1Uzhk+QQtiEizAhureeQ/Wq
2bVWkKTS+zjSMru8yZuRhUHF41Bt3f9j70yWI0fOpftEkGEetsh5YHIeNzBWFYkxMCMCwNP/B+yW
bneVrPvq/lttSjJrkshMJIAI/9yPx72stnagUDQI//L1SMyBBU5VFtV94g65wxqzit4cw+F3gnos
2rWXBbmztnHY1wRUpj5fy45XucnIgGIfxaXlsYkZOWiW2mV3SmenZ9+ol9JIVqpWVN6zeOUvzxpZ
goOtkB/XiR1M2k6bliVAz4SU2txRBOcs0YFOui24o1URAUQPtZlHHTjNIXqTrSTnEA/p0pgTO+LT
HAaOOjTWRHLOtoK33z5MR2oxWRHGk3RydDrONM+YIW+wn6h2VuDEK6txO/rKv0QBy7DLewf/WLkr
0gy5B2cBpDtKOoGGG6hA12bjjPScObNzgq1X3TsKRwWnkHnrSkUN7y/3HPSQttbz7NThYpA7MWH8
uKK8RH5KF200HEynTq5czUge8kmaUKPK8hmctnebe0FDVU/t6w8qqbsJiylszWt74E3vTanz9WBV
zqtOS4JOyFljqTH/q5b62S/2KNo/nazoMnyKUuv5+bk0ux8pu5c05MUu2CzZfaRZlxW7YGgbBhgB
Qb+dnqfAzQud6ydUnM55X6L/HVXaaeCiqp4VnZPYdXYgH4GI0jJbAQ7VpA490pClDX5X4/m1EoO+
oNspmxIrcx7n4jqRlr5qliVkAceIPj+8gY9GBrK+KSr9yEy63Ssx0DYU+yN9FXn6NM+JelQmJRZf
eud/exT+Jhm+DKgYgf5LGv6lSOHqvevevydD99H33R+dqL//5u9OVDf4B9wPFxM7yvQCQUAw/mdA
3FoAePSiYT3AgMQF9S9vu23+A9oBmyN+TbeR75iV/e5tJzeIIQ/LBUvJ3x3x/4G3/SdlmT9t4Ezz
qL1cjHD6L/4Ua4JGWWsoLmnxmVRxsNN8HATYYv6u9fbfHYnqaaLyi6/pl3lqUdqlPY8GRyJoHhIc
fKvLagxVlAx/Mwn6d0fiGMHi74Ir6S///Q8Sfdxr0Qw9p97jGxnYyOjXnRSExpv56Q8n/N/MAv7N
gXyItfRecDidY/35QBKGS1C1c72fuvwzL/LPSEs/M/73/3IYOpcZb7kEJX4S5DFDzV3isHaFmxrQ
wsOeueMJSYU75Y3/+aEwldqQNhbT9M/jobjWBeML3pGMRHsedbBjUWX657b8uxHlMrL4wxx6+eLR
kI0hivNk/Do79CQrLzbc9T5RtJ+Cur+jNODJ0KYnMmt/53j+aej928GIT7jAQ3Ar/TwP1Qyn4tqs
auLlS1UUjeD7zKdSHv7Pu+4zmEQZt0Jjgs7xf/g8CeYSPCXii0Hyz98Qt60Gk/xCva+btLrn2UGR
T6DlT1rG//vrQy1ftl8+UPxR3BUWQL33k3NoHrJhSitR77UBap4Y6mmTmXp0/9dH+Xdf+SVS88+j
/GSlgQhHqdIAtE8LRudktuOTFDStfoFN/v+O9NNHp1jTVRIAwT4pBh7PY/b+pS/+Ly4v/dc3tUSP
mK8x8oLe/7MnooJI4QvIyftaUhZV6+Sdw6nuWXjaYiLVowOLDFrSqIHj7HWW/eussAjzNXZ5lA3R
HOQdb9z4I0kSFurqu5fQYv4VSCTYBJ6bvq8v5YCxmryqmdSEbT13bmiC8A2rmh+Zkkhs9JzWsIEn
xt6DN307tYH5nHtsremSYf0mJDYj2OL7CJEZVbEMdirj+5x7oxsvy11Wc3k5+msJW/HQ90m5QfYv
N73plfe9ltlHmuHVdywgwc7o2fJIl672KbOrE+ZNSmASz0+qDT5N/VuWQ6lOO14PQx/7XUS86Zz4
zBaJr75GCq3W/UJaBX4YRVloDAWryoZSOHRFah8bPRo3WYN4orVUAePiE5t5qe4VmdevvB5KKNu5
PCRJDHTc5RFQessiERIY+yOCQkebvcgua+fqZJAnWvuCzYQfsNuFwWo+xwmWwzE2srfYr4ontuq0
13RW/dq4wgSRyR8KPWXUr7WwIdO5kcTikngQKiB7T1zrLBJZ3Wl2Wzx1yndOvgZZQtPS/i3iozkl
WVNfu0P2qRuc0yFzzWfhp5/QxKJ76sYrqODLq++66jSR1MXvWuhsj/BwFckNFM/xLhtT+8AdvadZ
DtVExmzkWAawGWE0UB7T2IIfZw9xeomtOrjO3LhkXhMYF6Ni7AY+0inJ7CoKHb++9kUH0gR9wD/T
ClRuYLLxNgfwKyAGJ4JPdfzgzyZvKYbpCmkQGUM02HsjzCWC5mBZsUubW7fYpaWp11fGIOtg7TJu
ekmimkwqg+XOX5VVTl2QCyLgrAFZffYBVTyMZc5mwUuqI+9x2mD7I8+t+83epjDmqcIU/mCVFd8f
p9Udyi9t+BdMOxNW21+7knasqQ4MTE5BD9bWCUezZuuoxXh/qb0Jnjoamde1TTZthckMoDfZ711v
1QTknULVyVOP5CZ3g19m74EytW1Qch25Hqo0JaKSKSmdiXeqDeQL47F859Rw4LdUMsKApRXdmTdz
5ucoF12shtCFIPptDhY6/cy1RUCU/Q+cku5Ren39CsHfOXlTwT10rHix7aBZR3xN9EQD/NAwo3Mm
nARSYUMh3JEAf8kAjV7VvM0+TfyAFBW6FoLqbGyNWEzYXxhprRPhJpc4D8bNENOanmmcoQE5ln+W
jiUfZI5DYc99JkmtrZN6TD7KOnD2EHeYIbmJO59xur2wwZE7S1RoDgHxoM2s/PKo7PSzi8BfNVqv
r5hW74I2/uiH1qOGabwvG3PfV/LbkEzpUZQuaT4Ysycehd5tMnBRIteNG90o5JXEA76Jc65zG8xW
aEIlfPaBwZ/0YNwSly9W8TzSDEAbVYe4kjIMpUWJLzV3xfEmKeppXQ5ZcG2xqNw2Gld9zqiXWqwa
RxuD6M3ccncTCvaysTx3a5v3jT79zp4JSgG7qPcCIM8tHh7jUsXKeKAp1jqOA9+onBsq6b0IbF2B
5ilL3j75bi4j4TNS7ik3/95pLcpBDKx5hSndvzVcxha2Xrw7DjfKtuX+4SYaRpR0ZC7Y4omOvIYJ
vWMN/m1EG8DZQAFlf7ystIYAqm9Bd+c6m+ikILKMHVFxaALLLdNJv1+ZhqG+J07JJIkOMmhHOt9g
tmkA866tmqFioix2652orzsqpEhVmtWpMDDIrlWTYH4VBi5wj0+HJJFaC3cwNl93XZWkr31OxYmu
uFtBmC1WbDCNSx4htmXOGG/lhAvCU6wkQk3rnUuGItyhzq9ktfTfLipt0xO3lzM9LLApg+vZA30z
6h5xHq1Tq4EzjL6lt+0e/G/5IOs4WvluWeIvRSfqBu49WszdQwVc9BAh+Myhmm4tSrwY2sj0YkXo
OoEx9CepsZ3OqwHQREcdhKtj7YdruRNBrF0hRF9bqQVCFn30ehqT/irK5udUt9Szn1Ny6E8MLNAD
wHAH6bwpk0Zc11ob3RQ5XORWrFMroeuYBLndp49cz0+t1OO96VfgZWPRrHrdqq/tqTOZ3k0AOl37
m+YwrzE9Hno5NKiDlibFU4NqgC+DO44ufOMBcbmmfZVTWv92k/0S3mfOwZa9Fw1M7gjs0bfLFQML
xASBgbPdlQnxFCNBZgePiDY5FQU3s4xNXsNXJAvEyoj1/FCqRg9Cv/aYM0FOadeThA4VFrWVitCK
m14PnUg1IFWE+dgJUxxVY4ljRbdpvar8oTlaRQdWwxDU5KyjhpZn9zQpcxQzDx/gFFeuoEn3rjEV
yAqUk0Tb2akk7I9iQSFEaIpI+kdbDgvcwB2wRq9Yi5NTC+eg9T67KUNB9KEWf9SOG4dGGnuH0fdo
31RfTZxW4+ibpvvq58QKO1EP3PZQvlwvDtvMHoJhxYg52/R10trgUAcGr9x7ujeU8BzK3Vjcq8wa
UYINF6GMxbXNuNmb5LEEdbxOa/2b7Q/7GjQqjjhLkELWkq3pcn1x45C35IC1K8OiOH7de1R3aeC4
MHIOJrXDWTctBuR+bzbUCo9N9E7DWL7xFHWzpl4xkfUa4wWAFl2rPKONcIwpBEVzGbQViup84XKN
v8eFZ9C+spSaFh5d4VmhaYd0dHQfoU9wf2M6w00/ZnXCbgnAi7IDLHs1b3ifDwphzJ8cufvrZe/P
pkoAizw7sefpOLOIw1EL9afdazfPsT10erFveIACGkF47mPQJ5T/sU4ALJNeJktDyTNn1hV50FYn
LnjnxKQH8d0I/m6j9pPh7bfXg0JgeCgUbHZ/2uR6MaEh+HLFvhXGE2CxU5tzT1Ve+l4Ww1008Zj7
60/gl50hrkFAkhwJ+Q6d4yebcGdLR8SqBsvesAgroyHiAcXjuAQddNIYd/1NmvNn6+byDg18m0u2
NyBj4v+0cypbFji2S40NlzANhNwlKmZ+4DDWWSvee60KCI8nrAchE918PXZokjXcHdQRY5sYtGhF
xEHfq5lA09jxXP/rz+MrJPinnR2vz1kgmySWdJSk5QP7g55Rj2ml+faQ7xOBvDggH3/C6eeaUj1c
eBECSBs36PBcSMD++ouk7S806NS+rmmmoqNDvLOUKY8+4jyIZHaeQIvQGgsssyfbTINzSREmeWNw
r71s0Kn7IXL2MQ6VnTWycd3YtDzdW7ZuvxMDmqmR4p+drxkMhyIScCFUFRxUVNy8fT0Vy5IaT4g1
tOz+zWfxcxDi61yBLjGwYxHh/iV6i4knwg/RLRExsDAw26uwH7ESYDB4IWWm7TWWjSGzcHPrtLQT
Y7E4/vXp+GWfHZDZJiXESSEQTizpz2ejn1zl1qmR0rAzpTjA4gqKv/q728AvigVHQajAt+7Z+Ex/
PudDOsjILat0zxidYvWYG1dZ003aYMGD6pLTCDxlbB4SWMkvf/0GzZ/CJnzGLFGIWvk4UYwlaPzn
dzgZOX0GhUr2dqfiaF/YVXDWIIa9QYNxTh3Ozek6gOX0RKXlE6hiRvW1o+i1kKjs8O0TcNZxi8jd
FINv4c+git2283bP+psZRVV2zIEoUTtoUcfG9evV/1ev/hu92li01T+c6F/06t1H1cZ/hrD8/jv/
w0xYOKEg6XQTzi8o4H8p1b7zD/h0WOk8hM4lX89/+iczATHld2Xa0v/Btwb8HUUvnrG0sPwHwjT3
Xr5mf7ztcfOnOCZAIieEQxB2UW3+cNsLzKqkc8gv9pYfv4JvGllwMTdD/XqhQfe+ha5NaVDz4gvj
hRH8IrNMW9Yrx37xNOJCMQ+Wgq7VLY7H0lDOIVhckPBT6I5dnJG9DNrPKSK1D7uMNcPioNQWLyUR
KP1O+/JXLk5Lq8AHWvtpuo20ctm/eXeQUf0bNafr3O/FqWQJxl+jwMhSTQPmygRFv7g7MWGuGimu
WZnSI7s4QDOsoO3iCXW6yGGZoryVManhgbswaN/FRZosflIbY6laHKZdHz+7tkhDWmdxcC4+1H5x
pGaLN1VfXKqG22EOXJyrWE82NlbWAUvrsHhbAbqx2cLuWg0G9aR4tdft4oVNF1dsvvhjrcUpWxcN
I+3FPdsuPlq1OGqVjasP1uiPfnHb2ovvllomO0S1eTdxPCy20iOTTcruUna32eLcnfsy3nBWaZ3E
1Suw9/bYfJEvrqPF9ztozbivLTykIzv3u2DxB/cSpzA50q0I1O1s9OIu555/Tgu/HcKMZWeOfl9Q
GmnFamP6kqlY2eQvAw6nW4Jl9sHqtEXSKXnq1rFs7xtLi+4pH+fBlk8zWQvhfG1vGqZkdXppq0K9
RAHjPUTi4GkUVg4FHlba2q1waSYyEJtO5XhyWF7eeos0XRYWd9zClM6+t/z61UszJqqZJ4unMi+d
k1PgTNfNwrjY5deE2ijQg2K9bs+YG/11nVoGH14AFxF/1KLdmzW7kG6RzeZKL4+NNuOqaPzSa2gB
oUwtNCqRXlC9EJcw6G9N5WVvnsk8fP2lNpBxiJ4yk5Gzb7HDHgXSMoU2xsVyx+pkLxNL7BnZW10z
jwghWjJiTXPWaQLVYcNeabxh3Zpehj4HFzRADdt0KdXTMwzEPXWH6DQOuIJ12/j2O4TV4mnClvmt
HTzroFnwxlYx8Kc9AX5+JpHjDR8gys04IR2xuDUe8DYijPT8STJ+07DWy3i6MWO+ms4QTfneQa9Z
wunxdIeax2sUlY7rxx1wREA6ylfWxHkAxsgfBICbNDR1s9mfJMvxsRf1a8L1t0uZlSyRfUTGaExR
U72kL55Y8rBAbjC2pfC6d8Zg1R/OiP8pGqr6+uuVZdAk/K0cDP58gRx8G8+L2Om0yJlWlPi39rhY
ObVefBaLsaB0yuGhyyhfq9wJsTdd3jjLbUYWg9M/eqPgB4ulUdmR3ETWYCWmjR507IGVnb19fdOA
HHO0mXg2gLaJ5Xo6ojDQqFFdqxqtDCU0w5OLIfAJe4H5rMrFd98L27ul58E+VDkKl4EHAREDF40Z
D56NXM1JHQZUaE0sGT4zUvW2UKL/8bVNgAHpXvuGO4GwNMy7SM/8O9VoYpPwjQSjGTjRW2Aui3lH
8MzGE84fkohCrTeV+baIE+3+a1ELmq26p6wigB7aUwa7nC2hRHWfxhOiYZdHZb8yoAasKpBY54md
xNloOrCPrg9RGjM4f35QBLG8YuRbP/MPmYVXH4vqymyqdNVl86Urk4uERD1o3QMKdhVKp3qDKxrG
wp1WgX9l9gM+tPgmkTrE6T7Zi6z9dFRwCqwKaREHR2l6d2Nn4XZJdsi0T3HbgafUR//sYkjH7Oyw
kteQtaZq5ZtlddfzHEMmsOCALDV1d0zrHzsjMy6u5B6eo1GtXa+2VoZHWj8V0yWlrF2N2bqjDc8q
vejG6LXx2hhNmjirmHSB8t1k51Z5FlL5YwN4zDEBkoPaSwlMuUeGTNDEjR9ljDTTmB9NKatTQ93m
KZuHblOawjiAhfjeGv2+9J1bnKwoK3Kw8FHE0asWmy9IZd+nATTKXHZiW8iiJ71JG6MmrGmN0Qvb
k9maclW7LjMny7YpDczmH0I62AvIiyw5uS3jjfsyG+pj4OUY1/pk5TgzJzh1je3YsOfK1JSzJzAe
3QmTCSaLQz5O4qCD598rbsJr3R9quFw5YnBAQUg8U+xRVa+NPpBwKSv9POW6d6QfFx1/cvW1I6NX
3UCt0QRFKcb0aU31XZ363kdq4tm0EUzePEymayPPH3oC+O+UsVgbrvWOvuLGX9EhgWEeY/YRhj/I
WDnP3A8sWexjoIiYLWDz0sq6BhB934juRzL1Eb3r/nQh/KOADkFx7Vdlb1IjVc7tsJmlWZ4rwwV3
qfJbvlbUOLmRcWNRNLRRyPTQ3gYt2+dlXq9hKMJyNcz6o3OQGWZhHiZR5QA36/cBevq68btgnRny
RY+oN9ErnvYB3hfABcN3UEKvTWLt9KmJHplLwIKxconsiMewQvi4QjR/jKB1rFwuQ5xAZfziZzyH
y85a98TrzsrHwMUiwf8BxFHeeXiCHmFULmsIMPMkYNzpqPpI4aA1gY6SvMwes2XEYne2+OgAgH/g
7yyOlM97YRl30bqSGhY611bbvON3Y2FtprnXL16UVbf09RGLTRpWVtaSZKxb/1LLWr2V9GG+Keb7
F5emr5XDCits4TSuC64i7uR9its5KZ2GTbHwA9T2LD5LrP1U6ZqRQTtlN7sXM2iGrR83QueSiJ96
d9SuXaP16UvA4MtJpFEpamNtI/NsOJMNtvnGlFEcVo1TU4kzK7TfcaguFf6Go00ubRM1jthEXRM9
BbAF7vBDptlm7pqyxNhdapc+9p0DK4V8Z+hVs0nHIqK+yqnA2bbjZylM89oQcf+o2lTt6cZpnl30
U5ShiXq/OcCL5alurdk15XLefMgFqzBcz9pRr7iB1XR57ity1au67TOyCVNETsPweVkFsT27+OZ1
kOW6NlLXuavpV20EhrmwqnbXmMSRB5VHK9YMVyMpMoALO2QXfFv+/Jq1bYUSUUoCV6ppQcLnRpgm
lKUJW0dna3N7Byz5akyTadcSwQjNAWK7U3TyZs5Z4+Wy6nhySf96UqTTgAQr8jW59sq07mLQavWB
mMMCxJ36bVC7MW3CUR1SYorO16bpmvIJLnEgMIvn/o4naHXNsA6LOxtg4MbKebLqcQfaM1531nw/
saW9jOkCNPV92kdLY0fRHFVhRrupZBV/NOO0s3oeebKpio1MM+h++jgeU2l0jNq66KCa6JzGzZ0d
Oc6aNqTsMM3ueIoypitY8bWECjhsyHdBzt3VOHmD5qYLlypBWd/lQmXxreVmDTj4gR0sERRly4Uh
q8U8EuJGx50V6PHEiFYV03gYWf/OZ4elSr7KYpE7m6nLAKT6NZxkh2LzjJYxOaAKCTclrUuJYjJ9
T+gRk3boWhgkmGiIZ7xftxpU560o0UYR8dQ9g9p5Y0xzd4kzGnAz6dhXGOFemtlKqa1179Kg0ujd
62kNIGWzLijYum682vnWjdW0yqjR/UaDd3+lhKdtU0N+tPFEeMQx5ZUvpbWmgMI+UhClFqtZd4Mx
0TxjEGzuYpYqGzPCIjxp3htotihsxJC9qx6ab0o2BN4rdUBCS90wznSd6iDA0lKm4yrCD8ejkt4/
rNbpTveDh0CjZo5KzNNssdBGafrhoUuGdiPoXDSWlmP7e1KYHR7yNDhO8UzHe2Ysi/4Yy9834Nj9
Dy93srNSZcc6vrP3FgUthzYL7nUgUHrYsJbRlglzfpjnyKf2bbans01a7LYuxPxctHpx1SXiOxvQ
WGwqhF9Md/3iKSwj5Loy+d4IwVNfa8QPT7rLPYsx8HYoU7ltDb19Zfnibkyc8nd9RAUba6A7K82c
ayub4y40KBE46nZApd40c6UNpXpyBzWcKLgsz3MhYU43U19c52XjOSQsreQbAUbguRHN61thJDwK
dIT1rzhmxTqgCPwfADu5ccjYMe7wxvvPPeyR19kSQCcTQkPYyS2biVQJKXc16Kp8KJf4mbME0aIl
ktZxY9z4xnxIl7havQTXmMrmlxQd7NVYYm1usyTcHDQXQhCZqrDlVnyFYhYl2VcarlyCcZhMl5Ac
ZRRfmTlWz0uEbvwtUGct4TpcjfKTOZXYe0v0riXosh9J4+VLLK9bAnq4wM95OzCwiAnvuUKXN3FC
oA/WPM7rJeQ3L3E/Jyb41y4RwGwJA/LCHtn4RWsvSKotbaX+ofhKD/5X9flfkTJtz7D+SvU5/HhP
/tT5RCB/+Y3fNR/DAHkJiRIWJcY8112mDb+7E3EsYjQEegu+zvU91JffFR+bMiimE7puuvjuQTMh
Bv2PNxHRMnAX+RB1FmjvfyQB2T/NHvDVweHkZS1NYbbxizKfG1EzOF7kXvDRaoeYosvmRIcdt0DN
JyTGJGo0RW6x2QQvXNzPae0E36AafiQwWu5tL7eclVFZD4B1R5w0WnrCoznipzV9DP41zWSCVEIX
VGuNNV9/R5whpuIkVqp51Msm0oBip4UlTnmQdjtW8FkGpT4J2DI1hb8lMlUeRDQRWM8Gpn+TEa9L
UdhrMFPOlmS5aW6yYLjN8Z20Yaar6FywXDx3g9nvJlc2RzNo1Y/ZoDNH9KzsmB+/FniJdnqd1m90
Hegr1jYuIanu3Woz7A5EU9lkeGZLQcCUjHu9rmyGZr52KTMtInblyW2i+0YbrXAPoYgQXmSGKLcO
7SfsdFKVXTM8Mp/lNC6w0Rq89livujTR7yZQV3f90JRrCBrPhZMGj6MzTtdjSVNMbQbP4+i7G6lP
q8iS4tbONCwgQ2teWiHaA1IvK5iM2ixBn8TBcZP0KtCK96Bv2GJBaNg4pPBOjciDXVFp8luXe9Fh
ihxrC5m/+KCjsl18GsbHwohsVn7XQsA3049hMNsNKYrxxTF8xZQ9RflvakrDG6Dzb6Y5gArysoTP
pnoWqXhuNA5dNjU8hkRJSDOas2HhxxgjT72VUy91q54q2VYU7ImM0EoDalrnEQAOuZH6sHwjHxvZ
uVvyN3gbUKDyPUpGQ32A5wEYraRHXyDP351O5moCazAuvpLciO/s3MhvpqmbryOV6KtkhsyZWDSV
hqk+OhwFuvriFdzZWUFcX2hWeq/crjg7hP/PCYunKzyTsMeSSN2otmm3ZdeN33uqZMsQam2/GnKt
/gwI5w9hrGxjJ7xMnVmipfuRToRzT9tOhb1JxT8S4m6roiYHBVoTfjJli97JQG2owrT39AtCnx66
bUBvaYspqFw1LtD12Cd6SGsNhC+SASaJ2rzhWaF76drEdrWViUkKV6MNIqyEGZykoLA57Oulj50V
XbsN6GhPG14Ulcb1sZun7jHmuShCQPyM8dHuNr5fBHuMSu65dbQf7uwAsEqSZRBM9zWhRY0+5nHG
H2KRpd16S1c8glQeytY71UuHvPCJiRRgz77hYSu2Jnv37/lSNj+PS++8K6mgX0p6QrbR6iVYCuq1
PPIg+9D5OVCiG6/KpcW++iq0h+JfHX03V/VaRFqymcBK3BB9rzZzw5PZdSFt9aNFWp64yF1BvG7n
F2p4Ip1bkf8v4X1kEdxvL4jTk1YT83JE4DMeDnhLbsXqKzSLoIMwpgjRtnLaGLPMWF5Rcpsqf36U
YzOGUjWME5k+r5Ng4pT0dnSV+GV747rN2oj89iHNNfcusIZ9W1rztWLFwJjdOzoDlzXKsjke0kiw
uFdudQMeRAMZYHQjJgR/useXUV+JTpoPptkwp9MB8Goum/dBtergT2kSHRjbefRJNZRDsWWwxlq/
Yt3JFrpSt7HdtOcpq7MVN0/90g2cbmS+ZFWK1OKm0ATr2FL6YW6MH2jt7qW2m/KAq8w8iA7TQWp0
YkUyzMyXk7xr4Vquo7R+0Lx6gpBhWv09m6zpA2N4vZo1b6IDgwU1vcGI3zTLSEqbzGRlpE6+84ax
XqcRN3LdnPtTmgzjY1no9rapy3jl+tK90kl5IOxyIwogy60jIpavVrU0a0DVWGljAULPpnIXvcRx
X3kIzmSGA+3DoC8zHFVi0cRiD59ZpFUX20mru462ZOxKImQRpb/Hs4g3DRWaFEtJRqES4xF1G03y
as5xf25Fcdehih4pDilXVttSJr5UpM0luwA1+vONbqTBdZe0uNIYts4bO3bbHd7rFJMGDs6O7pz1
4CX2R7woO8obv1MzChqCeyal7rlKVi0BtnOiLdU5taOea/AdKxur1h081gB5snJfQT5xbVhuDZzB
Jzac5uNVmQwaNyzqTZWT2m95IYnXeU16MaKy3M16ZbwrEdvorPMj24doZarJ3DvSrQUAkIhQc2qM
eGRn/yCC4m7WjQOrBz0MWmzem1yfOMEl09O1l8pbVefxMz1tkJ8oYcHGVuKOLLqJ+psmVk967DbH
wGq8Y+wntc8dNAr23DeJNPb6ufM0626ehxtMksssEbIB+fN85fDde8gmHDML4ZZLghblwCDcPMfJ
IfC1uxz1mL1yW8GRtxbTUBn7+3R0h23s98UGaIFY6X50JoaU7yq3Gw6LNIokRAhWYRg9cEEl20Ew
/o77IQtNNogwISJxjp2W27eK1HuS6vVOk7p7mmXnfTcoWf/WYju7OF1721nCuQfC8qhPdnfJg6hh
42N5h7bX5p0/eMOmcTyJ6ycZjo4r3rM56w9JBrGqoewIKi4a+TAXQB1GLe6OKfs4BjuxfdfFZXUz
L8gDnyeXBPh3S+DXfCWerc7ED2UCNy6Sz0aaavtils5Z1Gl2NFNnW1lZswJMhvpgP40a7eo6VJNN
WlpR6MWyeAj8uN4NZOmvCVQaFOfW4C2a6MNnSLBCwU126FvsuVAe9h3Y2XNi2+pEw3j8IoOOyFeH
XaWeSdfSIzp/AsJ5SERZ0iWUefd5xEvoDXxBvD7ijZl1JbmrbqiTf6MPRGMCYINHqKtzAQWLZPF4
xllgPxZNzoAEisDG1lq5g4MbbLHuRW/tMI0wMtP2jV0KW9hgCFAXTHnw6HraFm73pnAcMY6gKIkW
T3C47BqLIXnXBoepxQTi1/Oz+RgEMHPyuDiN/cmrAKqGdiXkxS7gssEmJDWqe8VjprnlPYuq/FQ2
Po96x2BDlKrcz66rqjd2QGvrC6nqrXCteuePenuFIQFA0OhouySzxZaKmvjsgaPZtGY24K3IUpQ6
wB43CFrjIaE8Zjv6AzaxLHOYvqm3jkaGFSwKp96xvZ+va6ZAq9xpjSM+3nKLF2V8H/zIL8KugYoQ
5fT+hnkRN2XoMv9YO9U8fi9xgby5ECFxfnfvIg6iNS/kk6KfZpuhU1SriRqgw9Tp/kpkuUa3V0vF
Iy29BGYMOy+v6tFkHoM/BmSFaJIV2egfJMVNEo2z4pHmMufHK8H4Js+uWfeu+lTHe0sMcKtHNU9Q
FRnHmfsAOierzQQTzj6yNP3TB+IW9lMhw6FnrEEraryB2tSGLD3aDUTEWwebO14VfUL6iXBWNqVJ
lo5T/ba0oe/NMYo2XjnU1DsTwGGkNnQrZhbdulEFGnTjRd5Lk+gtXbGDt3B39FvsbdIMmURkoFR6
4/tYewUVkHRF6NIsmP7k5jYqZ9BQ9/4YDRngZIkn/jvtl5LppyiLQDx4Y5Ln9jFy/DQ/9aMfVA9q
knxqRE9HjaLWoGSlHGYtRBmqLgrDo78Ma+sahEvu0SYVl2sN72UPFnMaP2rQID9UwCtkjeC88DvV
mwapZDuZsj4gJI60AUrYqXrnp9h//OaqqfnpqnOrV4srz8qndssR4WkFCBgDEtEu9Zy6CuN6LH+0
kW5cVenoH9yvgi3FZu7iDe7DDEQkbJh6/bCLmkzC7M31Caaz2jAJaO9agVMoc2nw0ijcudUV7ZLQ
GiZE2EQNe7voacpIOty9Dep3ZbOEMVWHHWlpB3OXnjCSx+ZJLzuyz0uBWEoCfsNAaFw77iT+H3tn
tt22lW7rFzrIWAs9bgGQFFuRlC1ZusGQJRt93+Pp9wcnqZPKObv2rvu6SOIxFMmURADrn/+c39Rc
S+HvE2lVArQe9JeWkOu0WpMQqFupqG4tspSaqjG5Y6I1KHvq5tfRCB7DBOi2K0gcPLFEC/0BI0zg
df0iznMVqh691a3faBldZy3trD1p1wpzMU9hluDsNohFw6JwWzxQhylPki+hnXWvHUdPZqZ2uMzF
Ej7lxtJu7fWHTR1osqN6hOmLEiW40QFV5kR+p2Fj9pXYz0lbPwVBLjqf0pRk17NY26dtU9y70MGM
XMv6uYka+U3Cm/hWlOFzkFvipKtke1nhCOVBUyuQIYWDItQP4mg5efUEe6Ut/CCoCutM1Fi/4Yp9
t5aG5U61TPS0KJFYPBsmU+zFWAahPpD4fUyzOXtJBGssO6FGz6ZKJvTmXqo7RqHuKwLO+DlALvIq
MviEbcPK5xUV26RBPPKnplhQ8zsDTR/frdtRWK/6EMjH7wunPk78itG6zdqbV/+q0CucLL43IbQH
US9sEmF0qJsWZ9hGtQDAsUmP99HaxQf9Mt7naz8fafS1fY7OPlMo3zO7XL5GONgM15Qm3xxLoXIj
jHR+SblVqLzzR+EtibU8KjOVgBk4XvgHQ3Yv1nOSRqQBQAarFlkLwLhrpyCGWra5KKsPRRJI4A1Q
Kpk/14OsNJqToXG4ht2xZrIX/ApzPVokxOHp1d/KbrTzR5kmrQY6yWQYqyVPAcA2bUTRe2QidwMq
MJdPhV3NeJUO2yGTWji+4KDML10xVdOXBVM2z1elY+Dtrr1oNQvLfW+pVuU6WjONR34kjQ3IKaR+
x9NaWbKn+T+5PrSRzjrxsoTTLlCs+kuW5dPzX+Sf/09m8VdT0F9sNcKmy0gYUMI5laHu/D0LV9XT
SHpJjheaCAxfcfDoSXXgN5LvFaB7Qfim5tpuSNSDlhpbEjJbI5IbquXOVb9s2rKjwU/ZOdScpURy
/vWL+1sQ6/fXZlI8AZqWNNbfA5W5HOpCBOp4qarmYlWcFYOHeLj8+38JjiLdYh2IQ+DvPwD6VyeG
3mG8xCqcf/4xlWxbWOX211/zHyPa/2BEU9EL/6UkyT0ITTJ//6fM9O+f9Icq6ei/0bYlLcpV6HOh
XB5j25+qpNBQHwlykkH83ab2D11Ss9aPrH5FSm3+4krTfgOnjiXN5JWtn2f/O5qkYaz+679cP2Sk
NQt6siN5BXJtHvtnW1ozwH+aTFkf1kvVh2tFam3othoC3g0aY0Raj9ADS0fAZ9gNGrNXvkadkXxy
nlcBhkwk4pbCy3PKY3YK4aLmC82b2dEOnTi5EsRoIDXE1qvBEuUQSY6m3ZiAUlfSxq/x2OYHDj7p
1sT46XdDUpySqlbK14Lo3HlA4lmAJ8hdOLKDxteiVtucx5XzOsSzZj/YgsrQpqtn89swTr19xYpi
+VYZR6eEOgx9o5kDZ3Yyfnb8PnRK9K1vIIk8lE2ZhpCAeiSbzhBRF26VLGfd3gNBwJmXj7GtURsZ
IRdbW7umvflS4rxvXR5jDcXNBTHD4KEDf9lMGEhqoeT4anTGUhcotKMaftpjMr4QDg9QngJE1w47
1Jz3I5tkDpij3w+DJT0ZBVJ8YIZrx2WTRrExss0rWoNsRUEfJ1gK9pWcwcy+0AqgCqrCLAjoiLE5
spdalz58Fn3xiFWFReVB/1AjK8UxTI9X8rkEaHcGpUF5OBv+EJaxjtjK9nCnpgBzLxZcsD2LmubK
xMiJyVE0ly0g4u4qBUeKMsDir9QnplLCPVorAEzKYrxJNs1b06nmd4s2lg3n08yb0xnEY9nWW8h7
6QnQprYrWdbvGSn6HZ3gNVNvUZouDo9+bw+TZ/VRus1zmPoaYLRHQ0WcGiL41aZOz4reGet5LSwf
2sUJbs26kwwKBVZ7SoEi+JChgm9jfk3LnP1oWLfXMRqsW1alw2uUc74MHQm2FA7QjfdDuZ2HMn7O
2okYjgpGiUkCbP/Y91BaLOyAo4yti+OkwXNUTRS7RabyqEyrKNM2irMdrEY7BWaQ7ZREwR4grSYl
211z6EfCQF81ZfHUggCSbh5EmGEMItGTxwAAvKmcl2VfNPT6uSDmch6eRbcfp6XZjVkasm8utaOz
WBxfJdrHF92RBELsqgkSv0+b7KccdRMzprVwoKT1mbykWmKHpHjw2sQLg/hoUApn+YioLEKxOlgn
ydGRVXHM2d8Nmn547MNQPcppKh903endLsGMQuiE8T7KzOK5aemSHwKr+k7p+Iusm8HrMts+8JvO
cf1ouje3lX1eSA7dArONDoU+NV9CqS3fem3J81UmVT+SshFHZSks7HC1Zh3GbHK2elL9GJw6eJCG
qDfRlLLDx7/xhPmj/yZMcPQz5oYXbaQ4wTNqO0XxLrAlpVxhptI1O4DMKirz2G1jcn5jmZge6dWM
OK02PxZOYRzGqcWHCTqNXiU+V3mUCbyixViQ0TG/xldqrKbDpFT0CtPhQwJNrrAbwybPE3eMWDAJ
5w11H5WHGkJTYAY2xbKyyAsVAbawHQ8lzCtfmw31WUfIeeyU5mu8NE9JpVifk1GyR2dXjpHLQBnB
mERv6heLXNExFzMNMZ1eoRLgUsG8uHf01jrPqOFcGn37REVf5pM1LT/MXtisRQHL0aC8fCfwyhlU
AqR0nXysjmES6l9D4C8erG1Vd8e8nmmgcMIz9JX+tTMUDr/0rONU4YwJ62jxkqk59DE0slaL4h8Z
DgKvHeoTlgqmInOc/Agr1jc1WqGCCjF5tMJxPqkTxbh6ao6t23WqwhWnR+Ii60nZNqVUQF8JmzZk
cEyUCnXSQYmY5GVoQdK4WRCLwY1wLUwPatRNd/BLmOrScNTgRwb293TMMXWQCIBphOzsbIKAGgti
q/aJgLzx3iNKHSEOcxKmKJj7XL86PEPsMowTdtQylenibOH1/zJLpb1YTNAzHCBt9IG7E5dk+bMH
BzwQz5olqFKpUlkctylvUaMkWzd91Dzz7nI0532IZ9/ji8JUT4J2b7Da2nW1Pp2UTo0x6VX2B+xh
42ep6J9xVasnht+281Bx6XJykk3dkKSMcyU9j1Nknx0tTU/0apgJtdQfkVDxoYgMqus0fS1F8zTV
i/AQXpCZV0JjTGctNggqsUW8OLdaIscppopaS1ShfQiV6JKlQ4hfOYb1XDTyJa4NfUc0Umy53j+w
Kdv3WiX8CL+4/BJaNJ7LqKnIzKX5pmkCIzsbpIrRGIuB4ltChsqIr9U1c3PtsJPljXdu7iOUj1cA
Xs1nPbXAftRK4gzIdPs5NAP9wCucfXWsVoW8Mio3S438ymbB2GYq8SWJBc0TNPv66C7xSWlCyyV2
We66fuphFE/dK9HUyGc2wk1gpW9dK78TSE+xHajLaUCfZdvUjhHUOQKERVtCiM4jlabNqf0pNVpB
sdf1T4kwjQ2Banw3oZ2S6CUYx24FThtOmwskehoAHa3mVcTN4xAmmtwkDP5rOWdue0oTAfHvj00M
Ac8oxu8NbdRvTA/IqKOdfua2JTGM4aXjtvdGV/yPJo3bvabwuBcYt/3a4E8BbUXuzBTygOdA7EXC
dnSIpbpVu1ielkpJPpyE4b7LyC92BqK93gbZLemwY6htEuNTTOp9z4EESCNLI00vWzh+nLwUEE47
NkrDMc5LtrnZVNV+JxXFF9jYoM6Vw0ajmP6jM0YsW3r2BQuG9Po5Mh/GQaM82jgvOjaHQqdTnm54
dQvG7KMW1a0nae4SL15LSZYdt2jFJXL3Tcb67Ebk71c3NSeMDGR0KkoGleYGLm3ntPXqoe4pOwdh
DW/zDuIkpSV8CbdFg75dOwy0xPcRGaOIzVgWbgM9O2u5ApayncZdZvb0qRLsIU8JjiAtrnMTR9su
FygFpYIOm803rEjST2OiDG1XgWFYqoKQImK3EfVyVwwaTDfF0h7x7MBucxTrS0fI62FJgpIco/xR
B6ayMdiuuDE6ICvhyuBBlkY8D7T+hrXP+cDpWm8shbdf2SoP5jQUNxNnMA9jlMbBoJpAOFW/n/LG
eUiKUGEnu9iHvJtvWWy86YH19T+z1P/O3mGv8cf/HkK1z7KYFFj711lKsk/kk/6Ypag7xSKsUqhp
4PTHycGH/pilHAl/ijaftdiJEzZ5r3/MUvCnyN3wVKL9xuLrrc6MPzweGmXNBBFXXIpJwQhJzX9n
njL1/ydthh8DahyOEoyrjFarB+QvMZ/YjFmFSw5IU01SAadpabg0xJvHqrZYm8+T1LknYhSr0hpc
7lpUgc9gsA0OrC3LuIdG5jQ0gQExD8ti6cEmA3ZBOluI6Yb7Odd3MrFm5ZY6SfNSAzM0PBCqYeLN
nEPxYKntwNYBhgCPYjY/bp+LhaALXR0nJwEy4bZjs+wXuXT6OmKAp8gsrdkMkupNTxtLiOdtUOGG
s5X6u5PM1scv03tnO2AyF8EUElVZ15IkNxhzJEt79eSoXeS3Tm6eeTZbbj709xa89dZqaeQhUj4I
DZFUxk/Eo+fbFInu0oRqfl8THMXGmkoFKqk9hYZbGCJkc5ZU98yoyDuEY812uZwfQvoBD2rVxEck
rB2GzAY2cRmXW6Mg56C2EYjGjsC09CcD0KbeWepL5nAsi7Ume5IqZQpOpL+FUHEfjXJ2fKxj2rVX
k2Y/lLPuR1K9QqVofUDi1kaZMRJOFM9fNUvJLlox3g3BfsDIMpDR1WRFH0Biq51ON6qHGyA9yjyH
CmtO9X1oEMjcPorDMxK+fhmjQuO19Ut/EuOmVsvyElRN/jMZTOYKOga3rUEZGqaC9g7u6cMIcABK
EoWeqUQ1T0b+BSnzxSFF5Ta4PbwqMw7DWGL4BGP+lDStdtcmZzpqlcVzvBUwstPoe0IH6btRmqOP
AHdkzT/7BghP1wT6jipaKbehnPKnrElz3ANZe1G1NPI6fiJe4KS3Jku6izKBHIu5Yr/inKNZuyWC
PgOy9ys6KjbS4JVC/gh9MQThl8W2QPZkds0pMylKtpZFkuBBryp51KJaHGbRf2b8/49hr2c3CxxS
5JMRc+4WqP4bYe0BOwFsIDx5y3LRFewhSYU6l0LF3S1KX9yFyjvaMvvupKa6vsJq3KrR9C1rkPZc
TtryiqeC6hcFZM5BTyLpg2bPahang+7XaTruWIIw7Nf90aSZ+CAi8zwMbQ2J0yyY3Us78exkQsMu
MhgdLe9BEBPQ2/uAYJa5dM8K6hqe7zvFM2IbWEd9gK+BLRtneZ9cI63hQZU9y7lxfCfT7+i42aaw
q4+2sqx9npTPs0ZmAXPpW2412RbmYgfwJlaPhs4mnxjFMZs/lZDDbimZdZdevAAnIFwxO8FDNQ7K
eYSmtwn6KvQTob9yM2wf1SqftgoOI4950tjPhFWedSjX1DdYLSaQBnImhmczUQ4W8rcLavQVUnK9
QaRodhnBLpYIh6WLT13eRW7dMV2SOyoC1jEEJGk/13O6OJN8M45VvE053Hs65/+7HWjZrbKNcE+d
GH0CbLj2FDlOt3zKll3RpZR6IH7ulnQyz3ozQJnVxn0z60HKxN2Ot1HvnjndEXSuZ+OCASgquMDQ
DUZBnkPRM8fnWKwm1zkYtfzEIemSN/b3si4NQEuL8yVBYd/S5wu+yI6DK6pQ/Ih3+L3QKzbfNdmM
JZbvZjUYFPE2ontroVfsRB5VflNl6jHMqJyny4y3tAgzb8j1DK08yq7oBZDVJ+53tHfD20XzeVt6
h6ajgPsz/unuFM/T/ObME1zkPBb1U90QQhEmOBG7yB9LwlY0gTho/NfQCMjBVOyXdmwqEM4zYxBw
XJNyj14BmTwuOtpPq8K5d4n1syrxwoQqCKmRkygLWltiaVdMVlSVWeRl4OkcdiaWkL2BcaqKTWUr
F5oJbLXLgW+BguXmjjVk6p+jbG6l/jAPRQctR0B/sCm3/EgVYNJupCe92EwRC87HtLFhjCTlZIOD
YJl8mvTGvE08sJ+0JuASSUfeemz9B+NbK+PmEC35zIRIrvN7x7s/9iRNlnhalMBiODUr615TmMLC
Bb/yoVRpyq3nQNl2YEbCh6Du9jO9Oo/w0LIn2Paa5ZKBtXZRCq3Gg+wVvVKB1G4GVc8fwHlE7zYb
FAc6Ds5gsqWdfgq1RrKp1yusBctIS+9QsTUctWEYXAKjeK25tf+EhsCagw638dwNbXudJ7UWvgU5
tXEXAgPIJID3J4a0pX8RgVa/142IX3kmEyfk/HsmBpA/BoPh/BRT1FP8kQXaXYHr+qKk2XLJhbUn
8Y7lL9fMT6NwjJhAg1b3wLIHLON0uOyNctjn3G1hjEh19sExrVbNgJ8ipofIfu6H2Tix5s8+lUQk
GNl7lSokgvnjLah185nniLOp8JBte+yiCot0IDuwm2QU7pt4mj5SNkQ6N6OQvAha29pFh5k7nyPl
GidmS3eqljev1ISkFy1bpaEh6HTLUx34K05fp596V6d3LNlPWYtMwA6uCPaY/3LiSxEXa1V29eNS
a7BpGU3t2VVpjUEZUh1xrrJofDXGefwR2FH9ZuuwrOGcsCxUQiekU7eelUMjk+FKsxAbcQ1F7UMX
c/s4w6SGpAR1/qG3qGh4sJSxenPCqbC9GeV0X8mOuT6Jk5o1tJUnL7Ud67prl1p3R4EloqxMWk12
p8r2XHNQbHtVVLM362xLeeVQ7axGvAZOF+ibIhbp5EvgPrs+0+N74FRihynQ8goUOSQrWyfgoUWY
ZwwJ/UVLVes0j119kFFn+malC7A3fUs2iDeclVWLR5GmvqkF8SBqILoNgrmju7KtbrJvO781DOeU
KQNjiYUB3p+spNq3lt4Ubp4VzSuIrQ7jRdi3DHJTW35LZ8K0mw4ack3lQr38oKtJOwcCJ5+mmt9h
tzhfrajI38uwLbdahJTqc4sPcnceUqIXlCtxR8TkKvaxJayzs+jW22A0GQmgiryiGhoLiB9t1r5b
I57bLpDas0N4JXbtXJswGTTYSAuoTg+QePljuvSp/QBFfL7baVAP3qRG8n1wBjjphVG9sensboZD
IgmpSRWv/cIBchOKsee9JNreJQYsP50aj94myM1QOeDnD75h4i++Mtaa7VYrounYt/3Mjk5RgMY3
iEo5KYB9EqZXsfTxt7qwLuE8EGvPB2jjyobwGArK3Dk3vXPEpSdDgdqbY+k0iGE/QttWXFuG1q4m
lVG5RjPo3+ltVmkpLKtw5TxYWBzzEaOOVDQ5e7KNBSj5MLy0nbpsRlT7vZpkw27Rjc5fKi3b9kL0
J7QvluRN/iNK1J4Wsd60qOXCxuMOxD391OyaryEO7++mXgbboRSEGfhtLmuMSu/PkTql+5BjFrm/
wGA9Hjfg2Wge0pPPCvmwcFnkEYxQooxbizaeSyx4L1kwMeyzpUAlMhTmg6A/NfjjcLRQVn6ExuR4
oeCMmI/hwV4o1GI8r3sQuE5NA5kapt9Ao1EagQcXRxU7BnKEVaWaGxymyzFVJIKRqcsT32F2UvU4
/giWuCMJ33VUz9TDNnS0Yl9noear6fJSzYgmnlRl8x5qtXXV6hqjoYib30E2/9k4/g8bRwZeWBP/
akouPqER/dPC8Y/P+XNI1n8DeAsfYQWf6OjN/5iRbfs3Ak6cwOgO/jXs8qE/cxDyN6BBgJosy2Bh
/av+8s8Z2foNVA8VepyJfx+t/50ZmdX0P+8cITOzaOSrrUgo2DN/Z870TGvxEk3KWgTBzrHOANol
1A+hCguV9jGCrEAC25nStl4ZRsRjVZ7MqMnPC3rk5ElZpBvY+sOnRRjgcSHp/eaIhJ6JEJwMAR/Q
of5UBryHi6V4y41AA1ou1ccmHk2gFUxo50WSRvTSJMdI1zqZSf7efmKpk90b8HyPYnjPy4ZrhsHy
uSNK+wpKclC8ZciKhYGkmt5JIMDxiltlXjhdh+yQJgcXBwRBOt83lVmn3yOu4hADeM62Yab1hqDX
HBM8RmZlJ+j05xWRoXFvCRYcbo1qU6heAtL2Gs1JaKGzE21XO2tL0ES96klLrMHe8MCKIUEUmal5
qZKWH2uRymvZiQU62Cy8HtLaEXbf+IGrsniFMQfMjsPMfMTiV9/mKgnf1UhlMmZH6uYkV3lAVR7l
g4IMlT1eWDOVV3wlJegLe6obCrRGa5dNcXqxtXy6UXy/bKu5Q2kt95Y1UpNSMyYORU8xjT7vRjW2
rgTmHdVNtPxjajNCCVNuX01D4gDrku5Jmwmfxm3bbvRx1h6CBcWZ8h/ckUYXWgAKl/5I0Ukc7JeW
3fSwZEDzRcgqGttVbZ1skauF1yhz9qzlVf/Uw+Nxk15SJEbfofwWU3b8rWPfs69Gg6YVdMPTuJB/
7AoG+5JAtDdOwXJaQtm/ZOlc1d5alHcag6Y+YuobfjoECahlnDsl9dsMN+egF9mmwkCf+MXoYEuU
7ALOjLONdB26Et7rXwFBekWMXYiGixRJP9ZbkoCyYqsE/MtNay28Fja4zwdW9PE9qlLtRQ3z+Oas
uypXA2b4JIlpbvs60o9STRgSor6MwEB1pPpmkrNqN9QP4yyHexjllFfSh/KqFGFz0ETu/MD8bjVb
U2B5dqU22vEGgotzR/hZRlzIYal8S0LNvEZ6zMQ02BBgXKdd0g+dHaSDaEEUPBRL7jsGptk6l8UX
fo8pGe82ulpT0p5bOUcHizy+s5HlSBokKHSc93OY+7xd6RLXarE2gZWEi2s+LstQP9eD3pcbXBTV
JcGaErecq7nKv02FTHSgjaHjsCBLJ0xZJPiHWPCfspBh17mTM8yJif3cmUR2KlDBio7Dp9ItpFTX
1foARvY+I4HPhwg67EM9mldpg+SrdGvxNI3hjEoR52nKuHo27dRnr8CfZldmAacnqyel5KWVWuL8
b40nanD6im4+2XmdPtdEv2Nx0Rmv8QlAQtAphnHxAcAwSGm4dAKWE7ZGdqDherkHLbkSNyZY9XX6
Na4iVIjkasVo446vVwzzT/rSwiXJEDEK46LKWnkY++ZZ5wiNQG6v5ZjrhKwxKrPQN8/lOj3n6xyd
rRN11efzDZVC3ffrvF2uk7c9t9ltbDSiHH/M5ZB9NCfbWBW/SBDsbKSZ42UdXfKE62Od8AWj/pAc
sOzxlTSl3vWrGuAgC5irPgCr8JAkiFgUmLnSli1fZlUTVl0hIn1HFSpag1xVB2vVH2KECGdVJID8
YFxeVYpkkQG+YO7WMxJGsWoZwapqpPNn0w7HbuFnGHTimPwSQKSTiq1oo6/TL3UEmcS2ZvQShBNy
8ZQsx+pdrJoKXVnPjH2P5pjgLkF2wWqHUXM+Wqsek4vyaYiBL+YTpOJxFW7oyxp89ZeaQ8zCfrAi
Ar4499kr/q77oADVpDkOjdYeu1UcgtY77NRVMGINT6BBVy3GRSeNDmy29Jhvr1pe8YG0Z2ca9a1J
WFnlbXQ0V1lKhA2b4F9SFY2GO4UV0E5fFzgddr/L/EvdguAI022VvOp5du6Y/tLIJxSQ3dJVHDOd
5tMqI3FI41Ael9ypN/BNyd9UxkQ5/FDAPHEBjYZfLGKwvgEN3q9XOW5ZhbnQDOcL7ZOEUAbZfF1S
gM+KgW9fdeKb0Sg1lwQyX4PqhZKC9Ee4I38asiC4GaswSAKOlHgpZl/j1wQsnPbSVUjMpuA9WqVF
ILrjVV3lxngVHs1VgqR/JPc6zTy0qzw59bx1EkW8GKt0CQaTs2kyBZ5j8krV1PoYGS1YJjkWNd7T
vNXmxdn2o5X9NNuguCzjpl3F0rHT0U2bVULlHqOcki5GV62jvL4DKcr8epVdtVWANVYp1pna6EP/
pc86eHU8K+3vvAmzi1OK7EqfE5bMVdqNV5FXSnG1QEn4q9y5z1cpOLM1x1f6VR4e5ZsxNJyPpZI+
5auIbKxycocpeNv+0pi5Ha56M4EJj4RqsZ1/6dHG2li2StQK0u4B18AM8ySe9mbHIxLfg7lXMhqR
/f9sk/432yTCvDrH1/9+m/TlB4ewv66S/viMP215a1/JWtgg1wWQBTjmH8dkKczfTA1WEtFSFZDm
ekL9ExBnsoAy+ZBKx4nA5/d/V0mq8ZutGRSP6CBPfx2v/51jMonltRPgr948DDx0RbHu0nlBCFQr
Uu4vuyTRYcCqYYdAkFCbl0HRcZJn84c9qdllkQpmGkXiwAPbcrdG+9y21fCNXsH6qSqVp1o07aEH
tY2uYS1nHagV8VTNDHZDmUTXntvIe2+xD3IoViL5agf4hil3CdtrYRmzdtN16BD5etCUFvuixlYv
gDJFSd80Cj/hxnQpCdJC167OmJUEeQ5Bk+s0gaMYQD0x46aJTsVvKKwBW0vT1F8zu+i4XxOfzCRp
ssnkgsYv122sSOjtNsqwkR86HbYWdxA6tmFbTCo3yU3Mo0serHJWn/U5bGvcPaUsWbQDC7XxhVuz
se/j0gAMAdvXSr4Es0JFnyutdKj9CMrHe1IE9mcIZ9PyF7WdKOBroBYQdKDzMBZP2LGSyu94Ce0u
nUr1aAuNwb036UoNEhKO3thZ1HsPIkmGzVImK+m5TB5yugxfpyLuWH0UWvfASsvejMI2XgFIIlVp
YQRcO34K6UDll9Un5xpU00Oijs9JiUcuwQ/pSsjSD+kY0vdb52H0EgMzCCGExXvLns5UhB8jrGov
bcjtFXPSlWM4zsdiIME0hOZHx3GDO+X4uiQgW1T6YNNJ24dT+jwNHYKPI5ODbevfw7hsNqRCeuJc
PULPolDVx49UIU7sGlY17lorwvBI+xWW0fuwxM9mpv4ss7g7LpAyXcaryxLVFrbE7rXM2wPh6OIh
7WIYhLHmT2CE3HbGpVVVtEA09XIFaF26qZo+V5DR/L5Ryk2aDz+wDZjn3FyC6+jgCcQ9okCAh9PU
Umuezn260wcd0PEyPKqJZoJcxzAYYgfygJNGJ5S/5myz79uQaxV7jpTxtpjoy+wVFOilre3vGIwo
3hqM+DuiJOavZp45vhvKPazmdfMZ/ghgnTwaSvcE0wnhPp8zgurEM4u4ih8A1ZvrPEp+t5wNkvNG
v+1sQ99zX4i2TaM62zA3dM+IFGc3mOOP0kjzfRdR7oCf0HR57sYU903x9xKThzcYRb4JQ9woZLha
vyw5pLQFqx9joV/REAjFmJmQ4dTpizQK4ZKMeFYy5p+loPugrXiQdsqLQWU6AZkpOUS14XhKBSpf
wzH11i+WByzXTeAgsrcaauI9/SxS0uspuy6z44rvG7vG4bsoP0t8uZjgKLUhd4OxPPSbZAChMees
vtRU9HcGjNF6yvS0uoJHIGFeB018qWzV3MJFggNEGqn1ZNYnX1oz53gj5BLu4qRUD0UfNjnmnY6/
jTcWdr9g7Mh71pongmG4JjSYegP8dab1gdHQnqb5s0ZcFRvOV/Oh7+LiQe3Qk/Fi8daaPAXeFhWY
vFp6Qtqx+ynrmrAJoaJqa059H/0ktILwSlJ0LecWdTVeVNtoX1uWagSkIp3VCIquOKLP5jvMvZUX
1Yq6E0A5mV3HvcWMsaMSgrvEhPpdUjy7MSgZdLVqIZtT1doGRx596dTvuqq9fGON7zxbcTVdskR5
55J6oU5ZQFcE6ZnX3aFTav2SCDX1m0xNjuDvPoPWbvxYreLnvEkwhZmVEZ/VhmOam/eL5i8yl9c6
D75i7ksxp4DUPVUk9w7SwY9tacNpwMp31zVHeUqxEL6ruRH7YeoAmModTm19GHEZ48NUNwF5nu2c
zeJsBjPgvaBrfaapDjQYlSh8nWJbKgLA0nrVYrQ0b/kyaFugU9NGqbNoZ2XDFftzvInn9mGU5P3c
YHXL1PZiuzMs39uoza+gpY0Hfcidj0Ztb9ak47ppU22Acdp9M395coRQNhym9yQCqXbppaa5nay6
n0Gp65tE6ZTj3BsR0SRcQIWg9LMqJ5rTQ3s1E0nuB/DOCJWnj4sihvMcI3sWc2+ByMEONLUJlxYs
AzRzNdxFjj5x4Fdtj6Q6azHZ7Oa12t3WujNLDo6b2sweAcO/J7qp2HepzqFwbAw3lOO9p3HETe0y
3ZSrhYrvzXmop2mnzDVbLzbcXikncpb08H6Q6hk2Yl1Q96tFq2rT2k9++bYcW22/YH13fI0zul+v
G8y2q/eOgnbRwDqYautrHltECR28Z6IFwAWhfiGJSEA/Kiaiun0+HZS0/hzS5Zx1QY9vN8vYcLFm
YPVQPMIaF5g0+cWCL0u242pFW1ZTmrLa00iNM9oXRezZIYdUxeZ77lOgT7BFuN/V5tuy2tyK1fAW
pd0bfS/p0agCuOQzY1GgjTPOyUSeeA+0u3b1y41p+rM3M2c7VctbWPFV01/OuoS23HNQygCYFgl9
Hvzh97ySI5UWXXMlfRh40WrOG3UbjkeGtmeK8BVf2s/KqX+gTGXbzODAMEz6S94g6udpWz9nNl9q
Ad7qVpgHfza9Tgiu/S/2zmw5cuRc0q8yNvdoAxBYAmN2bnLPJJOZXIpL3cBYZBWWwI7A+vTzga3W
aUlzNNK9zNp6ryKZmYjFf/fPudE7LKIEc3EKUneY3oPUhW7x5SFUmpcBa2GXhyZmBJ4uVqn+hSYG
NgwtSHkTXO8jMF8p0I9V5yXZD3vxLeaLg7Fzcg+alT+t0YmKHfTG/Na27IUBPUMbFNOPNibm25PH
WA0B38NAYhIkZi2fWyL7VyVaZqkFQTkPpEZHefGgKr598E/pG4+90mc9FPKp9t2lnt2cHhuGlR6Y
jbWRBdF9x8jtiiqfvvmp9+h6VMri471z7LI9iE5GYj3GKcARIKssZknsfAtcxXXc9dDmtNw6c+jZ
67r1I97pfsAUvPhTE/AX1joqbWaSY+FuJt7nxdpZXnrMPwdzHmlEHV35nfITJjf4YtMq1BcsPka6
7fu4P6SVFheALT0WnHSkLNusNJQ/GnoC9B9Cuq7LJ8LMH2oZuA8DXfcmTR29wRHDrijtcNrsV9sI
CUCxTSPeU0Tmks7gxtvjCXF5ZApPl4emDWZaiUj2b6ZIPNImQkc9iXnGvelri63rRxHVJwje4bxJ
yxhQSiQ+GZa6j4WX2B9YuQlFzPgUYDEk3SL5Lb7pRMVphxloGj/MxWFN4Tle68V1HS7+6z426JUp
vCvGD+hUvvY3PdvBeLCMmetr7/X+Zxj5+Tq2W/8SaDd5cRni0DSUuBvCCNnWTUS1rkoy4qBlfSBe
QAoeMKM0yXripbgblQ15zAwxgFHE02GCbKArb/qxxbW++Ncjq0mxkOBrt3wc7hXf1143nrFPUcPz
fe1nyQurmXphi+tes2E0H1Wqw4OZ+snRdAdOvGHtnUBuEkFMjBYIKjR39BE7SSc6TFA/gjluToEB
XHcVo4RsqyTDRbW4++N8pDJ3dIpqQ3TE3M4mUQA9j/rFlHP36WI1OUhUt5syTfWFyWPzrRRuo3j+
ylQj2nv0E7tEFjhdzc9Bo3MoYS53XkIBrLBr7kldsKGXSDB1y6qp3yYpz8MN1WV5vpVLZmKA7eK9
UptEnoJAMDurRI3jQWxIXUyNN0YgbhzvzkOwwK4yeCAw/O4xmwsajgioGOesGJO3MHeLHY3yubPJ
5zE7Mss1Fy0SH5njKEOu2iU6QoNXeN/zvx5GCC8nhmaPQ87ZuC3q7kexhFCM2AdUo+fopvmKqXwl
VnTe509WTCYAcdbeI8MokO+EXCZktA2Jx2xdGXPWMmSs3N2whGMyx6V53J2ZykImU9s+tbpbBhEd
SlJaMOgeo6tdiZCRqp825YX06+huGHqbNaxgSayKw0JeQU1p5arDCEC1E8fNBGLmSvn14DyWOvLI
x3PAY1jQtIc0iHO0+nTq55tsXBBsbWptCS0VDSpOzDo6SkIEJKzFQcee+2JL7CObeYgq/9AonsUf
OC3DjWmgf92iX2I24SPcpFtbRrCk7a6vGDX4A6uPbspbklTVoWsD62GsNXcBVMz9jDy66UGQnOqh
qY5YOQivaJHcViklWqHd+b/yBq6eiR2DUG4CVnI/5tVTC08iebMshz5oUMFnzfO4ktSGuBuvlfJn
Kavo4HU5R3BLg9Kok8Z/nlPo3onH6rwNiNbvWrud300O1jeU3xA8535c+gz3S37b02zX+r6CQPUa
j07+AH3APc04K9Y2xee0VFlicc2DC42W7uUSB8jarFW7HxkkrBsane8cyIAbEn7Ot5ZT5FaPtKvM
SNfbiL2OwznZkdFu9LbL/KNRFUyqubgTl06CXaNM+911RueQqwYJVLEyZSXmaZ9w9Z7atJ76JVfe
ioTp+Eq18fAjC4hdke+4iDEOPs0CMzvfCTE3k6G7bU8HQC01R6kuulVcaccVDPyBRKtX76pgdLf1
pLjf8KFEuk2TeDuQ+N7iRYu5jRjqe8uZflVipjgYSSjwnbOTFINX0J6z2DoN05jwiQuxK0PwMEXg
Gxct5ol5fnzoRpWdR4Xe7UaFIAw+GF9uqfhnVXnOOQyThIW2xt1DlZGjWhb+DuzDhFy3JutNJkHp
nk1nmO5jbQZ3/cikLGUkc1BM6rd2ZrJgQpo5wfO5SsZXK0ZEY7lGWn5v/WXyUk6axLhVyztlQA8d
c1NtUfIdeEGBeCPy5a/E0NIGkidx/mZU7Rs5JLxhvdw7yKcmdJn+Ezthy3jcpDp9keItLp7YulyA
YmOBB2yC2roCX4LlY2YyGYgYrGdJQ00xvtLLfBNH9I7M9WeRZq+QNZfPW2eW204XClSVEFtvSXpn
SRCe0qR13xWhs1UeoRVyZrbMNdR9UJINLskFVl7fEhdZwvWtD8pV4clpnOQWL4K6oj+Y5qZzSDZu
+8rscSdw3k5hO2CKQ/4ZZVsdA2zEYCn6GWywNH8OBVe0VKf9IXeA/Q/0BhA/8FEEquZDx6M++dhk
oKUo/8T4dxPHU3WUTCvZgA11sv28v59VHO2ipP7BfY2jGFZAeoPmND9Cp+jh+vft9EKWp12h95yF
yMNnjlJPiVHXa7/R/k3siWFNzzgHxzI+hsNcE5zsjGZT9N33wKrPgzUJNGH7meYDIKW94+wqD1zu
QGXPSzxaVErVTbHB0N2vySq5T/NSXefSwHJTTPFtYhRvuvJbimrjR7AUvwQr6W6YOB0VUVU8xqX9
JmiyOYq+cD5bQkEbdHmxqYz8efSl+FVVuTHvokIyDUb14PA9Vl2MBzR/kJPGOFVGqbXRlaSmkmbE
fjX2PZ6SYBoeamJVYHRlGCI76WGAROdM0CFzQNeUDJDh6ETwULBg6VUlsN/y44U+Rpgm1gZPQr71
TNWc7IKj5JxEI1edcMNbVflnlbog3T0HkcBSBuzLWSUWdl0yfNteYirfdvDcGBp58sjf8J9UIX/Z
kf3gpCWLh0ziE5YmdZpcNlfGfx+hqrp6z5A42sILIvvp03/mZuOJGnXFo249Y60sYNkynensRQtc
iFNT0Pkr3/L65ZnglJcQULJdTsJRixcPBHLTD4e07A5+X1NYOZ9GPvDrjAqso6IfLQxazjoZY1cy
SicIJXo3COVvfeVlp8pF/iM4Agqaoz5BnJHqTKByTdTfB2n7aWKk3EDVd7fBWNzXDmEQhBn/WDio
8L6hY5hOEwIiNpfLYDsvieUwtgmNajOAbV5TS1nsY7OCLV3m1mHEUrRp3K49FjoyUS4gIJvK/ayG
MLjvDBMZLiRNE5fTdxWB67X1JHa+apJVqsWP0O2tx0GCJ/JG4npAn8rhp9v6/SNrH25azwVHaNbd
CbjEWZpWurZCwznj7TPQWZKE3jxTqUPgFWdHZ+06nIXTbexkCLqtH1lwQVIzVqea/dGiuAIv8FS9
Q08o3yhPFvlGGfP8QSQoxPEwKeO99PLm4puZcUjZ8PDR+f54kIquI19xRWISl8YbzKinBqrNFqD/
9INzFo9WVOXvSWrJSzmI8DzruPsAlPsrakiJ0mxptCeaHYJ7kIHh2k1gCa6rxBy+ydHtrrYdO/Nd
A4wQWJKfl3tU0JwEoIZ+Q/bQ21lwof2NpxIwWnZS4IqaceQm5JC5L4TGHR5Ht1+7bAaHJOyfpsj9
xgnBfaS3tdxFQGgPPAfT1mtai8uVfIY4zwofF/ZjZIKYb2MB9L8N33MQaOs0D+Xa8m072WRc0o2b
weZQc5uBfca13Mc3nCH0uIM+VgKQTbzu5BSsPytPwxDZR+EAPm4Isng1oIVxpsk9iy6VJSZK8qFy
175XNs9N5dQ3dY0LgISBH5gkENH48E2Ea0g71ptXjoG4G7BkPfX8Bt5G1t380inNRKjyQ0QjBOqY
TsGpPYuuAvi9hD3BYQ8k1OoiISfGVBc6MhN33XQRJyZchisL765mm19OQqwyb7nyQB03seTR7lJ9
gGNcUok5Yj1opUOkKzKyfu1IMT4ys6aArwA+40EDArlX2UbwjMk8+qTak/wVNsto3KCpUfKg+hEE
Eg/adoZdvZCuuHjj66MMczTzatOL6tfA8XrLiOB+MjjW0+1rnircbRu36gbcDWF9P0a9/YK5oQB/
47Bgz41rXSmFxJCb1b18aN2G/ZS1rLxmZLVfDCfpTiKu0WXymfaDZjL0C1Xt5p2ZD9PerqhvWkay
4h7Ijf8QUGOaA8oLgxtcgfaPKUvUSbeyf7RtgRg64r9LoNawrK6oOyaDJluAPonbEl/wh6XetBtQ
BVeiCaAjofBr9hOobtlNigMXepcH6bupcnyJGhfeZlTtFXIybgRvquwtmezxyZz96JTCXV2TVJh+
ZVVuvYUWJU/sFFpuUDqauzgIcBhEaVK/dMw3d4PBrhsBSWSzB0HDZSfZmlGb7itjAL2CNHrThKN/
7AdTb6vWU7dUfFAEoHzLvC3ncvim0wI8tTcm+SY2BmftNU7IcqKxM6u6unOnQR5ySArbtp+BabVg
C0Sl+JQYzaDPMsvFK+qtwSY2VE8m57vbpqyHXac5/SNn+qg0RvxA3WYP0TEi38AsYx1VbX7udPBh
9Ja1ZXEiex3jfcTcZJ2DnkdDpHa8TWpxLGNLXmFGjMeB3pWTZ/jEk0jGk9jn1tFxYgQxqZtTG2Nw
Ij6pbsle/SjkaG37kCF9Kqd3aOXx2gZgugaHjqxohXSh1M30DDUg3PkAEreVPQu4uI7cx33Vrvtm
ssEQlWg2pSomexVInNhihBlNG95KuyVnWXNu3pKMFg6uCvNhakZvZiNru6v0S3RgK4BwWEAbzx5G
N05AV7HZpK6Cda3mXt3CqNkMLuMbNFaLk0YZ7ywlaYFhdO+qmX9vhvctMNHLgI9oZffqOWjtVxGx
WLtGsU0cMW9QSt6DgvQy2AwAfEMMR97IqGskgLizKSM7DE6+d6L0YZakS0rHdddBB1khiuYLKW2x
ytL6pWrr9EpP2iE0bLIRtd73s9N/N0bGIDbhTWFaGCZmTshjbST7qmejBrj2ngdpfT909X1X2tm0
MkvJ1m4tF8E4My6MuKHdmnZ8BExj3zq98ekYfncu7aKBO4QBOGEMhtATOK96cEGyYnzpK2xUTVa/
/Gds/a+MrRkMSGbG//PY+lgOf+ft/PoFf0ytzd9AtfgYPv/G2BkwsHZsNhvbp2bShhnz14m1s8y5
PQt0PsnIxdfJnPsvxk7H/E14i1XUJEj5RZr5dybWPAV/O7CGJSNcR3iYTgOTGKQAnPPngTWaiO4L
P5Ens87HGyNtOZYx+3sYhUvCuujpev2KHUBSI4KgvtIIX7mEr4gCEyXjim2b83eMYHR1hA6f1Ywr
5aZeMg6xBpV8LOslhBAW2JaWOwaJCDaJLR5p/3ly9XDfNZUA6jXlWXjCyp999ku2oq87+RzTRkHm
4yt8ob+CGMWSySBicGR0kBz7Ja+RfkU3vK8YR7EkOqgcyn4WhDyY4M53aTD2LzqpnQdyKoRBkEbC
X1yQ80tk9GcFk5F5a5Gkb/OSJHHCqH8Zozpf29xVflE3VTEBjFx6s5rRv1ZItDhVJ9FiUInG88zK
x5CVHqFfPinq+7JIgT36fR7d9YaNZOxUJA8iQiQkS5kr3tpxqhi7MxsnZjHAg5yrqDhkXthu6aeJ
37hnwSIRMpdMdl0iNmQ0s8fJiuMLRjdiKV0ZHZIhi/Z0gsiTSwRvb5ZjxTQqz73HPI7oXZ6LOPMR
hLCvE0qzO2JRIK45VNCk+MmFFuD2JBsfPHTWM2tEC1zboapPHfP/LXA6FmFCj9R/1GNw07DQfgVi
ixWha3lHAWqAX633u4fez+tDNMXlQRlmi3k2pJI6SPKsXDuzVz3W2aBPli+Jv9gjLw6ruV6ht2QX
i2mkuZLRnF5QhUrqKly/f806xhxce7QkM1ribojniWEDqm6AW9IL9SYCU7HNWiQWOLKcXMeEnAmA
WaCf8By4KyQto7w0F/HKi5HtWEx/wUGauoOp5zrZGHRj/RqYsjicH+dsWCXOrD+KBrfcgQti9hx2
Y3rsRVEz7ZlScYTR3r9XVoAXdmhY/AlR7IDuNFwFRC04Swf4hcfEGi6zbqP0uTYpyuJCbsiEchFr
Jte4960+QWz342tuB5OVffLuwsRA0W0SXlskXU70t2yF1FDfmd6CIeI8Gmxyq2QLdHT/NriDh23Q
sr9Fkq9By8wmzeZHp0VxHQooa2ttWX1xCAtrKUFCyCTI6a37wPZP5K7Q23KV83iLZg00Yl1FasDS
QcKAfaPctgzR17W2wl0aq2ll+NqmngbmTLPsk5mybmwdgHA00WrG0nkAa3bIBtPlWMz9A9mRQJpZ
TAdvrHndu3EE1ds7U7jhsMcn0Clq884gwutt2rYT4IhDIKrprE923uSozNwWScMOt3Bp2H8BtO9r
l7QeeO+5vvFa7mt22uVMuAunoMHcc/foL8Dyg/Yea0O9UmX6i0KMb5YBliIDDSHRLTeph5OmTNL2
yeiQF1Hj/TXaccyO6VqPjaNYtSRATey0pP7A2tA8wt1tlQ6RXJNhg47Zoeg4xXPgNEvvPA+2UYpD
qqMHD5AwFCkukCH9PusUgorLyCSThwZJYj0qb3m1y+HJFCJmvDUFOB6cGb3MA9Zsp/aDVy2xpGxW
28lp3COmCHQGN+CuHTltd3axV27rMQVDCwjyRWSO8+rnbrqJwQuRcwbf4Hfaf/J9t7upBiZTLFIt
awruOoJqiRsaH8yLuALGilOKqdBo6XRKrzPlvD8VeK1DOTvOoTMCSlEsIxi3URuNu9BmsKMLM18P
LWWqkDTru7yj7M5v8iW5Yr+bHlZciMj9bgzzGfRqrbdgvQHpCF6U+wHf95Z7c4HTOcp4tW2R8qDi
HYTqkExsIlIsanUy6nEd42a+TQh/XtJWwoU0XQqX8B/sac42t6ZES+Aw3+2aVuavmGjlFfAXYbGI
t/81peLAdjuIx2osLhYjclJ6kflkBzZDrMnRb74VOY9+vcgSdYw5h2jvLquI9fSzlkeyuFRsZ2gt
W1faGYtunHSPnAhBsceteBctH2kh6uF2tOviLK2qPYyGa13aBdA1amz4zCmmR47engSkbyV3ug8w
lOIxvkXCYuwTu+m6T1vFmVGyZGbRxQralFu1kYCD73xJN5L0iUaKaEMFGg7/kGPwiVt0vMtJOkAI
zMJvMaBb7kxAjb7jWlwwSUaf3HKWbQ80WqHUzdb4I9cdeBZuC0+iF8jOYepT9o4NKFr5dfutjgb7
diZPdEveiy6izDNTPm91/OB6nfVIUYNNUSZ2qmmo8bhQxRS/VHWFb4nio2vclmQ9WJjqAzv6+B4r
4MoidvyWwaw1kjEWgFJtqGYpn8oTF8l73dFhhK1cWFq/MidZPJnMuixlvjLhz4oD4PgmeXGwsNLd
p0uvYydSJkDjuYw5+YMCAbtlQZ6fRD9SxmiO86fUvbcN1YR7m3mEv4qFgzG3aYZwFcVTtx/M/GkY
x3qf4MyiJ5U0Am9ltumKIrsXSwDCLfxTFyE+1R5Tv/+cj/+l8zFBHMgd//P5+Oa9aP/W14lndvkl
f5yQnd9cTJO+i8fOcQLb4pT6V9yi/ZvpOjbHXUJIjuNyQP0j/gTI44+4E0gQpGULlV54nO5okfk3
mn/JTv3DqThgOCgBxiNf2573d4Xsdahllkajd5MvKscaF4HFUM1C9EF0b41K1yv/d06gykUZ3pXM
N10SBaaB4X3WfCofs98Rgy1iF8BBYx7RBA4y5BNN3KcHYut/MQrV78DCvCHGPtzp32GGk40esqbv
DyT1TrdZ7t32Tt1+gOS6pxHLJ0dsG/7aiT1/lzkQxHdtHaEgzdOjIecZrJGmz3FdB1ZBypD1EIgQ
4T/ahYvRylysGSbaOHPIpD1ktezqK9Ut6rGpw+CtzWaB2ZxNdxml9Wl14xVNTA5qCl4NytdLvsTk
zdsxyGxusb5vFisxYZVbTGYXVRfeW03CaGME5fAdqjI7DlbsXdlNAJSbGFh32ttMi0sRM+jVpUFh
2pxnx5R6ge84BOpXuxWknBApg48ykB/ZON1JJpvMexRlyvwpPPedJy6Jm5iHIMATo1MRrMdFIFv1
IuAmnRYxjhYGoghodC6uOIQH+YqjM0si1qlpxUSxPzBxy68dud/nMc6JjzbTsAfgMt0jEUwnNsYl
SJVwcMUXaySHOEuTTz4P7n2q+p7KidI2LhDm5X7E1nFoy9EijaSLp3j2OYLLrryyxfprRmYx52Gp
7bPjIsEZZcaYzattcSmdqNsEFcflHL/zES4V42Dgx/0m6Zxua9lFtzWW1XCgWmcnBjEfMidlvDaF
9fwdu0C1w5Zg7KEkz0cntucPUlb+MW6t6hHVPbzrjLq8LY2oQ78ASnkZu9lDLtqNvaNtVNs//kpc
xenjs+EuIOh1YpLMBYTWB07RnNKqjYbiRCRlyMqNr8M6DXZ2Y5AHsOQAm/h3FKb5xcX8z4r6r6yo
NmDFfxooPZO0W/5gCP5nu/xfft1fllWio5ZJr5ZlC1cQKvH4Lf+bvOQtiyl+9b+up4K//WM9RbLw
eXIWAnKwMGv/LWStJ/9uPXUoZIdXa0lBijVwTHexzf/JFp/waXIVlrsjOJX5TNhy3hl2yzh1zuEW
MrIyD7p24ZvbliZ4aX0NxHm+KEd1yukbXAFO+STobSRSBdmdTunlGqNCe7w2iaM24JXotatUgyEQ
aFs334SJP3Xbol2UYUvPZxoSzAPfJaC2KXZGddfHRf/Th+Te4VBI5l0Tg5dZpYglD7Ux+QwjwnEv
h2G8zj7fb0Wifu/3Tngq3ZHGaA+HFgWzGNwwyxbVuwgKYB4mcbACpO5x6vDjcQV1jKI6ZKA9O3KC
4dwRp4fdYa0mg0DCZx+JyNsNTOzt5wXIk2zzLhoxhqrYcN9iM+BCuAoG8v43eJWUhPWaY5W91sSX
Yloz5IC5G20Ykrei++thYGS9A1qf1+iCUW7KHWwpbWKUMYV7tJzl/4ysOPBfR0wkxd6rcUtHhqIK
wpuWahO0cj/aWFQCCaY2yrPw9a9yLzQRMeoCq+A8RZfex8dYmnNGbpd6HNTKqJavBIO0saXmnuMg
FYX7zps3mn/Cn9E3H8BV+ztfpowRuXcJBA9h3c+JXW6GMOxfm+yeHHO25z5onq1WZnsZ7KqmB+7T
Z159g31rVzt1da1jgnUuQxtzpUkPYDSGNNtDBvmmKle9mjElTX5GK5BwO9CRiXJ/LsP7B9mi0NfB
WG8wDAa7uLCSI4As8Yb9XuEOjKlw9JviSDaKdt8wO9iWlT2w5Kv7ftRUuPpGBHViqPeGNZCaKovj
GExPftH0QDOCoP0BtjF8yFXsbzAUEBmOvHxrDjq/Yf7XbtvKwZg2J9m3sucqVhtWvI/GMvjwIs7S
qyZs0mtvePV71Fsu5SfVZN4Fk0RoR6I3aDHkxrmazMK8b9qKwG6NhUvY2VNqVCQAvagCFeGojwTB
8dkDgokcAmQpxGdxjHDvs92AV28EwA/cje8z1NttUJEZW/VxpN+buYW8mDQHfFPOSlXDTe/E7iWj
s2kn+hnnuxeF2P4iRx3LwPJwkPrWGxMdeUcxNadve9DHIFUZU98pWHcwEp9ahKqLAOB5UCIXN0M8
4byWGSHQqHJx98TWHUpcCisiTt94R2n7HDtxAwU5O3Ber+7U7GQfVaQ9tENyfKekEfO1dnV/m+ua
WU7CoHoVVoyeplTn2Gap0NsZYkzOcmoEAV2u9KuBR+KQjQ1NehClk1PhReLSEaW4JVKevIzEGCDP
TANMFNUnZ83N5qlT3bD4TysA9FGxNcYkeCuBIj43vadvmFsExnbs/PTEtGm2d1Ye51dyS+GxmkEo
6hlzvkn3JGGK3v1FLK3eI+ROL2OKtzwKjCNlzuQO8OFmZknDQhebjFGxcVtFdLSD6mZyTTT/QKwq
5XSfFIHaBAiK7GBGaGEwPGCNWXS7N0nh7+wYiuc8evUPusW7GxOXPUfCKaHT0xnu09Kt7+iJnQ5l
04n7cBqm144CT4hlVg8FKgkvSATdC4ceDP7OkG94TvSmBBx1GDhp7CsnBY6Ud6X6ViVNtudt52kx
hnpHa3f1KTihctLJCcePId0ao7cQSfJGX5G8Chs204SbwoZhIVvX/jXTXGigtDBwncyp3HATeKow
bZ3jML8yEAnu7NKOXm3J8z8jLOxGMRn9ypwS80zxrXkOtAruDFrf7qexJ9BE3DO4LUsLX2g2XjIq
WfEG8aCesFo5m9kJ8nxNlIFaMjoYTlWZ0qQsMR3wYhTnrqYf2xcsNUVW3BieS09RzcmdahAXPKo2
AOfQSfwRp8PY8ENLxpddm6aHdmrrH4x6Eb1SdWIvQcyuS/t7ik5yzLj572uQHE94RduHCJvqHSaF
cWV0NT13NCvV39qiC+5G2mXOfVsZ7/hcTXY0DO1ZUlJ6zNPj3xZgfT+XWe4ETKF2D0XhDicjyvt9
iKXtrteNONmZXXAArOvnAR/nFedsuJmcft6LZIzv2dmqNy/oyh9SF/6vKVnG3R4iJUGF6HMgkkKn
0xwgOVS7oZTdzTTSx8BQU68NjutqHRitcZSUUVDt0WaooLm04BLYg0DbmY30RNygRjAt9BbvXnmU
bg4Z0fVS9atwrHrXBn39ApLJ87ZOGeU/RBTJfQHp6swAQN70EtgqudcGKV8egk7ZGcgF9jfO6Dq7
044ZXFKZt2dlTTj1sLae6tLQZ+oUPWQhBXwsI6ZmQDF4kQ5GbrsK+pYicuJchJKG7r5Cd7+djWD6
aYoOKFeAE5j0PK/xDcK08RTHLrcVdFqcg0bpYLc00mJZtBnKUwJMXy3U5IuvCnGXmCFG0KKfNkpm
E6AHynf2vi6/PhNDIuAyEdRdWnjXI/mcd2XSRm8m4t3p2vJsRIX7KCOAAGjvgpxsgLuQlpzrtOCF
qRU9L2/gqaYWYz9rEsPMIzbcP+xzJ3UKgKYUq4aoyLWERfPNRwbZjj5Yuxqo2t5ADMUU4lFt4y2p
cyC4G3TKis5qk4iHGzm4yBqEdzxDTD+GPni0QNDvirq1qYVqrCc3TGNnnZNNuoIMCtHs+jG4z6LC
3w8xm+xgilsZNtDuPCq/z7VpnbXjjadA25LKJKP+GXeEwlcGAaBDqGtc6kaKEYSiNbDJU3vFcV1d
F2bDIQVjcWC4VKxnNwF/NMzBvA+txn/hLGA/jVA0UBeZe/ySudG95eTld3iiXmnzgvGYBvfCbtqU
n89cpqSDbA82Sx5AMJ3Gp6FqjKNXALpa+47X0Ctm1PNHArqRIp4kHE52h/ehZHubmL7z0STASOmU
ew05m+4sAoE3nQfaZzcwHEk3op45f4wswnci6upNWzfPhdnkl37onQpzkOns2e+KHawEtcm0Me0M
nDUHu8zkxbf8kV3BT944oHm4NKFlrqCpHbBXhrREKVgbIH4sdXQzqMB8srMrhha6IxtnBFngmyXH
V3x7WwTK4cFrsE2Q1R+OnjkVF63oR15lwmv4cAT+JwffeIt32gZ0wrIifXupauWkSg2EbQ6PvZlF
30xVZt8cmzOgE7WYw6Bu0rWmdHAzE50j7OaGR9OvYF9FZipMZHV2sJXsw2PS9c28GSORnlJNxRPE
BCvpOGLScZPXBFB/ihxuIXZ+pSF4V5gB5S38NdgIWjYnwt81/N5WnB2nme6CurE2AVn5tY7I+cUF
RQoRB//XGThS6nhPkZfQtmCDM0xci5/SOeWYLb4nvmMzJgTOAUE44EiWe5RV0e84GUvrNZ2Jm7oz
2m0l5vcmnn4kvnEvqVrAMNV7m2y24lVbJ+a61MWwJzPhrBWclZErwk2SWbSzpdE33hboLpN01kEb
dBuRcbgxsgSWSCLOhNPerNYJuTbjlImUyjZKScYpecYLkw/BKsvxZ0lmhvjeneIUxYyIik7uaNya
TjLpL/Hk2M+iIXW2liMRfBN1ZbfYo6icHGcGEBSmz1hmVySa9iRJB2CIqXibDHvc0w1Qren13AdA
rS8UGKk1bEF1Lvj4vRutv7V9N3zK6bg4VJhxmA225hnkSLLpI/SkWTZsc4B8jknly93U6nlN65YL
eg0qB7i46K4wMnZ2lU4X1+SHYxa7TWadc0+oGBHCB2xXf9IB/x9lQKSy/5yX5mLo2a4QX6NxBtpi
uTj+6WIYhw42oU4mxzRvudYZo08BxCxZpam99x4dOpA/Ks5SCL6dqX6P4X+M/yf6yVKYTTQr/C98
m9cyKXT7X/+b++0/fHHPtG2T8i7hkSn/2y8+Y33DkF4lR2ssm485bYpb0hbxRapAPfzzn5OB/d9/
KWFJ7jTL7Vf+Q+VPUieph8jEl6qYJTCJkHRAFfwAP//517GWm/SfAujLC0oBDVM7y0YP9bzlBf/T
C6rKiXGS8qNjV4XTLgZ2d/S60d5mxJ2vdaNUcEsOyCTw4uTvlR9xox6orbwYIbV8qzKM+e7++bf0
j2+xTzzPsXBASO60/t/d/TtTyxifX3RkDjOfzbyZ9iIduEGTsyMVYpJT+YDfxPtMZ/Tp62v/B0j2
/wOSYRpBs/4nivzPQncfavqzeIRsvvyiP8Qj67fAD9CHgj/qjP4iHcngNxczC7oQCpFcZKX/VpCC
3yyYB5Zpmv+XvTNZjhzJsuyvtPQeIYpBFcCiNzabkcbJSXcnNxCS7sQ8z/j6OmqZKeXByPLo3Ncm
JUMiaDADFIC+9+4911Zk+Qn6+P/qKGkIA/U0fHfHVOScqf+sQ/9pmXuWQDjjoeS3fUYJ1qcGPX2m
qPGWIDwNJhMzACmmez+a4UKPtOj2ce36p0G8JWQnHKvaIZsuKT3/YSiH7tCgl9/btVnvQeoI8Y8Z
0P/8TLkgHn69Az2acIpJhrDIezLFZ1Qae+hZ4iNTR3egVLsloEbc4priEUuTHTu02Zdf0EAbzjZm
h9KFSEqNin1rzsA9+OEVhXnfmtKrm201u7n7jYiC8GaO6rGj4d8iMo2iTjUwxqtlxzDX8DaZTIhV
hYXktcbGUZ3hHcYU550j0gLLE4EwDhTNElVk8xTNQ8jozcgTiK0yq+EBA6jYMMmjyIfm5Z+8pjc1
9SzZTo3/yHQgavqtP3r23WKq/skvqbEQx9JTYAKQQYAbk/otn3Px4AQ20lPCiDCQkN9Dc8FLcXDs
hgCp6gmvHb4fUrQxxia9TZ5g3W4Y0427ogm+TkFoUNEuzalGsLvve7t9j9mc3vo5nHWCWK4I0aOC
Uy09l3i6M/2JdlzbdyRzRgNBMYNBA2ehY0/Ih7qpHXu+LsKIDVmCeYZcgvLBcPxnYSMwNWIMK5sl
zaLvFvmG7kr0cmSPXhr3wDMhN7vR3G7HeJiuQ3f5Ivowu21mDCfT4mMCaEfaYjsvNZy3piWl1K+I
OJlwzy1MdkSsHnBqVA8DwbZrtM+0BgaCggZUD2Z6Zize2k9JyGZuMo34dlnqLUIJa1f72fg4C0GB
H4FunBSZCITvFbvKpSexNhtFDgwSmC1RPajk7aDakm9orOyFhJ5JUH2hYxnXZh2qe856fUUt0OwS
NxMnIn/8E00bjzAvtoGboBDZ96oz28fSRThRjybxN2lvINdp4wVyujVd24Nwf4RupHbgQmv88fz6
xhq6dTYPzdaKwRGsOO+wQupxgnyaVtFryrJfsT2f1h0rDQlyOD7AERlvaDIPV3Js+23mxD5Erijb
EkRc0DUiuXspOvsh6vIGqB7d25C8CZZ0k7vBbmTEPa+X2lHfJR+yJjWbWYyHGF/6o/lqhQn+42Se
f1q4/M819OYNaILmAEgaBmGHAuaZSc4CHR2G1NEaVNJsENTP8CY64NBgVSwAc65sse1Zde5igPWJ
ZVkJRJebLMxCZOhtYDxK2kTuyjEymlxTY175lQRmPXEejwOJmO0qN7PoOkRjcUVzl7PnkKi9dgat
pRqIiZ8tiQfeC5z3fHRGckizsXlciGe59jO9m66WOj1LLKT4HXwCr71Y312RRxc3ZF41QKvIbJK+
O3+8dwuYons3LdUx7ZonPxqXN3dYpm0wts7RVwlkakX+9KYySQ7nSTg+DxFiL9pfahaYmrDBEd7R
pCBICW2eKXob96UIXHa7Ehw2EZs08ocbIH3OcTJRC6zYcrr0WhCs5tczvluUvPMwHMtQlRJiboZW
LkE6BaS/VFio49C6bTO6T6rBSU7AaDTgmSna7Nbhxthj9o/oy5VDSTYRg6phU6GZuVE8Dq7yiDhP
yO1Z/pVBWv0Q93ZXbqfMAqlbg6Yz6g5KnWsDrIs1us5lBJdtMPg6G6HRdoo1SsCxBt4Ni2zOJGNF
d7E10r3SYDxPgsgL5x4yeoW1lsczD1/6v+l7EnZw9eILYw9xl7pr4zkzvpPSAIVvqgHyWbZm87kX
Tl9YNarZOQJ8X7PY9WnOzfGZBHGaIxrzZ3YA/+irbQCFGFjuNA5QWJoM2GlIYOQPyc4dh+aLtIl8
WwWmiu5NaVnfyiGPH9x5wgfTNm14R4ZkBS4GA122ttyofSnpAOcrBwS23DcaXhhojGFU+7W5kuY0
nDsceFA6zFFGQIM9bftHyUEsmoYiygF8Oei+bvjg+e6j2I/oqrtEVSvD5xChL5Zr8OL2Lpnt5Nik
1rStR1xBPBumY6IBjdrXyP+w6HjOc5OnoMno5ZUazrbg9QSVAuUxkQAfzQv70Z0tzYFsQULCXkOP
MaCbueo8pS6X7WB4OECYRiMbo6tkDaa7bSP1Tvk5bkaPKjutJ/trTOvimDBsvsPaZ3LU/N2qNa0S
V719S0rYdRLw6F9kdh3OXvA+gbn0XQpZJQ0NocmNjSeKalvRz7yZZenuHQbP/MEyWbcYCGEvghgZ
b6QmalpWb23yaAamh4J9FXvCeIGAUt83lj1dORJAxLrF7vLsSH94HzS7M7UJMWzAhe/1vuQt04xP
VqkkFuqC/nQuGNBZE0HbEqP+itdpc2V7mioq7Qh8qNkurrPtZ4NgizFvfHs3N0ZMIC4Ewq8q6bpi
W2s+qXNBlc4XbGnoaIRp0mqcaXdBm3qRO6LFoMu+ry7w015zUGNNREVUweUiftxJhltDOOnDLNQX
MgXlPrkgVbHBQ18scO+c2wt0VWs4boO0gB3YReXLrOmsXQ+nFXAp14vIevCthp0UL7ascz4Tuqul
Oa80eIEIupr+6tWted3yOOMuaqHDhhdQLPsuwBKZR+IxBjcrfUUg/dwa+HLkbBJcNyZ+dSLe0NDW
UM9Aqgl0NQKjxKRta5Q1luCIQBJ87vO9o0NKpkteiUZvQ+zQMSZ9S+vVH3lZE0R7jmSJzarkFrvW
AxKs27AAW0LOY7ICZI71CoPRsAkQIr4DZKzfPL+u0BXROjzBnBv1BlNazZbppU/ttnSkcehIFi/R
6Sy+DmohIYnMFspH0i4mY3ERiACduq7NReLCuqS9NJfkF7YnzTcrYWB5P9gO2TA9L/177losGcwT
SI/xdZDMkDS8CWgjF/UhrTmfm2kMIkKmXYf9V5nZ3pcJos2mvGTUODquxmvwCa0iXwfAlypLzvRA
0okGnJvD8PQmnIN+/YDJ0H2p8XDsSxWixiDHCbQ7NriTV7p1sa/bBoE1jWaB39NceGXUbtTvY6wz
dxZM//zkVbFPHohbffiFcOJ1JkJxrLwkE+uiHAxar70Sm6mvI7u7Ut5sIST+37Lu/0cWAIbBQ//0
P5d112UPmOwzafoff/Wvus77g74ALDC8BYyd/iQKcP4QjusJ6XrKtC3k9P9d2dl/UMlYAqgAfgVo
EL8w9PhAn8oRDwPRAWyN/iPtlf2pU2Ka3OC4EXBMUCm6yNf/3MCI52ZkQmU2R8nC9TZJYpgPAmDF
mXjAalfWidetJOPft9Zwg0c38hss4UVwMpqYHCTe/2s3c83rksbaHm4BbuTBzKBvsl9/9CpAXoR2
EjdD/9gnyjWZbs3C6H8mDbxqAG3ZVwf2wJZJB85UREHnUjjExReWi+u/Rj1thqJhxocZ+cBzSH3p
i376m3joT2IJzoDjUDpKTgPn1Nb19a8tHCh1DYVqVR3Zak53GAP8PXsWH6trp38X3/uXJXL3t22w
y/GQu0FTRGTHeOdTy8gymEnQy6yOo9HYqynM3rTUeR0HnIPfH4lF8mtzSh/JtS30/iaVO6qUT79s
QSu68HbP8JRQ+1k8vtlJSmPv2UH8ZbAyZ4/HLfib1tunLt/loASQ0S9gMYEf1P/+l44YRK92zNl9
HnulxQGGpqW2eGHkpp9kM69+/xP/3dFwT6JWND1HEVL256OFvjfGRZ5kR1OMktZsky+7SeERue0z
//H3xzJ1l+OXVoP+ab7L3QpfnPAyDEZ/PtiUhlmUpyI+1tGUoauPqOU3dZ2XG68x8XzM0XTbU85f
j206HEgN66pt3Kq/a+L+9TdLoTt7jqAj5PJQ+fPXyNCMzHnPjrHu05wXLfPRDXqB4NFXSAz+5gT/
dQ1JYerdsCcxQCEM/fPBGgplG+ROQtDIstyXXtNugG72P4nLSKPj3MZo5N2CpNq/Oe6/+5GuMk0K
ZUVLTHx6LqVhwphJVckRDcjAppyrOdr9SGZhzCD69xf207F0ExcLhe6jcXmRcH06lhMbozlEPo16
6vkNll94GJVo5qtwHu2n3x9Lf9Yva+hyLGnCqXc8VzjS/HTxkryjRmHvdlzmZTQ3JbuFUxbbg7n5
/XFo/f31OIhzfXrSerlaf75usMjaBht2fAyEHDDvjtQTK4ZnSN4HW36J4hgr9QSFnKBJGkjBlkor
Ov/+O3xaO/q3YtThQUemoEXn/9PaoThLEaJ1fIcB4AHykZp+w2KE58Ce8xMZpZSzyp7/5nl+OYWf
TrFFS14pm6RD2vKfLie4T3Z3AQSoiPCtb02i8hNN/PmmQqa6b+wKL3FnlIzqxnlCZBSM/Twc4btM
P/Cx1c17heXslAYFdG6dWh4Q43MKlsS4//3Z+XffU+N1kcyyO/DFZ9VzKm2M965hHITtqrd57p1m
PZB5yiXK1KjQy1KCrebEcBnFlmN6BmvCGMMuguDYp6VzRapMcCSQwL7RI093p4aoTAiB8d1h//vv
+tdV6zG1sRlxSHYkfxFoC1RaIN3H+Jj7AqVCGno45Iu27ba/P85f70QPYvBlbKGHF5/fjbHB9CqA
8okDtFzu/XhhbgEzRl4h4ZVffn+sz49zlqcnyLW0eDtKeuW6Gf/rm2pGI9My++VxXjYohbxg2OAE
6ddg8FOMOUi8qmmcr8x+cp+NvAj3lDTd35xYU1zEmH9ergwohSvI+uBCX0jKv36NrCFmnTsjOLj9
2MxH98K27PwJRUHYV8s9KnDxJgmgXsdxnyORrqIk5P+TRkZMsZBXbTgEJwg98x1+GKtn6JpUzbrO
EOytrTSHkBi1OD3j2npYMjv4GODFf2UgtpwxejLxZD6svrj1BNsm9+TVAMmxWmG1sR4uQ0EVVchF
YdxfR0zf+42oYuMR1NVyD5jF7mH6RsNt3ojuNcO8/gYxNzij2adIBlASfOSeIatTkdeYlwqsoAfy
KtABJFQ5MCXcRu8RytQBzlBbzmtE5Nc7M0b7aWSqC8UAvo6xBg/kfGRD54ybvAOAv20BeZyJachP
juTRYjZD/NZHPLzLNpQfdJY9i7QCto2UY8IL12Psh6AkI+XsR0ewGSrcqf3hub21LWCwPHs1uIsH
/GWsN+7+MN2lpc/hoVAw07Zanp2i7d3nBZg+IAQ/PLv6b1sKXRJKpE3EVTy2ePxQhz/6pT2fec9k
X+t6Hm8vpzdQY7e1ikjcVzaaylO5uBngHzNUyIrI2junxDP123rRGEP38rQi9O+qAbbmkoc9GS9F
mbIiSzHBR8oyczmAOuXczdKL23UjRPToTLHzrW/AnxBjJYo7nc6lDV18DrKS6EwGGE772o3fGuKs
dep9M4d7f/EzkLAomr8QfGE/ecXQWCvD4tzmthW/ZWGO5g6D3yttJnLJuWmyBuRNvtzLkUbXukub
6U4M9XQbI4aKNq5jxi+Z6ng0AZcn6JEo5q2t12Gus1O9HsPfeo68LkZIh5hvY+blsiuGjLXk5kiH
w3FGNRxQes2rDoTDPWgzBkc6S2/TR8gx1wk/gC5wMi5oxlhgW4IRqtdIaw8J52P1ytRBqRxgZz70
ERUD3AnjkQE+J0yEznwGDJKcUBZt/YVGHV6R6RZBSL0jWtA8hOTLb+vLpN4om/sQc8dR6GE+wxNn
jds23ig96jftYjn1SHoPthYChJ27LbU0oNYiAbDiyHu1cCBf3H2qpQR1gcJZaHmBp4UGKFT3QksP
cKbZkOWQI1hamGBqiYKvxQrEoKFb4KxaX320DLEWNSQmalotc8DLXJ6Y1zFtMXpSI7QcotbCiExL
JMBvZkSxIZuwtICiQ0nRMHM6E6VyCzzQW+GomDaDFl7wwrF3so6fVIAoZdbyjAydBlQnua60dCP1
c7FOtZwjQuOJfwKJR+xHDy2aD9LEXistAoEwaW9mhWHU0hIRQ3jfax1WgEOkAhg2ebzV+sp6yVGX
IHY2YYXGN0RrE56AAmUYgquycMPvHa6abeTMyFSynAewo/dIIEhvVGzboO/a+t6Ms/ZkaLHLsqhr
eH8zAhjnn3oYHiKoYzAFV4fZLEGpFMEQwOrTUhoTcbu5CtArXvcy4wuVmYPsZpit5Ql4k72bxiwA
lDtY/lVnmvUtGyUn2oxKD85QFT811Rw+0bIcv8wXqU/ZVkBFKrjQ59SFxUF+m7tz0s77keRxc5wy
CCA0i3MOyi763ITiwZPjCIoe0ra99P1Wv38wsl50SHFV53dtR1PQ5U7Ljows2QpYKVmWDTqmMEXQ
VKQF2iZ1kTk5YK9DJ+CN4Ia+e6gSSh9cLCmsLDRSyHHpdV2EU01l5bet6L662VJvTAZtN85FahUS
pZRsuosEi5kmFlqtyyq0QkuQtrdTbh9+65JwvLIRcnVa0ZWMCAzgO4/+i51MbbCSF/nXoJVghd9E
J/ybyMMsrRRbhpyFmbB3oETIjPtsbtxtPjffC60yEzk+696Bz9Uh6cSGXpjWI8Bm99t0EakJrVeb
ewTtJDOzHyum+lDBU7qZjFqRvcukyi7Lam106N+ooP2DP5mI4iqzb35WaFq3FbzHU93ZZ1er6PyL
oM7xzWv6yAVbGNR2vZuhu7tI8ECd2xT/WphnRmj0jNig+9Bl/omLSjaOhGTASxhZX2EMzvt00fpB
eTxCG2rB3NfWBj0KAwItDpyDUO5HrRhUWjvIJMN5SsmCugu71iZsxkyOQYLakDMYb2wy++ohMPeD
1iQafnFWtA/WQe5bd9Az5YHuvn3tazVjUy3ySyBrc5N7Y7nPtOgxWxCYw6Up1jxo6vXQanWkd1FK
plo0GSEMRvsyMhoK24BsPxSRN70WWgotuYRYUapVdVFizhdVJhTSbJ+lhfssU0UTR8s38eF6YNsJ
r0f8hb6zoxy/7rTms7vIP+2LFJR5Nu90GJWN7kzKGyp23GZYrSgAzPKUaV1pN3TVeUzy7K5Ssrv1
2mk62DUknHWMKjXX8tRRC1URGnhXpRavJj2WLycc8rcUn4PappCRvzkQInZKS1/9iwq20oJYQmXo
JSVZ89Vtq5ecj942dcn4wJeLxRAhWIZXwUiCTCQttQ0rrbr1tAC3jsD/OgmZWmaAmFuUTONlH2/T
3HofDb/CH1YBj0Uf0W6LMJzPjO/KN9cshtMyJUw7fN6BNGCX/axFwQzeujtTDO1b0qQ8s+uMtwYP
gSYNO3Tfbp3Kp070hdu+wyyB/iscsNYfESBtPBQt9K3Q6QrKpM74qFVUnCdZWUC+Zf9E8PHwBkHX
ew57HxCNDu4i4lIg4uK1B9MDIC8dkeJgKGc+MW8llBw+8be5wy8tcKpsDE8z5ZNaTy5HQPPsohA8
WLO76TSB3rbqAOxFNtl8q246OEUizs4ItjJLR94ZjLLmfJ31vSJUPC2jHoZmDRQY3ffJbIga23Rg
mSNeW0v4xYOJNK+J3oGk4U+8Rky6Q6uUZDeASu1iPELbFSjgSq4bL4W9LaruVC1x/15RG+npCDgi
I+csNF78Elh6KdNRQmbnVhaKRKbfByXs4OssLfvVsCrjw0L6cR14hP/IYgE4V/KxkzP5T2YRDyur
Jwog0KEAjDD8NRP4JzbGKI8DRZBYWj8o+yuYIbwfOlUAPweLKv8qJHkDwjMeXMhggC+LZS2Q9GHx
U6tGZxQAN8gheUa0O90IWFMBodCjxsZWTbSBT8ZBmllRsTZ08EGvIxBmFR6wOlq7nmQEEoL9PbW8
s64ZGuxSUDWavHay2lyuTcSfELz6nUdW7BrrvLFxA5azSCYT7wL5FIsJ1YQPjsre21sz0R+5jmqA
Hj59qZUFR6r3wnNSDB9GxZihXkgrUMNgnRAmii0ktgmzx5wdfEF7wJoGCB9V0+8rCKRvaQfkgBqf
tw4boRMpZc629eN6l48dDI1uSq5Tc9qnKmQ3z4YLVPuksIFOtyOyJIIFJnWQTR2tRT4gE6+rTdYD
fbbYCt5NZsuMNkMb7XXtz04nX1RGuexNFevYPf8FBFq+a3RaRlfROyAn5Uhi3D1gm9dYOfBXAW0L
tP0Ek51yo34e8+W2T4MT9vanqgnOPHJpGOlsDtUsH0kdfsWC9+AS3lGxmyZ8PXv1RYwLlZxZENT+
Gz7BFg6rdokapnwi1oN09tJ6m3Q+SGaEPOQj65ippsNMAairr1AguCN8BvWe66wR6xI7Ig0qgnAk
j2Sxl/cJm4JKekQn8KpH4JFz+E1g8gTy23gYGhpmXzMIelLk7b25bIc6/j4BwT70XXQt6ycB+h9h
UO1vI1JSXB2X4o5+ukYt3H83rMbbTiNCq4Ea5poICwJQp0Tf5rM4STt2v6vWKRgo1cqDCT02x7hW
tEfHRJcTrh9N+xIgxZZ4Uqi4aI6W626QRrOL8ulBWgrArmJ6djKqjIYOaLTWE3tLuxKumH63LanA
CA7uMqvRn2fVafIKyEeNNC7Qih1D0BI+43fgqiu6mk7SrUSSmTuzxaULkVOOB9fuXeOmA68RAwIr
E3K8fZqmqh0pOVNf20es4NkL0+CjDRQ3IEdlxCDRQDRsRSikNpZXUhaFLPt+U/J4oc+kZxpz2QfP
fUiBEKBM3xHbK4lTW6abmnfcV68O5rPhAJckjtEAZV8rcZMYMh62nT9TdvQuj6WxTex1YerqxIyn
4WeyWONtombSYE18imbYpKcoHYPnMDdocoeOaz6Yrey2wC+pRJjAireyHJXE7DToktfvynkdyar9
BpecrUNmKLGvTLs5srfnow1VGCQBUqAznkVid1G2C2I5X1SWW5u4Yfu3cqLqTjbEc+L7OZLQnSCx
KZujlba8SEmIASQoaQrgLj97vUuPQE9qLscbKsfYzihHjoECBUqdMOyF6+TfL/+JT7LAg1BogUs3
8feulMvBslOom3lHDTY1Fl0Czx5vx4Vtj0GxyaxnKdQXP+VkYjiXKxF19e7SKK4yMNDWVHqbPqVv
nGEhE6s4jvy94fMV82hMT2rp8EXmsv1Wxh0/IE74RJ4jC6q8HkU/SvHvOeh94iZSwXfGG3RsgKLe
pRP73QWn5WFJ++WMg2/u1pPgdzk5vfBKUvbVQ1SVazkn9Z6tGrV9D4C62QxpMKareKErQvOSh0Fv
Up0IWAKlM8j6mAYiz1n/YjGu/TKsXmn+xXuRJnQUveXKb5oWTlDmd7RkYBdEMHWBk3akvzvXWd2J
G4kgBCz8woSM1ImrLFhSQMesOyPGtTokXAF76bKvWZMtcJ5bvIbDZOjvF8HKMhge0xShzLrPen1O
sp4pm8k/cq0muN0Dp40m5doxq+VsFWaxJ86t27Y9gl93DkAjZaNHgg4uW+WwArD28Nn+oD8wS9QX
LAzGFpE+FMwMfU/n4l+cCld8zwV/ggKhObqF/rdlx9ky1cSCNW13Pg980BaBly839WiI75EpnWST
4hLbxy3rPjLYXpsufVZS7Cj4TZBcHwshZVdDwmqyFz40mYzylVZiQVZyYQ1PnYWP3zfH4DREQfka
YLC7m9G6VSsj4hZ27J7Z5NgFp4BghtfUbRGF1ZNhE387ZALVQBaYDxQH/ELAzrS/AsDQ7IDRLpBe
EFvX1C3Nt87XpzfHq3vqS07T0JbWw0goBjstvrjVptGPHHf0K/HpHHrq2+GUdXNw7Gi55qveM9pX
vLjrUNCR62r+zm/i9IqH71svW8ICcLOsqq56L4Tng+SCfdwO6KtFx9XpIEF/qyfuwKDHrtnmBbk9
zdBtw1LNZ5sW+LnKh+C5GdGyrhe1mFdZaJm3BVlkmDlsvnlH5SM3BY9DnBSS5gdjUZzcehWMFa05
WUlaCtA+hnXqIe7D4dizStxFvGEuqaAIeUaJRqTini4bGWxKqlMUgDwfYaMXe0IRjUftwfpwg4of
7Hd6DTZiZuXJKjghMssD9gHzcgCH6G1cz8X146lo+Okp6mSsuub0vS3j6WUaPKZQLRvyhlYqoOGI
bQVvRuLar/FRFjfR2PWPsRi9HxX+7o8YWOxpkBEwxnDkzeTE2B1n6c4Y50BmHQe/Dp4TJTEptA0s
q40Lm33YZFVczv9oP/+vfv1v9OuWYBr1S/d889q9/h8k63E337zmP//f/z2/sv97LX78ql//5x/9
U+fgSi1mcAWzAUerEgSDrX8q2F0fLbqQaNHxX6FyoOn/r6hA/w+XyaLHzhbyi40z5L8F7O4fes5q
IplwHZf2uP2fCNj1VO1PPXbBAmd7IXwyuskf+zQSKkSfNHmULgeo0pK4rcEprsMpnJ9yVHzrMIQw
+svpufvHR//qdfnLwISUcJr5dPv55tS5n0bF9A0iJLdqPkxT0twLYxjWSo3x30wP/jLk4ydpzQJo
CYUD5fOArZMtfVcZTYe5q2OUnlN9n5YNWgJUS1vAtrhz22bckMlrPLSjOz39/kciIvjLecVcQP4j
jiKLa/yXKSPOLRTmbkdaM0g0GmjEiGUu7+TBkR4cL7JVYKo17X5mzmmuKrosuosRG/G65Tn2hUYQ
xrmScu2M7Ctmu2Q6GRuKMd3NVsp/m5UznmI7MxY4rlXCi1IGLQ/Jjsymj7qb0wc78egETt5yiBww
2oGralo2cG0CUIV7PT6IV1VowkrWXMx6hd5mOYh6Mh+VbVU3DSXwIzXPdNfZfXAaVVu9eiCJxRrl
4PwRATPcDYTjfs16FMwtIT/XgWlk6yaIIRWNmpkRBaJ8iUCTP6NW4Q9HDOzXLc/7LbPt4MEf6Gpv
cB6L8sipInkhRBRiwvV1HHsPCUzHBLithcA8th7nktREdyqjW1kvmsfh49PibZCtKjdu7stsQHM3
uLgTkg6eWasixjiY8A/sWcYNwo7mlPZWfc9+LTgtvTvtVQ3nv+4Wvo7dDV8TCrGvdbKoL1wdInHR
ZmwLi4ZvD07wfSaaeB3iJl/HYzE/RV1QEny0cGUIzRIHNfrcQyMvNrsr/GuFpv4A623+GPtqfhIN
fwKesP2mYMddB1PoHOuwMx97mlTfiHEsrqey9K/z3OOM4LeFJe3kI2G9ql/wP5L/uG0rEgzHYrC2
tNTSh0pF/qpnTIKtHdOYE/CPYYqoCSadtYQHvMekNDp9jQaV29kzunmv4j47kgBd3cxuNaKMS6gQ
Wrto8BorhCkVqSm8UGkguzSvAEwE6UMIKY1mXVTfoLqQ9MTD4WcqUOMVXZfu8kwIHhpm+RJP9fA1
AHd89uuBj9KUkgrbwcqc+MX+aFQ3AbSitTJqeWuEAvy4z29RTgLJ3I/y9UAsNrTGCBgK0/F5D/DI
uQ0drkQw+OTxFNW8ySkf4UDSnvoYQQe+0qWUa/SICc1aWCgFI94geFAiqN8lGuJzMUbzkzXm8Z7O
Ks7Ypk539OK6HyJR5iMq63GD1IpaxeDctiHXEfoTp1ovUfDkw88Zr8RuSWcsaTXRZytHlfMe1Nv8
gcaxes5CbIJZmz6PRtszSMSSG3ofFN5sv2IjB/vYBrkFBkm+CNoP2uXRk7HE2lyRmBHvLSDLG8fJ
XpzAHegduhWzeMmi1FuiKeJCKYILyNZzqtuKAQFhUqO87efAfCzitnrupSpfDNpK20WjYRorKF/s
XM5XiW3IL5OnBwD4ff21V4zla8jWpFjHoAzYo8GHufw4L+ImIJbceJjmqugIAUiW8+jN7Tdan2hz
SwacBIVyfky4nKcpS/K1GkV86Ep4wuspmOK9nGLEAZD8uEw5NEE9xKq/mzEev0TMLqkmll3fdMoK
Peubl/rwXJ4J/yTaMW565zk2izwND4O9FID+uwUcti3E2J/negzkaQzt3nmwUxoBtTPNT1gWuzWY
Pmi5ppwadEaL2rEOJS0TlIHFqpw6Hk19cdOXzAk6VtjJMdK7TrSQX0X2YMj+xsmrfIdKWd5Dn+fZ
6dL7bWRIDzm4oWHC2MnlJgqtJTrmVvqE4RY+uR6C9A5+Xo+JpDP0P9LIyo9GEb4jUYiO0QLevTD7
6rpEZ7zNJMBtGsvdDzMmMTaM26upq4MdngvzNC2pvzHp+68zjPEbsCnxjbMwgKOnOszrhgpJJd7J
SAHKxlldLKvKD+ojEgHsF8ZEP0yEcpXHKSr7PMs+wgqS5Ao7O7371iFlzSkeZnjKWys3/KskCqtz
q5JxpyJu2DrJzat4DqZt73shghsupGUO4iho4R9yonKZb9keceUGAEeN8RyILCIcw63WlkEW5ihj
/9CH5hcCXHxKKbe9NgvfzrYW5/69rcZRrWXtGwvAfq4h5hGye4ivRIlhjgxsA/oxLZ26whL9MRx9
AlMyHwqYDDRmMWjf7XLs9yHEAHIR6tjbDRGvOSDCHZE/qn5Aq2hCEUjbXUjnAK1xSoyZ700vHpKe
FQzI6aogZYBYojR9Jg+ghCs/qXnPsJA+k6so69BARGt3cGx2iHZ9z+6MtqX2+x8rnq9iM/MQIbMy
rax2VXFfnZ2sra6Yqy540oR1tKaKaPso4q5qSWdN61VRsgLpJstTpZrpaRntBHYTMwyvLQ5jtiHd
jkDORi2vVSbk0Zrz5bFKqjJEc+8fJjgjx5z4krs4BQU/QJo6pVhf1srKcpY7STIZuGAGY7Zz75LE
xOZgNjF/NyNJ9ZW3q40h3xp6ZD1KGyOdbyffXRWSjCbmEffUPKx6fzB2mJ5K2nL5fWYavMspN45x
bNPUdoZhExoh4Q9eaO6zmBWvbEJ4vGFCCz4Gzrn0SydepaPxgNgA4k69zCctEs2YkvsRo37V5D+d
ENJLsLjX/gTZjczdkZZvJi3J+C1Kz1W7mMcqypnIxJFqrjJg1889MnQiZuSIvceC4nYVzUz1SKVN
xM8qz3MCAtxCTdBsxHBccMHgdDeafQ9D8HnM+piBeRon1w5JSO+5nSiNbgI/QhgOsGn57A9CHAhe
JCQXhwiNOWMq0p0byeGtTEzoTNmo9wVVfT9NXbZR9VCUWw8PzBVGryxdBbObwPi08ghy0dBc+3Vb
OusG7T4OxFLGhwlPVQt8t5S3sxXEhyUqqjerojZeMxpN9bWh8NNbpCSxeQ9plQK8J2xXFrZ3r6i6
HyBwxgonFJGaO5FqwFjFU/ijyDLaDbMRPFRMUrkHkF9cu4Gogk0odbkZxRCTURLfLnFsPBhlVfFz
Yzva9QjqvU34X+ydx3bcyJaunwi9AAQCZpo+k0knJY04wSJl4F3A4+n7A6vubSnJQy71uAdnUKdU
QgIIROz979/gdIkbCJkJCDKH8oWwoqlch5KXZEyczmNLVfhP8VVFpnGKjbH+UcbYka1M7HCpkzOw
/sUwjuaaMtT+OiACIDCFgjFfm0hvVhhpkJbk2PkxVdO0s/QaLkrRsxmrGAu1DJ25vwplzeHuZYX2
JQ+89j4yRXBNCDImZdIur4Lp9Vd41SNGPpSl+EHMmzLEhl9NTE0SeQ7lCXFVxg3bYP5DlHbRrTT4
bJzacHzwUqIJz7BSXjGmH7chBsz3JDTw7oxKQ7T/qvYOMnu80HGSXIdt16+CgLO8oNj6BuScLetx
Ln9JNP/mNEO6ZxxDXHJgGSc3G8Zf7lhG22HyyU2NIw/As4eDQYQpaV1FKdJ9gqThMxrcez3ETBCk
X3Ig7L1K7H8jDDPwSIog0JpdoJnVwffYDCmHnXxZYQh5y4ia8h5/i1XHi3mqR+WucgzP/FXbyM8a
GmNuy/7sE//5JRA2ALScc4uCthBFBk7R7KyIyh/XnVZeOzb23EEDQDVaFIShx5MlK2m4cYIiQ3Eo
xQ7s9QlXGRZmjjytFt14kfdl9di2lnXdYWl511Nxbz7uvgya4zc/1kU4AMtTerZ3/mNdh4SyThP1
jkgQaAw1KOyIK9WSnCUkaC2rjqOIBWZ0rPikqd2Vzjk1T9IJcS6pmx0mnp9QPl9bzj+fINoriN/z
j3Ig1p81vvi2sEaioN5lmWCaSEazv6rdtsIHmdA+RYTtiq15Wo84PSNqaqmg4pLm1Qnnz9Tqki9x
b1UHkdownHxZ/EDj49y6OK6tvaaaSPsgq2VRNVJbffw4pfF2IcKWdwEvaKoJfTgnH2JtDVWFIKLd
UHGmISQr43WV4fZaQF/hWeb9ygtxyoGF2e1gXQYbzTCf3bh86PNArCNJuaTJPli1ZVZcdsq0vnVl
mV9Gk0gudD0TT1jGhcMlaVN5d6HC0AWCN5IVop5pEwFgbzO2kl3gRfJaN8JyjTKIejXNvCMFJOML
7LkurJBqXlVtvyrmHca0Wu1LF0DgI9l4hGwX6JIYPstCqlyzx9oW9P+6L+bQTzYwEFZqdppl+pIg
4Q9hmMoKUXC8IG3MtTqmEdVtnlbznuLNZXtCQY8ovF5YaK2/WswC1ubgYxeHAccxxmRr00G/I/Iu
7O5nci/JV9JMn5RoE/vQpJODKssnR/OhjyCGaEPdDGsZJKG+bIn4JKpLYFiO0kOajVZbK24oN+9J
VjQYFpLas3eIGAz2qOuiFTbn/B8+BT1JnDWym6Uf2YhnF5KK+8LTrfqHkwrCFqyeml7pIf5jyNW5
4yD30LWyCYc4YFHKO7DosE+iyKed1nd032yxrlU/6DGtJpC6XNYS8hf2L0Dsg6Jxc0OrfBnjNtmo
qIm2bUd1pSc9K5IJRrMKc7u9J675yVH0jxDbym9un4popcaZbzM/Oy+BCHKYplkkI0Pti4pNsZ8N
Sm4JBI+2Pl6G+RLNbIpZnVs8D7iRPVujQW2I8RgO3QPvU+Dvc0Mn6h7HSkcE2tP022leP5ABVz8g
URN7fWA3aubeLkfeS+hBgxrQmlKM98aUQG1i6LEmrGO6ltwROA1Gzm0mVHuvG1AaweSLZ1kr5h0W
HVZp0D2vVD5xAjSFUSOlA1AiULG8Ylzn8AVb7CaNn7srEs3pjHzLapxlISe+kRqKg7EYDP5lo0/V
dyLXeSoZtmw13eFCkgWxw2mxOlRlBSqHPJ2MDm8+QsOM7VKO+N8w8qoeyXJwj0YPzIIQ1DsGRqkO
0ejkRxu34a3iAN2S1iOXhZt39y7GGIumH6OtOyNAiKnLq4yQop0T0Sa7fT79YuoYTOvIncpvJAfc
dINTvjB/pN3WJZ7xuQW5sA/tpWHxl+baXDjPv3rA4M5YEDTBwihIaz+Ookd5Mn+qw7y/k2XXr2Av
lE+yGtrNoLLYJsGuN9c41YGMzM1rNOg08OSsVrcEl/JmcJxj2c5nMcmCuT9jPSMCV6D1uegF1xHM
QgFWubvUGS+mgJHB0IGuvS5DhicUEgGJD7uh1cZLKwDxEPVY3b4iPkRV4CfaOziJYUMKP5AuOMWL
E1tjCqrUtd1j69ty+QoPaPi0vzRWRWcL4Mijn4G8KXLHTQJ3f4lp5y9MQMbLic8tXw5jQDHSD2Bh
bgB6pZdD8qUqrQHBNGMK+hRKsrbAlatqid4M84ZXHPRo+IeJO9JtaIfoU/kEC8wFTqYPzxhoR4d0
2EIEQLYJnAFw16/zjC8mGDJ5bSb2LF3QdQXw1dVw0xSI4GQl1SPJgQBlxNtU34MYxAW+23iXo7Va
+KZK99oMrkDnY1ujo2cyOiM184gcp0RMRZf5RP75IjMBe6qJLU4YXP4Vv3k9JIcE7DYvQgtio/ZT
x4uVctnReH1pRrFU1TqRH69LE0rNBjsEnDlnf1LdSDE5KjCirKTlHqE5VI8FUYY7xt9gau1cK/eE
p+B3RafFdKlhc8eq90eResXTEFDsKL3yjr3DPlv0IY8wlEgU9FzwQpIE65Ca9mld25TnGDB4x3k9
V2rehmu/qOHNpyCSXuRQ8yaK/5xDdLyIEASewhn1pi6ZTwEatCfDZUlYU1v/aCsGcaHhB9cOBHTI
v/P6SSwaAHYiogy4HX9Gv17LW9cDIQ2SPPmS4R+xmaAlrmzSuk+vZwMxY+oA+yTE1o/VBJcLGwhN
WtdOoKGZx2vXPVYeZUg1JuYJ/nu39DKGWDZyAxy2efGhHRun0iaxKGp5kR4A8X5M9fw4iTY/SpMP
J5vfQUh5+K2ue1VuFCFxq6wnMdyEN3Y/9pTJ5L+5R71IzRNUfjZb9rHHonbLb+jjGNP6bPuvkGDX
AFq6JiOvAFNzppWUnzW7SbmkzUk2s/BhUxUDxUlDs/Ma1dEIAQqKCV1ONktXPCGIBqDuwYxF5NMq
NBTOwq76lQm4PHtAsnhet9nB4WmAHMHzxpn8ga5+hDtoZnM/AeX9MCgBixnQ5g4pPoM3zCFGCH4d
DxOPTph9fEcJlLQH3e5KejzBWtN0/8vQg5eRsIH/VY5+/tCXKSDivFUKnYeiEpFcT65JGAeZwqBe
0HcFXr20XUAmfJMKdDpvmPdiWGScROW0P52Zu9zw06HpJ3y4kUcTwvS4fKkzRclR1ROe8jkfWVRG
4TXE86eukzw1BC5ijwUFn0qHiR4ICL5ieddXj1QlsbVoB4a9C5xZPeqWVkZXzJXZZHtIJfdFQdI0
3hfjqmt54aObTJeJCaT++o+vH+aYxRwxGpzP77LnTEVrau3zqRluBhN/wCyMI+gtBR90RFUZOHMe
eydZ2VbpTBIHg2i6LO2Jjqx3xs1QJ79aaypsmDY0sK9A8UwltEw6036uAsahoiWDpNxuARK44x7B
RtzvWtf6Bm8oJI2AYrYBUFm3knErpn6te2h8YlVfy9X/G1V+MqpEUGYh1PnPmuzL5yj/+fuc8t//
4t85pU10hbClxXAHKROjciZ3/29OafwXE0LHwjPLwDzN+Z85peX8F/MqBy4RqW3uH3NKC6W2dIjS
QPFKhTkrtf8iCoNL/NHSoeqE28vfw0gNoy37bE45YuwmmnEWO/vr0VvL8ZKAlt+exs3byeTbS1AY
S+nCdOMnI/rmJ/zWbqN2m3lsHEGdLwh1dCmDiZO3eaT//5n/L64y/4rfrkLi1ECA5Dwsyp9q7akY
fjafjVg/u5EzJSXx8BYsYy7RTreOfkvEdDW9fHwXhv6qkf69n3Vd7HcYbDNcdSzDONfH16lWxkFX
qR3xlep7gVK1XwMmMq2bR2HST9IvQs8geqRMDwUVL5uIGNakWxlbTJP7bVQqdW+GkzDI/cVKVTXO
rSmzTq6gzfVHj1BmiIxKX4lm6DZG5/tfseuAKOZkbXzCOJUsZ4CqCwoelEAFvGa3xCkSODYtjG7H
YHuJixKe1nBvbBKRnfAyLctxkVRtsbAjVcB9bGEu6alzoWOMhpTNYcsM5Rhe6pVmQzVJMX3SOQQw
we8umiBrh0UyI4S4c7XH1sumu6jhH8MyNAkcqr7bZuYgi8xwwNWqblU7E3EXZn3ED7W5G/LRuu0J
Xtlq0OvXhVAxjCziqtLWsDZ14mLVMZQGcdAJ6ImwBpJqh+6LcPC9tOCuHJ0pHtcF5xNm6WNtXPo+
MRxFDPc1KNrw1o+7/rvXZONtRwUALZWsWBBuTMy0aCLc3fYfwxLR+SoDJL5DRynFqp+Mn0rNpaqs
reaXxoCFQN84be49M3JDFOONddt1On/R/ICZglwWMIqbBRKycmmP0l5lpd8ciQ0UDbZFQbb2mUGQ
6lcb+DZLOp42jbWrOLB+NjUGKv3YtD/iabizJvOnR1Lit8Ek3otmPXpscILe67Rv8GvCytjmvfVz
Ju95i7AH4IgrTMlihn8Dc4KpuW91/r5s4HfEg5McMk/W99EcmJAOlXORuW0Ieaj310IqfNyYohMJ
ZuJhTIW48lSpNhhA6VuctyYGDzjXLz1/9NfuMOpwBsHADxJ90Q7eJxcwJ3tZVTEhzJmbAN3G3dek
mNqvDfFW0GK9moXhRhKrYqxo9NRPDgB6Fk5deOd2iFyvXY/HCWxKg54hO1mZ7J1XTe/F8T5GUbYp
U6JTCGSNDH/ZKohbOHcF6Agj/Wuct8kAGgz4YabzGCYI9K1hKf/Fd+CWsEo0/8rsPeQwNMoOyclG
3uIL7VvXRCmYqzHA+5y0S+swlqo6Vhq0LoPOYW97pX3ja0LbUqELnNKz4Nhb8t7PKqhc2DzhlSM7
fYd+0Db3lcK1u20H8smSKPRfGsSSC6/si2YhtFbbFgz9fllx4v6Cid8sa63uLxTJHi+hpxML3FYA
F7Q++lqrG7y+SdThefjkwa2MafiRIiuLl3U3pGtmVTptgDHuMtczj2kQWCdojtPaH12M9plsGluX
1mQr8TB7dE2/wzVMhrd6Rq8HppjaK6sdYCA6UYemBEHGdyMhjLHK2uyqFUP/rASu63kbeNf4iokT
fEXkb3iv4aZfGfKiN4PxRnT0pEGp3Js4UvnzGMr+Vo0j5VMcNlcDhuxHY6ASrCtPXiQlhFGjkt2S
aC/7a4nj1apBx76DDOiSYM7wN1lUxrx5pabf3KpJxyh40v3EWeBKLleAZgX2hL3+y4rshjY/LcKv
FalHPyQ94c7o2IQSLau3LA10lrYnN+VY1tum6INsVZc4bXOq4Nukkz+e9jb2WmFRhacJchoR0x2m
THw0IXblHqFNFKHTgV8bnEyjmA4jSNYFMqdxmUq4IUvIJHqMHVHs7UEz5QZ7IxtGQODtZe1B54T2
SArabJMYJhEBj7ZgTSBogJHrkUytj0rt/yHAhhU9Mm5B2ppscx+/Pj31lp3f8ByGYhoo9t3hJmcs
/9JXTcM21iXg2nNuM3PjZcMu8BRFHhO3znF2Dc5lP0l5mjbMkeXFK72zL6LUXbjowZ/rpDBecNMD
l0+hGf7CNTm9H+sBnamhw82d2aBmTpuMOx8E6AFkjyrXmQm7mK/UDJXXnYtt7Zo1TMrKSEq3ZQSz
iGy+JDJFSOAQxrtlO5rQDEU6awAAjx+coalX0PT4o5YS2prAhvHylXlsguZ8QcACS88Ki/suyrJt
47X5FvKwj6ExPXhMUU+vieJCH2ZeYtE+g8E2e9ex3QTHtliuXD+hP6SnZfNU3ZWHPgZibUhCoTK8
6NJOsFsztCbwFgj7hl2BDIlIc3jTe3zCSNiDJZ8d4tqAtugUNhHjgNvTrslLfrBOzPXOi2A1G1gL
Pr6KSiNrJpG/Os/I0s23Tj+PZKay5bLE2dF9TUDkhmo7WPKVdiojG/cJbeDVu4LMr8KBsd2mIvzx
Sl5NZmJtpmx54ZNRCp+yxnGlAhXl69fcLdWo2otSS+57D0/GPK/AAytbW0tLwVtoIEEHr1T3+bCr
PcRaWgx00kOMAIuA5Vl4KMdC6O83Qo3Ws5FV6TovWeCYfyWHiRW9xG+CaEg8nH/GnOGMdvT6VCf2
dM9CCm7sUAuum7j1vubztNa2aki7ilAaVwn7saEgbRa4yvvHFDR7/IekavoavKgmmW4nTe9+drmv
3WVO6UM2JyZl5Wr2v+8paQb/16jzYwdL9BvdKo0rqNvaKSA98AbTOkRQqTnD40P0LW9r99YrumGj
4QT6INrReuiUZj3EshyvOKnsTViF2mpk1LeCBo3cwWcyPQWa+lIQALY2FflnWiKGq9en3kjGfvTy
LvgQkd95TtIF+OaFVMg9q4KIgLzFVrBgIW4GWegXDnKvde7FzT4bG7EugcVgtusWH7HjjYcWyu+1
7xrBHnUyCrHXtTy5BoYEmkUQCh3KxeRGwxU8E3+N4orRNqGx1QKKanKt00PvCcixHz2SdraND44K
ZshhiGMZr3/CW4mUdsjRFVx9WAECV/IR+rGcjJlBjTo7IbqFTWHcA0Pk1w7zxhUz1zaA8lyO9zo2
BHJBRmW8ngh93BAR4h3xdo4XbeLE14Iso00r4OlbbYbcoZ9wb3V6JBCqHK4rp+bodkDjtg4e+PgP
TZmTrEy8oBmhgxGuOZu6vadQVILl1mj1GgDDZe7kxanFNGPTsuFQA6FduwAeba4rFA4oNJhRBsx1
LsfeKA/4xfcbnIk0uCxJrp1qXQcyxSuRitkCyUk7BAt6AHSAMrmM8S6dbWTcrkKcVHYQpo08vddR
hayzEoqI8CLj5VW3bWVocZm16y+j58L1HiKSGjRrtjcA8FtHGNkcCIWZbvHkdg52b41rtxkVUb4m
rG4xdmj6M8/Gt63pMB1Y5LWYbnUb5RbOenANiX63h5OlwVpbeJDQj22jkTnLH72JBV57i2Kq/F1t
xNY20sW0xzTPJhwo2s53dO2EA77yngwZOkdmvWyj7Ks5JGqNzDZfT2WobUmzaRRA5Gg+jfnowgPI
q6+iE/h6JJF2gbjvpi1HZ1FYSKb6WPvpVqT5GVb+SKIG3vzx6B+5DYbrOoNRBh+12riu6tcFuPHW
95G45dQlF/gUKJwsKt1ZUyGGaOokMd7heAM9pVgmtZ19d3LtO/KE68GsxcYc4FdQt1V72EIkJUzR
qS/CaalcLSALpdryILol3jkkuiA5RrLnPjLsVEuyAAuEhDUDWdKxiCwXaKN0t0EOLEtrnTol94t/
JlPdFmIuOzZqxtK/LPMwWCYdeT92lGJCU4iuJQ0wDp+CtpO7ZDCgeIztQPKGOxVfS8s2J7BxvQKa
N8OLMLbLm5xkn0cN7HHBqZ7haFiiG+wc+6tjoOhfpS7TorYbp4MZecnWSsN2p4VYJDM6q6wby1XT
DeMe9RVWUrJGrOwgVQS0X9kTESrEpc5BSGG4Tb0p3nRVQkuup9EBv+QRLVBTvXhMHi4M0qmRoKTS
U6u+CESPmq0dkuSizl8o74ltsnP30vDaRl8qUxa3XRWTBmkWbX/jT2Oxb0YEMbEW1pvGRb1tZpkO
bIRZKN6Kire4wjPyxQqtCgSNZO1ry2ji21w2xabFve2braivGLKE5tXoes03bJadA2Bt/gCfQ/cX
FTnw9/p8QtpGVqLOcUOIHHl7EUauRVxB3TzgCCzBdqv+kMqgu+i1MfkOnwxcLjR4uUXb+DedU2Y/
spoM8842rGd0XwV2oLg5HwyyDI+qQfljA7ejy+hIo0GERKDiCGnvTuROtkaKTJJRhBfnVaGNP5PO
cR/NwoGR6U0uBGzYifhKxMuYCCPMnUnuWgK3IS5ttQE8eVTsZHEa7+ISGk7J8JbXy2l7GOkqoEMK
6EAGNJCaxBXsL09ESDwOeVMtAnZ5Bpk6pAEPZl1ilA9KxGKV2EhQFjDaK2x4qYxhSNjZqUiy4thM
qblXCrEp9XyGlBtX0aR0WyaVNVzVHe2Srf0cmxRxe0+UtNHa7n2jVfmCvtPd0sX0jFIj/w7hRnPk
UExvKBXjZ2ZzxV1cMaso23JwtqUm0dNFfhUl266QvlxADTVpppr81hJGn8NARk6RKNuE06T6+NCZ
7c+gd5EbAu8cB2IaLgSV7fe81G0iKh1swLTkaio6qE+10NJtgzvCEgFbcYTG2QO3V2VzheA4uIop
hgjfS+N6zZymwpuA2K+aieQXvv8fBFJjEMuZBvcWv1CEnc108Iq6vUnwfVtZ+KDdw+oWHFzEgcJr
9G/rUhQvQgMrjev+CQOHr1OL9cTGQSKy0lCHbGP4zNum1AQxVW36FWI7JGasLNQXSWIbwVE2jgNh
q2+mrmuRsoQWbrWFtQ2JXT0y+UEPkqiWtM3MozeNzeAFtQzkX3bChRQaFuHB4JxodThPMFN58jNH
X5WB92ANVn+hl4a55W8xV9VQNV+tyGJW7KrrrmhGDPj8btPN41me2xhfet7UbzvFeJMRuLvFIp1E
Ks3joQjfeXC60DpFXYHfdxvxwSoPg9mcmmoMbW8jNbltRGje0IPcsyEn10M52YcKNwymko29LtPc
fy68ZFqmaHh2sDDjK3vw0RxLjS7GVFS3uNpXjNT7/EuOrzcVrnYLP6zZQ3vPbv1Is28cmJH4tNvm
lRF24pcREItexD2kgTYKDn4ette5HMJjKhP51SLTI8d0ZfK19lucY+oNS2ybsd2uu1JgnNwM+i2k
XZuYeQyQiiYptiNOu18bdlwgeqx8PdhlW5W2p6CdIEohBDmImVnU9Oop9HJnFwchJxaF4IGNVNtl
wuuOlHLOobfQl9dBlVD/FvmvtokZ5adN+SLwKfpWuw2UkUWAKc5LocexfmGUrX/hwnZegZYgXmC4
eGpNbRiXmmdK7ypKVWAui7yqhoVQRSk3VT5MtGahQgk8qvSUZ9Bj4Qd72zCajceAsE44tvyE9tZi
+kqpoiqhiJPrvzuSrkGmJlNIKWmSKsTPExFc+yzyDMg9xk5DQ3/g+5fkwdv3GeL/peUXwY6qMF0B
d3yvzQjRqT76KLI5X8eeacBgPzu0IEM8HaXSb6mhILA7wERa6xrfLS/tL6xCwhiuBEBKkqvrwDd2
HRzOX6Et5I3UNfO2Hrxf1WBp98T+1Hem6ahwJeuiQsqnhplVYzgLLZfFVveGFpP4Kl/ZzUwHxT/p
E0+1c/2M6+I16kgb41HPcM1zy0EbS/C8I5Ft11vgd50GGBeVBWuy2tKPZ5/IWt4gu69X8wyIOBim
vlHrOIMcqJMctRsL2L86lk6LKHOGdRqU6Wesn3PAnUvhjOl4LtRMLEDP6Ep6bZfAjwY3FrrBaYgt
joy4My71pks+cRlEUPUntv96qVe1DqynN9wyIyFmkMAxtUOI0B6TtEl2toopOVm8i4r59pag+PET
HdJ7j9I0hCHA4SRWc2cguYx8oqsLcqfHhKfIOJRTWgHZ0ZNan9zfuRhpXiN80IwwHJxN3zC/Ejb/
qSw1tcvGUMBj8LWYzc2NIQ2CaKbAHzflaIAgplN42ULD+eT68+DiT6Se6wvB/MYm2Qh12p8jhzGw
ylBPYJ65mQYAn3ODDF3vPp4InBME55uEcQeddFaTvUnXGQyOi8Yz1a5pgG6dPqSKCBzhX6WmPu2m
0RwWXesN60JRJH986ffWjzBxVdU9hjfGPAX7faTiSWswAlOoGSQZ16WQDTFsMxDsaHpaQeKkAhsR
7Kw/vux7n76wdGpz3ixu3TML8bdJjqjhijoRl3WqOD0YWXdnI47fBTar1nNYvx9f7r0FK9hjcOGc
E+iF+eflAkXaHbwMLlc38lSZ1ZbmH19839E/2WXe+P+9vkvIaBYdOBuNfv5Ap+nfdwnNs/9ev67N
0W9/DA1rU6tTA2s3pPm2O+nPUL0Bk3qg+I9v971FKzzXdmxLwJo8p0smjmgmbMsUFmKBdUuGLmh+
wBb78VXee6i8wnl8pTP4PDcCtrDPa62Mred1F+hin1GER0amYcXlJ+/vvRuyIFC6FiHYjBjnn/Lb
ckmGObQR7ceu7ys0HH3xZLvF08e389k1zja1SMK456AmPtdsLidbbS03+4yVPL/8892E9UdWC0tR
Om8Whxe7vTIbtSupXS+DVjcPZpEzKOv66DHU2GFwU9CvA5jyK+zm9T1eo5/taG8/PQRAkhEK358H
dHG2o1myxOmk8KpdYMBtagiBWSJTq46pFmNSUHr56m+fK9dzXA+JrMQ2+vzbq2ZO7CwT2WX5QIFi
j7fkuDiflBJv16Jghk6OFdCu+Zbu7QVGM6kkrZBABWTslEW0xP7s6MTMMj6+nXeuxE3MNGQyBkhp
O1smXk3M+Di6xY6tDYMFrb4Qo3MqVXz/8XXeeU2GgyTJ4F2xc1nzxv3bkrfLLBGecgq4cvpapc+a
my7jBAla9W++2n9Mu3obduWiiP7tUmflChiVPZvM4WoIn21l5VYws/sanHy9DvfILp/uRkk9RsqY
j2TMAt3XFfJ5m5Z1jQQUYRHT361ZA6NlSgCAZxbeFBISM4FRA55YKHgv/ZQ+0KpygYCGaRF9VbNO
zSZuDk6XDld90YJgI6lABQviuOjtaPonSO4/3qh1zsV+PcGZ6+l8AAa8vLO9OU0njYT3lmdah82D
l+X6ldG5X0bbjp4zZK2Hdlas4P3wTWHLvXEIO2Vmbe/nXM1IMpk1qjLB9+gu82mMGjvEkSz7gtbk
cvIBlrIiqWDO9eCNkXBwwowFljF9gZ1EZzoHLdba5WAV1o7ZNpylBjtRrhOvgPCcY2LBZYgT8iIG
9uuVF/SwnIJhZbHBeDwtk7QOD13tizN7UPz1WjM9eAgwWHB6Mp2zteZnXUX1MfJcYq0+doYn9rz1
YRfECj+vwRf97uMLvi140OVD5JeYDSLrP48TxD6t63r47DvPbQgoipA8VORYHG1RNlvfDZpjCPR6
ImgquPj4yu98vlRzGApg0Ist7vnnq4Kx08LWJgY4GsfHzu6Np4p5zwlP7fjnx5d65yYheLAbgXXw
v/PSkbko/ebY5rusU0xF8J5TwLUtBjdxrvZ2nUTusmbAPi56E9D+44u/c5/UVcJmFj6n/J2L+J0k
wMa9yPMdhM1oW/X5KRhm09d4VH9dBljzJmU4MIwc3BjONkQwoDrA4zbdYcnwMI4QNU13aPmKhPjr
ZUq5AWEKYhTdxxtr65LAtxbNYgqvAKXCZAO8ivi676W9AXj68bcP0EKzQfSfYSGol+fHVhClZW6h
WNhBqxE7nIfzghkiM506Fcln5vtvN3suRmlDaYCdhXmuVoLGa4R2m3FnmnUKhfaAk+aPeBCnoLc/
qUHmb/nPEoRL0Zba3Bp7/qtx9G/nCrTgaMw1iBjIUtYCrNQrZLpw0m4i5AvjwdT8rBp9/4pElUBj
mz+68+MFUqSLd3Kyq4zukHjlczHC/1SoPltossT6mce/f3UU3thfU3VwxbMVKTEfwCjYSXZa2x7G
tNuRqXwd2fonl3lbMBIDi7m2JVyH6uPc/qNz9SGK+Kt3nWbO3tVkLJUDJ+LHN/N2F+Eqhk6xgeu8
/cZPHDO/IY9jI9kpAaIF0oP9TfvLye1bFGUM1N1pKcbik13SfHtSclU2DkdKxP5vrNn9bMKsLARM
8CSW2z3GI5x1JUzZwWNKP+UMseuR6MgFiesJWuDJKxl76c62GapgnzJH3iCvOE2jrL7gGYQReonk
97UsqGa/NGhx9p1n4kePean85Ne/+2LIKGDFGZjAnL8YKAnhHGqf7kCn83U8evFBG8A5P34xb3dY
HhG8SujKnjk70PxZoGVIGuw8KNIdpGbCnIpup2P64TrNZ1XLOx8sSjxqW/YhhEdnRYtEfJSXVc5G
NJQCIosf7gdbHzYf3817OxBuL8BwLk05z+7Pu5li3RyCVksgD6Hx7RyOKbxKsf+q0xesxf6+iqZn
hCbKkTHHuZx3qNh02wTQ8YmOif9jfnYqsm8z5T98fFfvfTxzhqsDJZfG4DwMAeZ1bkwFH08aSZfs
ejTfhi9/MGwpNiqQ7vc+JQwEtLD+5Kh6b8+DEWtRV3vvND1Ap3oo0B3uAnIUm1zD7C3YlPF9GU9f
2a4/udp7C562x2Sx01m+AclQREMhxWV5hwgw2eJT49z2JgayHz/MN9ESRLXoPETH5DhCiXne8Hut
ObSIn5Od2/b6fRTqxUaDcbzwY9GlzOac/i423AJ9TtNdV2OeXMnUEdvQhdM54bfJYDkuV0aFEwRW
cvAxWqQqn1QjxrtP3qHD5ssUkvrnz4Ws/FqXfZZx2gwWY4KmejYar1jCKqv3keM+tAPohFOGDDFy
Ed0nfVfvsV55CmF0TPZsFNtnaDWArBf2qJUkeHIfHz/Id741ZtqUoI4jABfPD8TU4TdEA+U2qrEf
5WQ0G72ETOmn8FfG54+v9c7jMF45xnIGaqm6/3wcJkb52HQ1lPa+8UMHcFhlUn+uxzTfOV4e4ydp
N59UGO98dIbBxI6KhhPrTYndqXQcVFBwe7F8DKOA4ABYO8wx1LQQOLncVaqvVrAxut3f3ytxSshH
qGwMcb5TWpoH3dCtix292hV2pApUOr0FjQ+Q/gf3oyuDT1bbe2+Skg0YwDTofs+zm/hW8Ku1qmKn
6UG1HI0OVkIumtsef/ZdZtNIf3yH75w53CA1FDJY8NrXL/T34s1XKHULHu3QBUwuLFSTelVUKwEj
9n9zKcy30ARSMOIa9efCKR0rarKcFs3wivyGfFiMZZ3Gvohaw/hk+3pvjeL1xfK02FbewN8dlLh8
AhnY1Vl7IoDgp5TVKUV0tYgCRJL4b/91c8QGhujCJDOJSc35B2gMzNrMesp3E25P+AL0X1SrcIqw
/804/M+IAw/prNgGUselToA8I+OY3+dv76ucMBbVfVrANJAPwTBs3ak6fbIkxCfXmNfob9fwtDiJ
LfTNOwj9xoKwyfJAmob8YrY2eRdpj8Qt0HFx7FVJMFIc3BW9IpJTMqttSZsE/GthQ+YRk15klmtN
GMYa94x0F4lGHSbLCm9NLyCCcsRM0i/1fJvVkLPobsclNFh/H0pksJM+4KtqzMErMeP7L5OXQbbK
DdRtRVarLZZyvkcDNQTXZExSHRazjzURxtfh4IRbQ9XjPpVQNDsRZpedprodZkenqEjqJU94dssC
N13gfVLuICfiu9bjxeG3oYQsnPRYmomIQJa43Xz8eN9bm5ziSAuZHM6Bin8+XVIa8IOzWZvQhJ+r
oXl2w/LaEtpGZAX+vwQrf3y9975wam6KPeB7BkJn15PhmFciGPNdU4Uz5nTVm8m+b/JPite3YzUL
rJTBFlgmMN25xR7ZCKFQg5dj8JbclmWk4Ay636vkjiE0pnnaspXmU6DyT1om8f51QWl5ojTX5wWZ
V5LYU/YSTKQYp8dw0FEJKUu7Reiip2s4M/Q4lcywTk+6apXmkATx32cjr8xuL2H5y7jX/pu9M9mt
G9my6L/UnAn2zaAm5O2vdK3ezYSQnTaDwb4n4+trUfnqwZYFC6/GhQQMIzNtimQwmnP2Xvto6YO2
M3q7jGKEoQy4ek+/kw52IL86BlSnaUYKCPMl2QS94VJ78dQmMeJ7MwM57iunCYG0ggHqFSRRyc+D
g7D+jufDuJEvubsztFAcXfz7QmFk7nq59cCsPzVQot55FW+9cRdrLIGcK67SWB/ZT99vqndOUWZj
eSDraKG7FC6Tvs+MfnxnZL2xSTR+us7rjdFYj0WOKbo8+M4a8kq9ISqE2P55+L61ILoAa+gr0G9z
X6ek6Y0JAYqEmQNNJz9aoEBwGP9YZYSFi255x3T25sWoV3JmCXC3vT5EuC2TUZnzrWjCLTiJqv1o
1zsUoGip+/Sdx/fWROBS9me1wLL32+Y3XxbLlaioDq1sb8luwscfLx+rvP3ep2gWhPvOkzTeGhdr
z5sDLBIC73WfRnVA4XybfZqcc4IPlGmcfNVOsK8cEoMtTRzsugFOXQfWXarH4rAkmBqSKi2v/cTP
dvCmlkcsvXxRGJFJ1/nzm37zx2NCpIxE/Zb29a/DdppjEHeCbc7U1N+tIHkS5nifW+hI/g/X8cAr
sKMEhva6VNyN2iJq9HgHTqI11Zz+uVw0OCVD+85C+ta2dU3hpMSy/uK9+g6tKcDBgfby0OMZER0S
16m8bSuHDGvjQ141D0UevFOoeGsA/3TJ1xtWqewcjZ5eHLRp3pMw/x1MEeJ299RW4ztnDuut8btm
BlOLJhmYWtKv76tfc9jV7BVMM+bypRf1D8AYbkRqhx9Rvk2iFWUeFczI27RZvQaasSozW0R/AVAE
m6LKx7ghgGcwcSzgasNnJPr2PlEBSaWgtqIi7vzd7E3+k+8wa5K90yGY0roZwNha2qzMH/pkYmcB
ADPX+hdZDRekOHCP2PKl/jiFxWKl26FYzPsa0TWLvem8M5reegrB6tSlxMG4fd2AhQXadSX+hIOq
1VH1ygh73f7o1M6ZmunHPl2mdy741itenVkIZTyKra8fey2NZGnYDB1SkH7o4gZIAi8gdQssZBx2
qyb9zx/Mi3bi1aYTxYzJDfK5cMx89aYTbcnpkubFwS1UEIlpALAjQG2U1uKcRZXnT0Q3gUy3UU6+
2AV8ATW+GBQ5Okj69tpECtg7j+GN585mY7VABxgDfzvyBu7iE9lg5QdS7uytaBf3uhRsGxdZwXAl
5/aALvLrOw/ijSImqgSqPuus7f129k1mR9XxyBfdqRgpK0CyHYJUa9fFsIOJh7VCRgrKSYfEtqQV
0UJPBueF/V5qqvXGXLn6wpFjGBxzYCr/+u3pSCPcok8LfMuSxIcXX0NqQelHW106Z56Md4Q64pyx
WBGolFNENrSCPirRB+PNZE36blli/ZN4icLulf6JbXG5FxNDCscUlJA5cPZI8r8viLGZsset7Uqx
RStsQ/4o+wM8HG87i8Hb+MkZTJ51n1nl/IHPFhPawofwUfhDcMp177NOftE7B/O37p8OGB50b+3Q
vy4cUW6Teddb3H+ezfckKqJFdef0Y2poYvfnl/7WpRBeozXAjc6y8erYStOJ6OR1WSIvUWzqxl/d
fHOdnQKRJx//fK2X9/b6S1urvxanV5bB18f/UnNzWEkphwPoD+CBaBhj9lK2sY9rgA6llxtno9Lj
m342p4tpasktPCoiFqy83kM+bv/ZSv4/vuEdfAMapFWD+G+UwO+k+fQbhabn8meCw7/+0L8IDr75
F98lobmQ5Pn0KRz+m+AQ6H9R9zSQwgVEOju2y87gX6h52/+LQgyvnvA06l1U6P+NmreNv3CS0h4i
RBxZ5gp++A8QDq/LmvAhUFva7KwZaWS8v/6EmplQzCbvjHMJB6gnkS0p0vnQOiviiygE9r+VWPAZ
yMzQpsd0phkF+03UMI2C2nnGzluaBmBWSrVYwKWr6APT37TlOTHXAE7IkBmc5rJjavzpSd/88zn8
DK3nEfxcAyFobFXdrYutz0f5m0zM7wYCEFvVntEzzXeGKLXImWAKLaOnw2VZ4vydtcby1/n0p++S
S9KSpvSO9tZfc75fTQJammOKHKrkTAr4FXEjuK3ykWrankJJ0sAEb7TmYLQ6uE8qdc0cDfbo2YfA
HcZ45yT4U44kPa/GzZFGOibdeFB7s8cm6ZcpSOaqJESG+r7xkJsIj/Z2XFZnZN00+BOyWMbQyOLW
DZuWeNrIQbwG4mcqedaaO8535CUCCDWU84yPtOoITfO5VCDiMdm2XiyLzeQgsEUBo3V+5PJGmqjo
u2HYseVeyABNzYcW6jomDCt3MGSD6F4ofqIu6HFItn6VYdtM0iXZssWbkq2x/uS6sHPEOyIxHwzo
XoRteh33hjuj+awJvNmJO/FjzKALZmz/Zv3ZHCfsBC7pS+LDLAp+omBxrONCZuf82JIQwIm70aBA
mlIYHasKVdILtRhPI+NxcetPJiwlcerbjvGXEBoUaSbK+DvVlvCSrNycP9a+QQitZfY8ubRDcwMD
uJqrY1tDy49GFF0KBwdAxDCvR/5rPUCu2OJlhnc/qwYGn4a6X6zsus4NKxycAiOfxf0jlXKeyYSN
n4bFDZ7GgZQ8wFBkyW0aWk2cfvmr9a7hIRGFyltw7b7vPgkg8fXBVkT1bHmO1hA56ZqUkpLjCvTd
ARZ5v6iK1zquarczu99cnNT6Srz14QT4bnh/2FbOQaMtBvzpXvPQ943TtSAC9lbzdQGJYebjXQGp
PtS71KDNRigZECzo3vizqCp7m2o08y1o82STE824on3n5QFoaH/RnAA4RSExUmLCHmCTy965XpbE
fdJGz7hMY53f4I5Nns0JvBYRtLYfpWbpPZdJNn6sLTLe4PUxZMUEcHScxt6PhKRpEhXQF8j3m10H
nCIxXk8aBbD+1iQy2904o8ewwcDC453Swm0/ENTmsJ1yEq1k+z/g9MNdZ/tgSTaSEUnKYTHz7lKr
tqcfi1yG+jO/LeQPIrDnu7TQ4Ye5bEGiKmGMdOCrhkhUgfFATAOvJ88I5Qy1eOLdwkTMC0jtVf2Z
J8PHRR4QH2VWV1O863QyRj+RrTvfYQDiQ9CUxwNOTQ6O+wwrz9kBRl6H8dy1h2SUIA9lbM43qE0b
CA1qma8sQBEJHu+Bq5AGJhWNwk4LtiRt8Fzg64ClG/D+nknLMduHTClNe4JFopqr3my19maZwTzv
8sVi+lXFtASPqa0X2V08StifEJebKB4t66gITBpDtRQ8yxYXdEq81AS1LQgSHkStF+0hzn1iL2xm
FSyWDVW86GUgZ7PGi8OiznfsjutH0bdwv8J5gnjJZF6ZD+mgEWLgG75wP825P5gfZAybDZaekVXf
PGsyLsL1JTGCa2xWqGWJnPFBJ6380hotPM0QQ3D/txX7ffaxZYYwIJrEymk/VEVZun44J1ocbL0c
1/TWzDg2hsgw5KlrSKqlhtYaF0ns4PzRH+Im++54pWk2ob00CZZmfTTNDwXrj2pCc8AjeYxLk2Qw
eueurh+Faak2RGcEUkSjZE0qgqJ2nSb+pWRn+ckZh3i1W9979D6miHzn4ZFcC20LR0AQ31N3kTUk
4mjlQUxkBR6psEg5VFLCWMDieIVzAKvhrqVi2Wjpx0TYQ7eza8ctJRzihVThnLjPuvb1p45kzMgq
9C9aORKTRGBymC0lBmUxzf4Bb2LyNe9i7/uc4EkgTqj8gBfnapjaZtlmeTvfom5PvjjWWG4LFqkN
4GzrjmS48othi2JnlnoSI5oo8KEQhnUTJBjCvTrDqQxQJb9O6yR/NGXnhYHe9Tul9UjHx5kaPA5q
PKVT/WHMVXHlwNHfDoAYb5nW6y8yGMT9aOc3k6fPct82OOWaBUOTLqtyP5IEeJ90bv5Ig7NLdm1f
wtBmASOCs1HkEAbZDs0wUeWoxVZOo8e0N1rVA4tO/al0ilpspOrKnZ/q1UfhuuujxdAE5skZysil
q3mp3dkiJG8s8PN63Y+0JekrH2z7YK79bxAy5gVzsWdvBOGXWDIXtgObrjXHc9MV1d7PmwWVa25V
x9X1vEsc41bGVb3XObpsMGjVn+AN1hOr1OgeS6Icxu1SeMOl6e34PqiFu9c6leGWo7KB3FL5nJtc
96KJvjkzYS8HCobLcdKMgMN/NpFL3WI2Nu0haoZFgpPs3IcxHdXfup7Lc+AH6tyWbfCeP+jVaZj9
CZ1f/jGYjAI69msp6qeSb1MVlg+MBxpEX7eHrCQgQp8sFiFbg80Ip706k+3cvnMKe1UAfrnqeipC
32Egvvyt5h8r4YnJCU4NhL3PBHgwMdS9yR7jzxu+V0ewl+sgEkBFwm7PpL38692NgnyJLkjik52t
OwxPb5mzV0irM8dMGP/5xSjjwNVmg8zZ+tWjNPiGtYRN4MnPp2BbrTBNciLzSEuHYPvnS/2+kSXp
iUIke3GdesJroWNDHnYNqQOLIjmNlxL6KhQdWLiYDatzt1a1/uPrGZxDDIYJzifndXUQJQWfbV44
sAdE/PTPElRiRkojp+zYjXQpxot3Huf6uH7dOXNzawHUtGxe3utjxlIkdh+0vX0CgcruChMQmx8m
VFbgcl7D2lYEnhVpxcjvdU2yfPz5pn8fpL6Da4YiLKVe8zf7TFXakKpyIM/DkK52DziPszG9p297
8yrUIgIEVY7JyeTXIZrH5lTGaeeeSJ/Fv5LC7vT8d2t/b12FA6WPJjZAGPv6M3d7y2wcjXsh88Df
uCnAUzRc/4dhAm/QoqjGaWdNB/v1XrKmaKBjUqc2Y+iyVIwYFOMy4Wxc4t649PU8qneOdL/PX8zp
zGHcFh17LvvrJYk8jpcpd+2TVsXuJ2OA96X0ka3IQIdpWwLANcH9KIbInwfH7zMLhZ2ABjR3S4Xn
9a2iF0x1VUPjyAa+7rhinuxd0h+VBDn850u9cYsMDmpV7MEpor6eLD3MRlyqMMGlroDOwqjOqutJ
LbIZMNl6gpvXUfPni751f/R0fDQDaM5+0xyPQJwtAcHxlLuwAcvCto657os9B513v/QXrcivn3pA
dYJKuO0F3uo8/PUlVsJvfZ355KTaDsKqNAoHlYCn53f1qNpLRb5VSXoH2+R5Yl83sdfqLmNDoMnO
hqnO4aJynuGDdH/TLbHYdaoyFzd+5tbvydt+n3jp7lk0mZiRXAo063f203JZps6UkuLBCC8sLpTG
MHnXwM8uRJnIUJMB2/o/v4kXYOXrp4OyF/1LAKToNw1xklMviVnjTpqvsdedfYvzAxY+wkZagyWT
SNV1vMvUuDRD3nyGS6uMjZUG813TmU2OvX9Qa5g8iOce3LrY/PkHfOuZMFO+mMl4d6/7CnpDhByR
mM6pUD6bbt2RX4xEs06o08s0nBr9vTLOb2PThR3K10AphyGKcvzXl9AQIM+mH+wJ6ZqQOvQ1n2Rp
SobpXHMa//PdvXUx6kZo/FE8/26i9BXG8aSBmjQjmrmRJSwivfM55Th6zSnpzxf7bZrmzqhO28Yq
WGM6W6tJPw2vItOMuov1BeiVw8EySXtGFh8ip8Q/X+i1qtpESkXuKpsHh5tDVvVqIIP1Sme39iZ2
EK3obnTOcEOk+V2P7oL2dXeu5UglxE6geotJFBica4BgYZOvy2DVzHcizagTaBOHpagzIM0rr20P
uuZSyqLqZe103AkczxvSi/cvLL6+JHmo+E8n4hftLuop1jV0lq+3QimQodojMPtkKoIFJyxVZ9D2
6T7R4cv++aH9NtC5FGPAxqBGSe83UR+ZKGY/zvC+W0yoMLQl94/kLdgijK/OKyDuvfrhunr99Olj
6WM+xI3NrySz//aWSlVALGod++QiIf2OjHM8tXYcPL0URFwPSy9M2Jwc93k231kAzNdDxObK9Edc
iyubyFedVe3102C087hPbXRMJ4MIuEJtdOm7KLUW3MSWSQhk7H8l3SOzN2PVGd0lSCq+QKtN0oPZ
L4D+4Uosd/pQUEVU2VqvafAQcrAYWn7/gs1uC7eTxD8Z6Y0HFbjkbwKPeQhAHkkKl8AUbx3ZqSea
cix3GovBfulb+FtjCzUxNN0Oodc0Uxrr4oy6X0bhKA7TZkzW5hJypWs4E1m7Ici8uJ2oNlxat9f2
M3DGG5wfmtpD6MlIzOoJZtM98sLA2UgdMI3nDOBKSa6/6jObWDUvR0C3qeifcoBW6QmSihFBwXeA
Zw6GaOBxDA2+XWrf+khGn6VkWfHNYEZS0VAbufH31IIlvJKa5HsJ5nothpKOJW7GZeb3Hvnt1dEF
nkU/sAXNdUCVzqmobLBPb1Xj/WvzSbQ3lZcgX/c1Tc23JsrcISm07EhEywhr5+C+IKfKjjgb57sa
/Jm4QSCWg8hJmrG/7ayOF2LW+Ce3lVHU2V2ldNaLduiNZodOar7LsD5dJa5bZXdebXR/gxTkLshB
c9R3yy0H+7ptjLUUNUF6Ccl74A9y686zQ24RonIjsINtZkr7alyTvqhoEMiGLwow7M6tCSXZUAeh
ctUrQSHcLxbX2o5WzN84uCI2vqrJKo/NLAftfgYMqaImU6xagV7alHBEbnXmh3Ianf7OSMFKbTKG
i7jhvAqDzVi8qY7IwraP49h2oN/g2GuRqktyI1xzVQaqhBFUEk3vhqY3pd6VPcbGdBTgc2PWVWNM
L1WbU9Pyccip/UwX1gwhbFFlTAhqbx+M0mnzPZxYBhitYxA1WtqyNrzsA6jZM/pIsaDUINyKupnh
euTa4O+f8b0DxJp/BL2Kb3w1zjf/lOCcfOCHscRsPNjSdJ7TWIh42wG7rQ//fFauydwCftA6Th6B
sM8lMmZwXACWHgzQWOmBai+1ebO3mcZb12EUNb7LyUzkDs/V7NaauSW74euSkoC6m1Pq8P+0ZjD8
PseOtW4kEpu9nV959nNhyLUS21KeD2ukzIcZ+KaKXpY/zx0oMgpqV96VAxBUhZmeznIHr03vzgXJ
ompf1BqdhnyxebA2acTWTgZmkt52ZcMPYujUTmDlmh34H6OZvwyzZ2kk43lOlt35FZ6Fa2fOSbCV
srRXkG66fPc1Ohlb6TemfbsYNVVgsbA3xsNrTF7BekwbQFQgJCmDbwKbbk7GF9xb3kc25hksCaft
yfgK83SsiRmMY1VQm9dyR57ytqNaD7xkMnZU0JRPSULa8anQdSBbQPjm3qdApoZRTv+s+P/fJ323
T8pX89Py+0aftCy/d1WPyeCfoO7j3//9X6sDkj/1v41Scrd9LLSULTmJsYlhwf4X6j7w/sLNQLHC
f+mFvvRQ/7dRGvyFhtzCNb8KA03HY9HtQLyJ//4v2yLIO8Cgs5J5MFT9h41SFNy/rt9ADTgE48ha
VWmrf/PVTtUiJ6ZAG6qfS12rRDPA0XS1DYFBMXQAY663GTj8KlysEY71jN4ZYlLdW4CccqKBCpWW
9JmW7poMCTuo4BdK9XFWuW0/GQG7q83UGV+Jhkoei5lQmzRxnY8j+UTXsLP6G4UmI96llcRrUOHr
vk4m/iN4uzmo95oU+Ph6WZ49SdhHMQO9bnvrqzYRMXmmGzUTAuua/dUoySB9tLJ48K462J7EWuXu
NBCCU1grAnxt3prdTG+s0sNAIilaSA5UWbdsrFa3IuFZw2fsFxO9poGw6uvMSolpaVrk07uMd3uP
+qhwI8ssqwwFTJw+GmKBUkT/CzxjKimv2q5DhBC5aPeuPZjHzuvF3pwltOlg2cKHXsO2mxSvGGX9
vTRTqPJWduNKOpgH/hfrmuDHuCBbmByTHlNEG7Y2cKre0J7nDEC7r8tiOrJasFCQf7rFgh7M0Uio
x4ZCZeNsFcfMO0PPnesxoB9l9INnHIcgaDj1qyB+UoXv3deeEz+0/WL6xzbuLW0ju9rJSaixmZmB
LcpP49QKVO2mF2WoknkG9Rg20MdOblDl5772eJZDAXGHnU1Mb3hZpnM/9IkfaUkttl7qqrumTOxU
38cgjQ+ZQdhq31ItMvsJAdOkyg3Fo1FA8Grkzl/i+GBXhfmpVhahU6rT1EOQe7kd9snkpQdb0/38
CaPKUD4mK/dI3w6ssbO2BegVdN2e3siid0eSdEpICjJ3UuM56cgB4c1B63RQSW+Lzo7MprYvMHqn
7azHEC+D0jhSu4a1F7vbgHZvlGXVJKPUIUTUrpqC1JugR33Ud364ohDg0jkmWbtw6gAR+Dg4Ne8h
mwkbdcxjMrTXzsoSVZMKiUW42I1qkIWDvJxJJvCycleyM33UNHE7IzMPWy6zS9QM335cPhv6BNLa
S+NdPC73VNM7IOjIjQmrlFdNoenH2rGzXR835ilAoRRmbGe3nYZQuLDnFMxsXu0mvyJGNF/UUQcx
ywvKzUcAzV/K3ifE10i8EJ64FtnA33ZV6fX9CYG1PLIr+9qymzi1QPXPAEiGjVIFFA3C8GifRZ1d
Dztb1TwfjYTgQiujpNECLazJOAQ4K747qvnkzXRdA7oPiM91Io7sllRVvFTk9Q1LcgUHD3Ez+ex7
Qrru+1QD61ylRkibIY7sVho3/PTyLJ1Fa2k89vURgcfwndCcZeODltx5fGwHwLSbzGOBLBNF3n3T
HMvJuW+s/A4k/pUyYvalg74y9B9SF56k3gUnL5nuuoAUHlWYG19ftgkBq6AWReSP9mPXNHt/ma8l
cDtC84Z519Y5eO5YoSyL7SfXom0PWLDbGEX+Pbf1FlrsBNwckOl9qiEeBi8aBT1gQfIQmQRT/9qu
YerKAoCRDqskRJBt3wLSprk1tyXN0XFibNVoGXkfLhyQoos0EQwHv82/KQ9NFJv84AQQF8JGS8cM
ooS8iKCXh4G6yoavwrhNRHM7Ao7UfG5KVeVl9m35nK+zWTbEXh36stPOdW3ad6nZuKeq7kXEC2NL
gwT6s9eIT6RNsJ0x5x+iL4xD4nUcUdImB1G6WlVoXJ6GJbW2HdP6bQ9SNSQ6NThm0ruL3faWNrgO
Xtjzz5XUJi8Cct1/ZF4ZNuboxWNYW728SBNyd9Nn/V7nRe30qhnoaDnizprn4LqdddQNWg8lHHBs
YhJsEQwflrnYwRUE2y5rD5N9d9fBEeMJrUmVutyRamvx41X2s7BTEhAFq0MDBiQzoEbI/iEvM3dn
Fiq+n7LputaaNpqhtT4ia3l0yHUMc2187lTwyU2IVh4cl3E81BhmcsKdzWmHkepYuXIfmDLmKTb2
xTSSZj/57bcS2OXWaVW3qoIfajzzDOCMTkYh8vHsNJN+EYZ1NwT1Vd6JJzcDl2uSs6mjLQ+Zabeu
Fnyxg4nWq+1E2TqX1pp/43fWvkvlfDfz6sChj5jjmEb9L1mcGJ9yuFmb1vL41DSbE6s3XnvLuIWF
e+J03O+csTHPLQneYTPWIPVxZ4ooW3J/n8+DOoqqP6BTPY1pnO0JfkqjJNBqWpXajsUsj1QceKE/
kaoH73iwv8Fd7td8Ns2/LEq3b0WxZpN5bXOdD6kWLdMIkV864ivmfTuazOFqThvWhCl/NOzxUAIJ
D0bFwiqDYGu2/T35IZcm9Ypv41wCMFk+SS/LtyP3g3CgyiKUwOl5XEhhbAtjZxNBakYJ1PrLDK+Y
WMm4qTcDp7CzkzrJbtGsJeyGxPocV0NN7IsBeVijOVtv/YyZaSys8ibRxg5MdCvIE2Ndq1NsHEsF
3Rq3YL0rh3q4Mon5Q+VhcngZdFKALe1RaNO6PJMdWrlBqPnOZdLxsCDWKD/oST0Cl1lyO0kRgMrh
rpSafwy6TJ3m0Xq0Z73+igsLUHNcoI3YQfu3VnK/gS3PtiuCGFlnze3YB98KbbwxhJdGvT31d51T
3kylpnGAhC+6gAzNkHp2rdXuIFhWJxLnP/odQvc5JVlAQ/xC4XLcmMSDfmF6tQ+TscTPUhntFh0U
fHsQCFtZjWLvkiwW+vCXoyKzudlu/BwkuD1K3deu4ZpmT3XQTyFydf+Hi1N5M9DGDx1h5c+V7y33
3qQhJBn8z1bm1FHhF94TCWjpRotdPTI9IR/IStTRU1A8DTzkt5Y1V5vZXj8iXpgMSfomp43+N981
P17CCWZbyL/rNvu66Jp3FwTl+NHqRvjDg7iQSeZsFgT2aFVqg6zPFPcmh+LWDmu9zc+dUhXZdYPN
HqFMrg0zP/RZnEVkrpLzNQTVHeKIBnarL4ZbgK7+QXlu81FTwQFe4PwwdgiaSTEI0iggwvuq7Pu/
m8z/xuyc7xokixvOcMNjKo2zW1rBvg7aZeMg8trG9OmviWJ2N2iyCcODDlhGWiVNlBbY6AA0NFfS
6EBj991yVdhTcJgqYyYwu/mWJzBQSDJJjZu6Ho17JsgOwdhgkSXh9pPI93aZoKso7IzFq9PKzw2t
y3NC3s0uZy/4pE+ttRCqmfuIGuzFui+EZXyloOJ+hS9NsoFa4xhi0RDAlrNhGHjmJvwJtE4+2+Ni
PHmD0sjt0zelZX6IOahYfLdlS1QS0aSbgp1HJPx0TASWBIO65LlFI7HLijG5B6tNLeuajVZUkOrZ
BuromtPftLHcfUN426agX7YlPmYVp8CiVrMThCySe97ayZE2AHdOspu8qiTBncOXsbf7yITqA408
toA+V3HYxg3rX1YdhF2SvBfXfYjOLT9YCA1C0crxVBL3FLfWRQppIROCNZfXrn9ORYGMsKfflHkB
MjOxy0dAxmjA7b1ufB1ywYYJPQS4rfiRqlMR5o25iTXb2hBzibvTaUMfDh/N26Xceg2ei5JxVxC2
HtJYM6JKK+sotccN+qKG6SR1QgSUY9g18F1VJr5MAQwmNvg7Mp00mPb141wR5w76B2VQWpyBci0b
PP6I6Ga2hmjbILAnXs2amFfHqrLvAsQleyLFv+Xl8IiqxvmguQTiFJxTzN4hDA8dJLnu/aa2F8DH
tdNeay0RVa3SzCeabuCM86J4nHvYzdQyWeoW8IjSAG5uVWhDBA3V0JQVlTUSpIqmRhGFTitKqzj9
O2uNDcEyBEsg3tzOuRsuOlZRd/bjR8/Irxox2JfWDvpoaMofbH5JOhTd1pCqioSWmbzSEaljJ7Bo
DMVja0uYwvaQ7Bq7DLY2vjY23T5ATE3m11nC5LJMWbELdKe5uH78Ve9aHIcQw/ZiyubbZkEKGXSu
EeHIYNdj1MEHvZaXcl6Gi6lXUVGBX1ddu9ZM9OViyuCkAQCBQ1BZkTeONOADb7qi6/t3xXkjN7TP
pq+ek9rde0Y3XHHMXXgYGcoadYz9bNyiStvn4ofmN5Au3E6/MjpZH5qsvQFJdi5nwfRIsEyEeEHf
1TXHW8R01t7qx71ZOQbVKnmGn8kCKvWTnvmPxA1ik0jV8+wN3+Ih+VpVGeOnsm6H/tqr4sdqVER8
zGXyRdPIOx4I0iTRUUWJ5V2pwP/k19WmDYJqn7E4hoSG1JeYnEwYw7pxZdv1rcRsHGmd1KN+ILIh
zEibvmRxNbE9024Gtxn9MCtmxZIgY26XlaBBelCLHW7J7tgygr8srfhuZRNjJJ6WUFhm14aTneOh
FE7xOa8kZt00NQqAFCZOuLmycjZ4VettTNGWkJTNHorP3AApcLO9TLWkjWqTrOeoymj6mpOBTI/i
J4ecunmcBj+n0CnGI7vq7BgQfLG3g9Le1YtKzpM+uDtgvA9Li7kcK9WHwB/kTZlqxg8n7YazEql7
qi24x2a+ZKehipcdcUztg10uWKla85kzvLzOSpsDfqJ/UCoZo7GrkiuLil00oGC/pmRsbxuFo9yq
iBGXwNl3o2dru56uxqZNEzYAJZqv0rI3CbrBsAA3TqBCv4KrF432FpRJG5iQW0tra4o8/uAiE8ag
sXz1C8rwhekh2s15YmxqyXvChwhW+IhDG9niNF6Q37Gt6ARC1Cz4Eug6QXm+h+6zEIhya6dkG9Sq
zZTx13fBRDmRQxZAcoZrMe0whGCtJdeCHorciYr8XvaNR68oUWrnxbhbDR5bZnPg+oVTbnMyxCXG
aw5T/t0gNXvPUZiKizXLz2MWgEqPbT27ZqlmFZo4LVyWLjjjP/PDGnf8xiTtiyCTItIoeYeVYTZn
b+l0Yqrz9NBlJAu0LYkhKAn1c581/amrrB+NGq5hHBFixNnCVOnFYHbfEgZW3MiW11itsPsgM7dG
nk+RhqosdKu032Touc+TLW9SE3FjVhXXies9VX7Q7dlfNzg2Gf7dPO9KQ9+DRhzhljucZfB+74aM
joKGcBPhY/9dVTVKwv56oX4ftktMhdtCE0woAP2MMioInQ2nXnB7xNq6VhehLWZWdvT4gM8LPXhW
O2xaltPElxoNq+FMH3rmSIz6EJnGr6Mnv6aeA+6kuZlRXh/TbjE3HCHPTNFPmKfKHXFgW45ajGSq
/FE/dlPI16BfYLCZe3+eKKMoFl1qvqi2jbtFakdfDls1ulnUNEYZcNBR5cfG1iibTNPk70xqzMyd
dybhatzR2G+zl2AXf4qSluNgr+mYaMgxpiKwMeJ0OgnoS7D7y69lXwW3MtF4kb4D1a4RGxSH6hFF
xQ0Mqh5foWFurE7fQZXyQpuEBIxflaMRZ+4tIQcc+VDE4rtvNJdOmefMd58tw6Qq/twbBXEk/o92
XMiz8NNlCzqIVLUi2DSyjAxZy41qxh91DzMh17IvotHEtllL/12tRZlJpkWufGolilTBTVlSCxCG
YtsiY6yO8qYVTNBRN7TujMzX9j4Q82ueNPb0NbJaUFrTyKF8bJaW/4mVHMF7gf6zbrZlN5ftRvQe
fX33XBfGudWdiDBIejdzlg87qjgocPKBsAdleA0r9NIMV3SUgdh2Zh6EWCTaY5o3NECY1f6HvfPq
kRtL0/RfGez1UuChJzC7FxEMH5mR3t0QKSlFb86h56/fhyqrqqmu7cHMxS66LxoQVKkMQx5+32vb
Fdyhsmk1oxEJTS8TefugWU7RbAsPtedWadmg1iYUGz2P7AgTx4fRJdvU8oU0VjSMT3ZYgzlQDq6f
Oywwn5uMHsH2HAq/AbH4iW7+r8brdx/V9Xvx0fz78g9/YbjgnIvb//3jH5uf/hx9VAv6/cMfNmWb
tNNt96Gmu4+GwqFfDDvLf/l/+5c/A+d/h8TjS4T9/2vHEmxXG/9b8J79EYz/6Qd/BuN95xMcMaYk
nP1g68YSHvAzGE/C0KfFE487aTHCgcr/5lryP+lkbi2WeYQjNjF5v4HxNkW2CCF+raQV/4xrCSXR
D1i8hdoe4Q6SwCUfB4XFH13ilu/VjTO6xnnWbSuadzQnTG0YVAYt10DsNLn4m7rgLF/1np3KFRzC
/KpRQyjWRiL2DazROYRI2ExSK7ZYaSvKNOfmqorKfazM7uhJvBJW7junqiu1eyjZmhaHSDu1iSdW
mA2c+96rx8eUFhvoYqCdnahlRRV2KvHWUHjHvye2BjaMks0xNHepJIOV1w14Ykd76hqvHLNQR+x/
9SqW4e0wy8vYVAGCVJ11pBZ72QDg4blGw507R2GFQdhlfhBH8mtniyHoUrTphICma2WW01WoIpw5
rR6Mvf4l1thpMXbRpEXK33bS53lnV2x9Jc1L9DCUz1RVp5umzpIADmKTj+qissnaQNe372RJm9vc
LTyeHiiJzcLh9xf0vPFJWUFbev5+arrkDqyxCgqBzbbODH9N43e4GljfSN9LL2ry9bVk8d+gJBSr
DrfbytLJmkOkbQZRotmrYWlv7au8OWaJexULP1y033e+XgwbkhZ3ftHt8XhQX0+lw2ry4YQt7F48
mHQKVFOx5tn2ZLc9RePt8ibqrA3azgyDfOqitbI1Z4Nb4XPR+AFAWnGsS5GcapVMMBTE3s/uFk9X
vQWWLYMuc9j+aE8mKMTZ+6B67VTpay8zAIHoInnCRF6tiAixN01Veyuz41FLRwEICDVAB6Niz2ch
nw+N8PrAdUn6aEZhbw1OvqAZdYtSHzA024t2Y0e3lDQZtXyRvoEzWifJmILOguXENmXQNWoAE4l2
sdkh1pc1mSU5joRUPlSN8+SN8zk1BpcSScfaaiVJzkKf4x2tR+8ziq0U3foupaeXUq5haS1KtaM0
/A9r1tKghfUIuCZIQhpXzsAl4amIhLCUiqYom9YGFM46i1ooEzGv6R3UqY+yD9JIxdtkzWKdqeY0
atnnebJGvL9evUmTdNrbZVSsZyIcV1rOtZCUqQzcqIY4nylXsrCCrYHrZZAJ9ULdaAE+TS8IZn4e
XmgxdsLjG6xM39o6KXUEQLmPynCiK9p9iq3pfY78Rke3RUeQXTvaA0Q+cDAaAytw8yS5K3pgdHT2
1Ddm8bSrE1896CUzLC7K7G7mWRI0zXzVtCrfeikafYPqze2cdUUATOFuSvoKVq2h6TeJo0AiyRbY
IMiLF2rC4CFpYuZwU+cgDJq2MI/0e8OIDq3dG6eGZsBAM+L6EWkEnyLh6oEBob52In8AGSnYK2yS
wxs71R8h//RVqwmHO1fOWwIT3LXfzWKl5qy8z0DtbsK604+ibQZ7hZY0RnZFIgZcIhTB2MKuMTRn
G3MiAomX2p1dqs34D7Vzib5ix/R4rVnZ56QHuE/LZaOQbrTqvF4L3JnPs54be+/GOWO7qX8bwxjJ
KZLLI4IcJI9Oe8+QciAX3yEWBKuGpew7J0zlZtDNitGZBX9GoxtYFoyMIf0vXZvfJfj8QtHd5B2M
i454cTcl2gexnNM2V3gdWvecDPz3DXHeg0O1VWmVJUyFpkARmjqYwr5ZQS56hPwn77KKWNK8+b6p
DGxEi0Y1z1xtNXhduxakvlMfUxmBKiWXVOSoq8lwt11hvPvSBM9P0qW0qbHvQ4PWtsL1N8tmAr2b
IhaSH32TDwxTU8gKkpo7PRfiGHo51q3c6DdEczeYBbM6GPzC28fsM1VuvDlOc6YvGQ7IHp+8AQcN
/F27xpblHIBFywcah56xow5BXbsfTjxQfxYm7XqI8gdDdCfXatV17RnHhK6NlV1V+RVhCius2jd5
HJZBaMbeOpTym4KWCRIf/Nqeu2pHAFcShPaUbiQs3nnpKoAnUx4dUqG/z1OoIjN+8/H7P0zWtK9o
PzzNDmlVPYF429bL+2D0+I3lPD/I3kpuYB+A4HgIjVpIu8ngcz+LKN+qzsY0VNj3dYZ6wmllcppk
c0CCVAP1mtoqalke8pjHS1xI5xXD/Qu92d3enQAROkq/Ynq2th3c5W4sR20LbGyv3aL3sTD1N3pE
PZW0rOWFwzVQLLxubQOwNLyrQEk2AEBbipYJAHFY9EWsPcMNpCupjV/NBDzEzLvu4KEf5qxJFAr0
0KG3CD4PDGsgU4RTbvA0m3XQKzChGeYumU17GwEusxfUJvnotdhFbvo89Il9mDXvYWqbU5OByNda
9M3U6IbLyzzcai6J61btiC26PG8jaAM/ejUCrQoUkaG7CrfKUVUAujCb5efcacr2Ec9LCJCOSgvx
2H4EC7XqNcZqrxqe2rAvwPBTKrVSJIZcfYUHuqh8iCI3NrLlJgNIsBtzL42KOG8cWyiEHs1uKE12
m2lSjRdtbFo4iWQDxqR1OoOmD+070ypcR2FcHMu5PFLu0Lj+OqUEjK20THP0VPj3ajUrdfV9Zvyv
Hpyvki+qaqpv7Y+j8vfx97c5+v+l8ZoN9m+ELg1To0p+1Ll8/6HfdC66j7ECIxNCFgTKv4hc7E8u
ISY/Ofp/zQHQPzlQLYzTRDMaOivjrxO16TBsI5cmE4sjD6Wx9c9M1PYfc3xQpTJLW/piJ8HzZP/R
uqLIqZedjDAd2zpnfJ5HTt+u6FWk2b52rP5VjwoXj7Bd3SWEll8vgpSV9PDarku/SzfCXWrRad+d
NsoYs0vstVytjoYJ0nfVbvQT89iWnYDFTxhnbA/p+6oKfQuMBW/3ljLv+NTnQ3XWI5Q4q8rIz3Ws
shu3Mr1dofvxLnQZCa0sBxqPCo1OMUa23ZzE6oDyxrnqmgXJoIJBw7CJtJSyCc84uWM1vGWFM2XB
iCN1bcZdT4HlAsyVFacPh9KADXsYOcfpjp6rd1g3ihcyMzRXqBda8FlEmwNKm20Wjs5lCEduR+H4
pJ3FYaUfoJWsfUbr3ZehUvKby+hxMXnyHqqwUB/RaIRyHTPP3yRx3dG2Z6o7q7GGY5q5OvrOLJ2K
tZkaH6nOuEmN/byCzDehKXBeX0d6GZ0oitS+lA5NBitRVygUmVcPUyJfeh7Hd+mwuJFjr3+M67a9
9/12BMHXZvV5sXm/sHRnPlMMkK7jRGkHU+zjMPBKPCAoeVeGniiyFv3MBRgX6l0iYe3WhjU8E4ED
aNOV+ec8adu9Pyct5a5J8mXWu/yc6OqizZF9zFRbHxWVQ6c6zIkDsl1qfkev4QkNrB+v9KkzFN9n
lL1AKsFX8yl1/GtEODEcm/lpEvSfq6pweKOjD4Ylwu4sElvbp7Ye70YZ5g8YuOLnrE1igiXLmv6L
aayqDZHENDtj4aCEFOk6+fkJ1x6KEKu76ixqLcgM1k3OUEEAQzwvnrMIDcx6aMo4yGeTkQ/T+/At
gX8HmR0Xj0OZoxOt07hkELTHlQXafo5UNQf2TJOqwQPmqqZn92xoCF/XWTFA+0JbAwPZVR09he5s
OCu/i6zPchzY7cDKgNVziIYKF/YSEIWkFEwVmNMrxTVmXf82CifqCGkvqWOaGeOpDxxl0x3o919K
18wOuoKdpWBXi4O+6SaosHg80QhFCWXK/vnI9B6+aIUTaUeELzLd0HEovkKzN90q1ofurp8HMMZ+
ysRr6+chmGkpu1vRlfJNoT5e+/Ug3jO4VBDhqZ3uGsy/3t4C+25WyvOJvjWmZuUX5kgbWxvHyaoL
hflk9np8kkRAfAZPJ3NRoNSM1nRAk5Eeld5b6uruFR22k35Axew/zIgAoMbRciE5QwqQU3nZVFsv
Lot3tLb+I8qaz5o+1IFTK/NKdM70wQKKgqwRoio3oReWL2kEgkcdZQpwBeWsXlsXBmWFLKym16hq
A3hjJG0tCfTn2BihhFp1yyjvs3Ml3M+AXGTqEg+58RCCr0GkHQI5lmByq04CC4HJZibf+Uh3vXu0
9YaYBTNGNaAQjuyqruNEg2mkHdEnXbnPreTO6KnRrBI9GwPNb0NrY7lKfzWIsUNsxmHaG3o9rf2y
SNKd29b5IZpMeQ3XjOCcPKH2TnmJxQfrFulzlqSSImrRmgjv5rA7hNGIqsPThvqtdye2cQtnx552
+ogZUZ+ai9Uo7Utlu2hpGpH2N5OcNA6XOfZXlZb6ComR1ZOoHcs3Z5iGD5nHw+tkleLKbJKw2LRD
400Et04sNn5oyks8+WEWeEZNuXA8EMRqaIPB4F3fRxnDOvmpAzoKRaobDm82OPdo1VMb9IQm3vpx
kwd9lIQHdqxoUwlL7ka9eIhKu9ux1aLoxwwENagwcRMUMJVognpngztz/jpj4i82vXAkQYRdgRwk
7hk6dS+9jLrI++5Ec4ZDbC8BxXXyPGsR9MHkWmWmv3hThowEHtQUbfvSIbRML+EY0l3sp85FpIQo
zCJXd06R63eOcKMbjsURe2Y2H/poeAIGLu8khp67TjShsdKTNHwasKu+mIjR4WHdEsAYkf+TVzoL
0E6a2R1N6eWN3o3FDTE17PtRYa/bJLPwT7CcQmGhMEC+xrHN0249FlNyDQzSwfW7MgVPLorr1Nd5
uU5G8GiTw3E0WCO41X04XaEa50xGh3NB/WZcUdgeQpLMbXhveco50Io7UHAKJ7eKe8Bnc9amS6lF
XbGj4LfC/cCO41d1fY+gyz1EvPEv6F7mw0BB8Y7ptNuOoZzfMjL4yCiXGj15Ip9AYyn2RQlERVNL
pHoGvdoHXSLmk9HONNomJJoXQ3oj845cBWmYlxAEx+KQzcK7YQ4XUZCBZqmK6LKfLZd7ratuIubc
3fJ5PlAZK85+OtOIZmkuuJjSLlnGkrExjAHlqj/HX8OWhJFkhPxYKTmSNmTr7XScEH3dGpkadv7k
+4dedM2TCqviphd2v+d+ctgsu4rK8tpFptMMESkLtGrpAdrYGLLI9OXtYOoFCsXU9NfAjGIT24m+
T2VuXSBywqvZ9cdDw4MRrTzhWqXvfdGrxP8iGtOgupeq25cExvxNH8Ls0FRavcPSpXnohDhquPxi
HtJWbtrrpb1sm/RpdoPQaHirQYSCjNTYV4Z872JMJXdevByaeL2NZDfTNzNvlDKM6r6c/BeCVQi3
6GNygQkxkJ1Y66VnxGy2g/+aaGF2j7+pkTeOapJmD/AqUR85TmaT4CKkfjYc6FK0GaLUJQttnNSL
HJZPvjLm6V7JKKByw5u2Zuy429p33HVMEke4TqPhdhYGEkOQkqbYd60Wv9i1aSfvhsMtviZDRbc3
akA4iurFWVD+KyHGsUdGGGWJ3h25ZA2F6KovSRp6l+H8ytg7PqOKLL+k/Wg8+UhuH4SM6iPw6IMs
3WlTmLI4uCCea7frcaNU452Tz68cgN+sJH5PW+fV7YbuM2kGTBCAEkQM2d2rS0z13nG9/EaKfEN5
r3bmy8HtoWhTL/HcfDNnuy9XbS0zaCLELoRPdEm+V9XU3pr2AOCFUiaWq1qh+XnwnE5tCuK7b+OZ
eQd512AX2n8P7fD/3fZkIvhHNP/X5MT9otz/t/W7qvKk/MEr8POP/rxDud4nqiJYfQihXKIMftui
PPOTCXOBZQ+73U9/87NTwLQ/wUksbTcmwOoPTgHTgNHwSHPEUL8EDFv/3Crls5T9YPSj3Qb2A2eh
x+vAffAHo0CXGHQkp8mSpu+KAcl0Zg5riDsanktZb53SIBikjFLvlqWI0B4Dx/f14KAJ6/PYg2Y3
O/GQhon57DTxdFM5RnmPwSl8IwJyvEH+PdR7d5jtPTMSFjkSbu1TovVQBxk+Ncx8GTXzrTamYGoc
DObZy7X4OhMVEpccrfyxm2UuEcYnEc8TdOlgQACp5Kn2KfKVoiPCx/Una5vhx77EIh1vsji0UHKN
vbbRJXZgFXJ+Qf/ZZRpo9IfHh35sQIqqybkyNBXWpJ+E5qHDWH0cZs88+GNCAuyYSxbJghcVyCJs
P/gtzAIKFYxYE2ffQHfUMon5h/Np8z0VbAxLR6Gwb/ETsKXZ+wSpsLsxSdL6lvCF76miH2+c0mbY
EHMSfp0dWxLDLYbmma0Jt1/IK3smjqd5Lgc9u/MzsqnCMYkvQxeWD3XjVZe2gXk8jXKM7ABPAs3p
YexSRZQXuaAoW0hURuQ8ebewotNGOjUfZCpChljdTIDReIC6aIPmGq+0592EeUV++zgrXQSIRq0y
oEK72rpe0YDquQToFfUFxt6/sRuepmfoT3vf8PltewyoZ9SIcjfH8XCOO9/YjnGP6Suxy+peCOnd
ahZXCxh3sQb2s/eFAHYvQiUewiqzDhjazaOW45hDFV1dMiV77X62imnjuKk4WowtaKqyzgpwvNnN
ftYKZMWdMLfsPvLzMBfyVXWV8Vzrk4W3cYYMWaNExo2vFd4GcrF1UMFO/u1YRzHglOXfG/ClaPXn
Mdr4o0I0ZffmmxGODfKwXLONoEUx+o4QzFujxvfPdU1/7Lab9OhojWmZ7ENXtvOBmc2YdknYaWcj
1PphPRhusTFx2qHea0w/bVlTMxtomNr3O5dgxewcm6N/U3ukUzEtOc5jKSbrKgaQH9j0cywRCI7S
iqh1R6jZ3EVsInBM5IsM9bTS+CDUfrKTynuVPXWKWktuH4pzxwz5frShX+FV6uSwgQj1thHOVaPb
hxVK7GPrANIfcimn5NmoGx+LAP9bLB+G/gLOoN1PiM7WRhZeuUXRn5K+bZ5jWVyHvhmdUYExUqS2
ljLfGjg6Le0YFbqL48PI9Ue80cmWOlB2ZyJUkfRN2VZ3+GNromiRM+Nq0hoITP24umrSmHbIur1L
OxGTC1ezfrqpIVA3cQ09OQ6iwz23t4YK1Qx3lQIPJHLMLOq17ok6YPdliM/GaKu1RhN9tUtew37C
Bdit+s7ogol4ghP5cumh6nSUp36Jy9Q7t2nDkE9AHqRmNR7xFncbd0wIl2M/RJ807igg1r7CrW0k
yPiaOWA3eoDwU2KI1VS37nUzjfftTOk91oMdeJH9JBS1hWhXQSmmrroMnn6HvcFY9Wrma2v8OIgs
GKs+Rybg1U60Dctm3aR2edLLuvlIJ/dan43wVapsAIeV+X1JkMclxdVMswQSLStvEBV3pPVKAuxW
QwJXZDnzdSK9aYcgs13TEJlvmWUFEDk/JTIytBKlqjrIvPm1QvGzyO4u6G2v2iEL0XPF/TozK7Uj
h0ttU0fTr5QKh4vTIBpKmuqzz2m7Q7fhbZJwCrcw9OkadJwFAcEQ+dVQQ3nfs7MViTihiuhXHSlf
VWI0lAtA/2TuVAasDQhB2ko9D6kc9noRtY9pp+j4IV9xF6nxGwqQfDfF6bRp1SAeemGEbyiStQJf
BPFFTkpCHmptQz90TjVQ1FdYJAMT8rL1fbVYQ8l435GEaB29UMvXo6a5t10dYxaYeTSlRUPiBHWt
XBXO7CKEkiU9tdmcpBtPJu0dw2j45FOyQMojRQvApPE1Qj35GfV8laF4TbKXGvXzVnTU2YSJ4W2L
pvV31dzXr/UQ6s++iuh97Qn9qrCLXTPuVpAQtDMXZuHdmvzFFaS/dgEOf3IjWehr4bPE4GFyrpUR
0tbejW0mjvaYRmc/K6haYu2U67xNMNRlhllBiVP/GlhDAVrTWhVpi8K8JtQNOU0RjwqF2RLZU4Ue
XKqboaKJ8kDVUQcT0WlPba03z1xxJe6ebqhPOlAe3Fh1O86tfm2SDRl49I6SAcllYA1bfTQaPBUx
OWWwhqu+sTTcZG76YTZW8dEVhEY6sbmEPrYhZJ+ynOlYghITzDdJO3BwaD1W4JV3sZ95X0eviza1
L72zDI03ze++JUkZvYDSIXieSh3/kf1YWrZ2xT1FnayZ9atecM7NkwwfI2XtRjN9C50OJbe0d3OF
6ngOqVwxk+ll6iefoD1oNdcFA2SzX/WmfsjiMdsoYdQfBK/1qyzVKmo4zXTfG11ZoVBGMTA7objJ
G0dtsmbIbkvhXJdRW56LWXWbojV0xJUsYpBhMWv7phHFfL2oNRBoNF+7NH5AncgoxXwBZyNWA6Vf
exftbGCHOhZxhD/tMbPlMsygMG0t1RDwpiEjIGrp3ciyB81wqsAkm+QtNjDCsV65H0qou64X30LI
V0/h9vA197XMhR5Iu012Y6a7R38K53OtI5R3TflaRTN+R787DmUWcnbW9aYvJThI1Jt0JUzFwezr
g7149VNHPCbDlGFekeT0JZBF7Or+zkBkjQaLiLyeToGqHe+tOW7IxCTxJu9hp+J0/toyf65bs6vu
Q2/scRvMfNZhYU6IFsp+YyPMW01lU2zp6y1WSvO+hJHxwrYUvurSNi8mFoJ14dm3YERcV/aXwigw
6M1dA3qY1Ke6JL6ok8aHWwxr5oKvjZehZ+t4SWtRNsPeq0PgC6u2COTHfNB7TrxjYnHvBOAdHvMh
3epMjxeSPcMb1uuj4ktH9rejme06nnAIYiTgEhVeFEzE6QVKpOLarNPHMaudu5BMvR0cld2tXGyg
d13cVWs8VisXmMd2ogoRyOidNdk49AbNT22asM6TKCjKS+W2lL0P/om6D0StEYwYZvBY0y+EdV7m
HPw2bps15s5VWhdvKieqYW7Gh6HpbmrRXlp8ZkxrUO3OPHHfh+N6mrqMGRA5yJRym9seIEtgm4mN
cBpX8blMPe/sFLLExYhlbXJJStfQgN8Yqsx+6mX4F232d6o0EmpQcP314nf98Vm9N9kPKx/9K8sP
/aJIsz+xA35vdv41LPv3ijSbsD7Hw+29+Lx/pc9MODKydzyHQ5Msqt/HaOv/DF2G8/DHHW/pXWCb
tLjZ9CWpjJXxhzyV3Ow04LW4P3N8+30MXwRyA1trWjKdyjORttZUF/hmAebi7xhdtsB19gLcNQuE
lxceaF7Jy7/i/nEuxgL2jd9xv3aBAI3vaKBhKuxnc9K9WAtYqL7jhv0CIfqtl1wbC6yYfUcYF/nG
piYya433zrxuFyiSmAq51XuvAOvUy5t2gSz97+glIc7ZE17j4bhEQ3arcQE6dTkQa6zHGmkk5Dbc
sYwWd0jBnpCgIWsiUxl7AMCpI+35DjxW3S05pVsmcxDKsB032mByVNf+jKjdzDCnixHhj4XFNslk
/tBh3Xt33ULumYpCvMMzuRVS1s0NgWnxsyyyblrrFV2OZtQbWz92xb1ry/jOHp100+tWH600ND1n
FQ3G2ZPNYwExFa0EsZSYx3qCbHSznh/KllteF+PnbBx5WJh9hg9R65MzWjw4yZJd8I047YEple/w
Mc/S4tob+pgBOJ6PqiC2YBVT6xDkvecuMRn4g9JQS24Mv0n3Wh5dkJ+nW7z2GZZyGzEvgXZ7faiG
8xiX3bnURIK/sSDXtiWx935aoNYMAoRq98y4ePhm9pMhyytX6sPZasppT8OK+Z5aZnXEAdbe07OS
jyjgtWxTGjU2QxVjRC9qaC0iNnTOSlcLiPcsb7VWN+/byWpfiUfIv01Goz8YPaIRJvryggpGuzYT
l8RTUGY+K2gIOZb+jWy84sVUSb8VXl0GJU/pDc89sp10W8PVrkbYo6a5iLYm5mZsx7Vv9olcpVw4
0crXfP8Ljmg4M6kEeJyGFIKJESPRxnLK+BZRlw7568sWqUZBg71eob0nWgy/kPXeG713+p5zSbJD
fW0pEa27Ukd8bcwENTfRuB2F5o+bnubFcz0TvpJHtbfXeyf/SAFObvSagz/JovmS2Wldr1I71L5g
HkH8EUasmCs5OLhU0UF0Jx7PLudXHB+TTOUrEJM0WJJCXvBt6M9qTMezAyiwia2mu0rcGs6vqmV/
q7RofpWsUzaCtno81TyPHnwrsy+etCCD6mjX9y4sod60MECxsclss51WXY90jGuydCEEJYEqMWnW
gdPQ4gAiXWqwzZ4THnDEhAfK4RQjRdrkK+zRrCchIES3clRYPHGM1DdTmc/7MpL6BkrLBgGp9Ss3
FuWw6/oarBRCa6NIWLgUURFdVGwZgSMd8y2HOyQLCQvUcwOWEa0YHqd74GEzWtclUsI5FfHedsIC
MAhUlz4ddwjXvSbtflvWk07As4lfW7PLrLjW8M48uQLwCmSmAtyxpAw5SZJ6Duai+spYpXurzinG
K3N2ma2TzE4ysrp77Snqm8bfpMJG/Zpr0UiWnUihG9JSgm2AHuPjRRR7y94rnlUTlt0aEb+q5TZ3
KqQIV0B6HmvlyowQixpb1ddR4VMrNznQ8KPeNfp9iLtgch4jt2ANbheGH8s7otPyONfIL+d16+Ey
rwOrN7LhXqVj5H2xoiyMeei7uT7YjwVhMDSZeDU2sC313m36dXLrWmQ7jOlK8eDi4favOeDv5gBT
N3k6/6M5oH//+uMU8NOP/DwFCIH4nPmYkk2GA+Qqv4XEiCU58JdUGABd3TUJEjWspRtoka+zby6p
MMDAuk5nDhekxYSxjAS/qPFvfgprQ8j/lz2cwlhy034X6kZ/OkkajkEkDDGG1AwsMXNf3u9YvJr/
9T/E/4xba+wpfjKv3LBxn6bBsg+TKTQIqznXGY8LKTGPVEeHVVXgEJKYeGe8xQSY5bvOaOSZLacz
Xmg9yK4rZALw6fikSeGoJcdGp6wJlt3qX9qsUEEbTZwnNeGZa7/3eBzWbYo5xYnLftcNk7jrzKZ6
Lfuwv8zKZ/r1tHLocG8ol5QW5InbBP/s3lUpFg+V9YzoMLc7hwizalXHPNDWUUQWVKBNJjH20+TS
pjx6Q7QHep67gAB7/XPa5cjbsZhlX6WryUsS2X2BBacYL2FYNTh6UBDrQVEXEzApa797qCZlzfCv
3VjvuFf5W7PBQ30k4XW6kbEtpwNZ//jOi2IataPHCySDLwScXHEjF+at4dXVrW+l0d2cZv1FIuGs
U+T9AWmGXrRGyo+oh/7RfeHnpVynVjVH8IfteMN0w1quWWps6yszMx7bGuhpRt8Z6lUr96Gwk25X
hEZkujuP4y7auoo4WGT0yJDZqrPSG69NQtXpjGw50Q5WI6ouAy6R2ObZ870SOW4C0plz2Na5RSR7
n5FEp0xHgFLZCQj0dYb60iesPk+Uv6orTLZbjj0PYa6JdikipyFOw0soJm3bh5VohrXdkPPLh9n1
bnumiaAH+5K641Z7vRlEeDIU7rpAWk2/XDguVakjmW5bYH/08giehrw/tm3X1fq1mIq0NQnKaZoe
hBfZp0HY0EsUxoYxv3K4TqX62g6yLdCmUkGQh7f/OvC+m3r+5sAjcXGpqvzrA+85ab4Q0p/80CD0
80/9Ihh0PsEjUSkMHv+L4eYXzaDxyWMyJC3TIgVrIbx+OwLdT6gCDXJc+ZulEJyX8fMRaBkEY5l4
q214MNiSf045uBxwvx2AOHF8eDNTN7hK8Qn9qYPLEHqcdXbsnL5n26kChop+U7WHdidjrlUUcPzu
A/r5DP7r3p+ffiHiSZ0TB5Wi8z1h93cnLkGSRo005XuzHur+niBcUBs4oNyT+2hqxN80HPKA+tMb
JKmZz4s0MXpS/8DmsdzMjU/u/cmtYuedTGCwjsU+0dgEtf/jt/ZjQuj3t8ZXzXcNEUnR4R+XSkU2
a9RlwjqhKiM40E3V3m5n2DjHiEjcnmf/yc3AWhSc190//tX/wbvkSrK5Gjyd+oDvqc6/+1QJdu2J
mlDWqSHq8VB6+B1XDH8ktvTR38bwCvHnz5QrUGC2degjJiP3x6fmiF6kgCuwTkPl8IvcWun9akh1
Mnj71iXMvzTTOj6SDESSISbsvnmxREUUIPkQ2lo3Sv9vYrn//PapAvGgkz3hOq5lLN/M794+wzBa
LGKMTgS88HZ9hscdaaP833/udzGU2CbRmUthwh8uqCiFxIkhzk4m5/h1Z2nEobXFiP/YqF//8be6
fI4/3pwQ5GSb2MAjxJr/MYI4oQZCc6rOOgFDfGsMBvHOKLS/yTn+jz47DiHh+/wyTqk/fJl6n1pu
a+TWiZw4cia8nkRrD450LeYMWuEfv6NFMPCnt4TvTxBnC1X9p451vDWin+H7TkTDUYlkYmA/iVBr
nFWOk+TVk5n9Do7OTZqQmT1h3DlE2O8Of/My/nwFOzox3jDM3KrLJPnjBRMasCuhk1knFMLG0cxK
gRo69L1zrTVcodKn6CnLDEVUxNyR7Pv95v0/7J3ZctxG1nVf5X8BOJCJxHRbcxXnEgdRNwhKlJCY
5/Hp/wXKDouyW/r6vvvGDreoYmHIPHnO3mvbJTOU/wNV/N/uwFIUK3+503TC3v8yCTbFMUtwkTV9
MJ7xaOKlXtjJClHL9tdf/N8+CowwhbPL1iJ/fqKIGaiL2q2siwjhLGCaJVyIwoel3nO4E7/+sPd7
i03ihzJ900WfSFrFPx/fUrcFE9YSUSsk33kFML18zsk4fJ4Hj4CpfGJ1+PUnivdL8PKRKO2Xnp7D
00z74ad6vkxmJan5/ZO5pB5Q2zEkbOoGNdIAgTdqANsy35qJafNieR+FvFIZDvcLTFgwab3IYaC3
0MvfVpBWJYubaCbnCkWBAZg3EsXvLpL9Fp7x91tOYILDSGgRr/gm2ha2xve3n/o0hp1nKSDtZrbD
CDjvisjBgiOapINhTE0dgj+Ia8z6dNcmZyv4y+7q2iCUaiIwpmH+EHAjA5uQptnK2tcRlR0qZj3z
Xkly/PTGrGOkGthOcWOJkC4OFm8y55ZAAZjt7esbRttFHFZvmliCtpVx9dz2bnHhhQrBSMwFfBO7
34ZRCvnesaT/CDSYDD3tB5U4iMbmr25chkSbzNfY/NM6QoMfdpHl7Knq+QyPK/2miakqTni0/JTU
K+Qq4rrR+Ijw5YryeWKKMO+NYPad07AkpkGn4Ow01QJ+b8IA4TWJIeu7Ja21Uyai6Sxobd5iCYBa
O5dJGH0Sk88tI3vKWVRjHm3Rt2ybvE2clwR5D77IBe07ocB7bUS57NB9b79w4JFfyjmQBzx31bl2
2owoFxyLbhQqdD4kHuN59eEvrsUkxL1hYYRXIwMIFSS4FkbFFQ2i4HFSKAIDy2pe66b1NkYhBYBl
yfUhDMw9N004P8oeUUbpK+4Txb7/KOh1viZZKMnIsFqUxw0K7bU31f5jh6V9CTyDHfY9jzGLYQ2/
pfqpDjzo9x01Z6feYatOMSVk8IQOIRa/FF21y5OtNIb9VZYjwTzppTAxYpdsvyqDoB9LMNMof8Zt
ahpLoBtzNkhm6Iw3iWXaL66TcDWnOC4xlRYekt/eDFxYJct6SbRc1ewb1ZNtIJmXVmsc6Xgv65Z9
0QF1mvIEh8TpvQUSaCMDlTzZGUDjoMCkvXEntSQoJAFMZZFbPMt9bPiPjQktCU1Bh7vR4CxbiiUM
saUJN+6Ak1F0tDlSsHVphTOaz3QO1yKCeo0Cx35xFuHNikBnsE9QmQmjtmZ5mIF3A3YBBv0p7/v8
3puj6QpBU7qpmrEQK5qKwtvBsKhPUVr0xzCd+JgmJV+LcXbRbcwmcO7TdMbmxiyDE6Jrx9M1qTnm
RaZ0Ua5AnmCcxQm2Hm1Drad8nu4TKEDbrmAceUpMkIeLJ4xptdnkdy3iJZAdQZd9Ley6/eYpqOPE
0nTX/lt01jTGtAA4/pbQgKAfYeHE+4z5dCo/Okhfml1jT86XcXbFpllSu4rGhLVpWp4LzqdDDE+n
DthL0RXXPkoPRGy4az6FFs5tt+A4PTlgGSvysi7E1LrwIZvBeS6jrN3Ru5w/OeFQnPCohSRyDWr+
BIkt2RLlOa8b0XMbvcBGOZEM+ScgGG67yfuF/23W7n4pRpuVO1aLiaTOjC2MT4bZFC+QJCSwLI0c
JCcB99wljYHQsyqPMdEHu8nupq9BWAxbbUTGHY7x7GOU9AqnJs5Uhvt0JCpgQG5Sv7gtAiePCMJN
IDN8vn0tdhlJbXHtGddq1CbLvxWA38AXocXGcckPa9dJ5WOfWhGm6IXFcufL4ZJK1ztIa8mDI8Nm
WKm3lDjoAQHSKqLjvCVEDuaZ3sxLsJxcIubKxKnKdZ83OwzG05rAlC9ggouPfhoBafHFuGsMfMSo
Wc29H7TZHbsSCXbg3fWloyr6H6HJHXVDGV+SqIgMve1KxvCQ19YGsQfty1tMjyFjXolmyTDcgraU
8QWwHApsaY1tBRqf1TCsTRakYvbFPZgAHlkTi/hj7XboubxutM0tsAKgpG1Rmf0qcwMg7hKu5HMg
1HgL8ctYu1NaH9rGZz/2OjtgTCtVcfEdvM4gpmz2SdSyBLEaL5PigtV25BzVNDElnNPP4r4vFa9+
RyvooEb0dAdbJMhCSh7bdeEi31kl2DPRTlch9ZzulpC4Qha887phEmzH+NC/TWWvVg39kmCbui0A
v1gNXzMPj/vaTgz7yXcC/1hrvzmkxYR6LR/DqAN/FevPTd++xCUcYVtFIQ2lieXjIzBbsPXo+grr
gPbau4a1EK2dNEq2OHyrQ2w4M7SovHyYEfxj1HfV8NDbdXZ2wvIbQMuPo1TiJlkwUKyrS06TjyZC
daV8DWHfvM5RNHwIO5c7xxuPyRevs79S2FYJxNRRghEkbdwTQhDAEOOQlhmzJtbxddI14XBo/dG8
UFUxXVU0i84OGhv08ozRIAZxF+I1xY4PlxF/6BZBf3o11rW6QaiY3jBt6M5Z5FUYr0TzRfVGui3a
2fpc+E5/gboNM7gdyMhZNR7ovgRh+2roMP2BbElZLvwAiEDmqROcy89BaQwfhjZMcBR1qJ/oCH5K
BicBwZBqYqljsAurionata+mCGsAGlTDH+BB6D5sXmSEliZzLSKeUA1cCMc0CASD1FbvBUveDndv
h48ZYjfuETxt406nuXXvJGWJic+aP5SRDi7NqQMIp80C3EY4PINhqbqt2TQqOsF8H+21V5hwGr1g
8JJrZzSHcu/rrjlwyjUuY3cuHjDCAS4wQALkK2m4ZnLoeHiuaZWV30RfNVcdaIs9NM/pIo+bDPMS
4boNTV2OFyQ3VHscCAC9SioLYx32bn8Xyh6mfR4HdslzmdbPydjiKpxSGxioZBm1zAlqHLTefNjI
DNTgOgUPeNW60wwOjpaxh0nJBUvF6vu1kE4X7HzCJXZhGaqjUpXcWqkzH5rOjc7EAlQPnZiaRw9W
/5Y8zIQxywj5DEwPogutkbTNsbuxSsi4a0Fu36uZtexDrTn1aySXUbpRXKrbHl7ansmTW69t+Hc3
uFDHB7MejCs7aq0QC09l7TymhBiwytzeVY1rD+tCRqCoOp7db0Gqx6fSs9ovoDbd18Fp8XebpdMh
1kuFDW+vSBnZBoSCfEPhWEWbmrRUzORt+c3WY3jbxJnFLhc17ckaRpIAigLRlYagOq0wV6EIZne+
MdCqbKXpBO3GD6nZQxJXYQnrArO53anWu0g61EeGcvuP2pmKjvjiOb4x8ZGaq4A52E3upzBicjka
d9qwuGspDSR1yMoBJuzjqKsxUN9PsP8b/vymFyqX5JsfTmP/CAm4/jr8v8NLVqJ5rr++M1B//8m/
xP9vnmiaVUx/JMfTP3uhrvyDsy8HcdPjAPeeS4R2hEGN7bMzoyGha/BjL5Q0df44yQOLN8C0/ptx
0Pt2C3l1izbPouW7jJfo5P3UFABFNoZYu2aiNwGvWQjjVhBMHn+4KP/S/3x/Av/zQ0gu8m1M3Pxj
Uab80Kpqi94oyRabD12COm50m3mj3d5dl4lqt7/+KMZkP/Ravn8UXVbG5Ip2pP0zZanIGEfH1L4Y
GSJCatn3LqQEdCeKEocxgVaoz2sieGZbrQAWF7/5+H9cTvBr/BJ0I2krkVz001mc/dOzBweJbJwP
9zJzn7yo2fz6G/7UYVC0z+m20r7l6Iyo4uejM0fgqTMDUVFuDPdsS4+NL4p1RzsC6XX19dcfRp38
8wUFGEfL3VYUYCR+mktX6Yd7Z4WVckZY/Ac1WNUpTDIBVco3MvSNTOJTMOsqGCq8sWHVmqAy4EJQ
AfgItrOk5gyLbIbalWYweUaxlxy7AZ8bZ6reB/+HZb+g0vOBgshKlMMqwwFaoyg6wka0PssYUEbf
tN9ytRyF6taUj1Pjk68z+UBwMGdZ17rqICXhV9mwbo6PKObqy4gyPlzRkqvJQKevde/YafgUTS4b
bVZbd1Tb9o3NNnJ2KGFWvQI3QthzeN31uVgxqwfL5XXVCj1Vteu7eT6iJrgCttjvrCz7ptz0XETq
Cxjvu7YusvWgPEBN5vgp7HHm+1nsbA1KqlVGXsYmKWe22cqO1nUuNnYTD1+p56qjG+sbGhsG6JSC
oDOZdVvkOM71CFkZ6acTnJjvPbqGCE6xRorKjrWgvXsikAz/fmRCs5lEHCNYrsL7FgbJugO7ZVJJ
kACN0XYcgv4wR2mwjckMvsqbRcwJ9TAg3fPCDk0n2Q7YAqZFlxD6R/QGAPIj6vL7yiVIUtNPW0uP
eCLUoTEJIqUIxC6nHHMeVO4aTzrp65u8IAJi6xH/dV+IpL+g/9EdmKgjn6pr0qhQ7eoLBK31VZFy
KJSoU3e4AXlEsgo7ZlFMa3BPApt3J3ds5uajKhIPVDScHENHsnvuIpN4g7U5iUuizMP7SFczRReH
18DJSE+uHCgmQ7TEGGPiuUQXXd+Vc17fQum5DAjfeK5mr71XsJMPYArFlRgt55DlPAvYAKNd1+bj
Ps+sZ53UNozNCMZt7FrjQTWRf2eCH9gbFsL5OTSK2y6dNhI3+1U4IrhZ+2Vq7mrE7c+FYyMyipyS
TtNoR/vaV91FFCwYsFk7t8SH74LAQhwbtK5Y+SL8FHeJxnZqP419eFJZsMzch7tySh7ATSMaoyWw
V4CZL9oGjV7EPIHDJEZHMuDFXloYQHE3Y3oAfHukSVtdQP5aMppCu7jJJvYNnmjiC2mhhOadFVTT
S2MAayBIHqlfGEOFCx25x4sCOgfHS05pTGJSElTupjIrPi1MLA6SvmFYlEkkXQalnk6j4QXPXtLm
68AL/X0YBMPFGMcx7sduWDu+offoqALefSyIUpko5oIOWZid+CvLSYfTLLW4XGycuyB2/McCejSi
sSjnrKpf4Fc8+QIcR9i25jnC+XKQ+HLILrk0vDT8kBQmFmOXKw2G94QYvgNZlNQr4lHaTTD0yaby
iGl35vjKaCp4umAYNkSCvQK/IuiDwOCJYjrsjwGW460wzDvww7sW2y/nog5aFkyB/Zzw14aBUz3U
wnCx5DaDsSmrGkqWLKwXamLw8xhuts24q8rQurft0l/nIqnzY+72zW1nlBbGU9M7RtkArUlodGaL
2EpruKPAO8v5Okg5YYHoLaeHQnjpJQvSfBSjzxlZ2s91AcNA+t7CjwqKNfHYQC1MfRl6+V6zAQAk
MSGdhCFWujQT+XWTece0lw+AkIBLBwJYglefFF0BDPlgR2jVeVdhkHwNgFWs56rZup1UL52pSrQR
Vn/DUTbzV3bKu8eS4NxEExoz3xHp0ckkND0PbVQxzMPHApnkimqIT4bRNqFYdniBQBiP8TeYbemT
GCrzHqKEuiODztlYKT45kWYY+wo7taBK6HbrEH7Ge+KMr4gncFJXOR3rJgfT5saPtrZxyPsRiOuq
TpfIolGhjmD1YFqKAGV21WVqRUOFZXru0Qt6xgFStANi1f3iCgvreu9z36vAjuGveu5CjRN7Esvo
0Ek1rd1+IiIwUdBqHV8fuoj+djF2+PJa275xIpEctBGGnzx7m4URFptJc/l7PT4IVi4wab6H7HJK
7y0vBOdnipIYyjaRH1TlbB0iAJ9afDufRmhm107tzE9Nbm0KaLYRCvC6vu5E2YJgh3jVAoA4QIep
V0QaGUi8i2950shVgBdo54RBc2R/HI59jMfAr8bCdS5gsyJG2ci06b7XFf8r8n9T5AvE0NRY/1nw
cHgZXqLox+r+zx/5S+FlK+QODGBoolloHhzK27903o75h6RywkXMRJM/QvX0p+BLShLChCt9oKNK
OdKjkv1T7SC8P3ykDiR3ESgq+H/+K/Ko/X4+xNPI6As75jJlYWytvKU6/6GCg36azmRwyQ9NU0Ln
L+cMLVQv+D2XFiveRhXWd5o8vy/4h+S91olxln417XPQKOU6jTx7zSvk5NQO6bAxAJK2xIxs7bEv
nxvT5O9xjBDdD37eCB70WCYL9to6Fjhxdh2TSETesQ99Bhur9mkbRHFC/JCcgBzGlOochHHKCKP7
ms8wgFZaDerGWPyuY44qdKWbdnjxw3J6cS09RZtQc9lIC+yXmjCpyQ9KzeoEELv83EkdvxAuNd3C
6RD4fuLpGfh4zVYdQguyprn92tchwT2ono6hNJe0HedOtAbwBEb88qGzaEL8pmR/O3X8Pe56uwXI
aqjYoX/7HrOZ97cgQw8cGyTHf5hryz/aFkDOUiJgB6UClpJKtWrdFYxs/7ZwS3mZD5KvVjqEGq+j
xOyx1mKRc127OPqEAF7Nga2vZaeKV5JRjae8spuznoxxa0dxfNXZrdArT7fpY5piCwt1Xe66xipu
PK9+aAE9HOylA4wi/V5quXe1/xpXTvX5h5fkXw59y0n5h6MYX5oT2PIAc6xEF8Kp6P2XLpnNhIFZ
5h+IAAue2W0ZvhSF+CgkPVh6VfWxi636mMVDi+Q+BxCeGe28ayiar8ZuND+XGFojgpuG8SbMVXIa
CgtC4sS/VZaUXzHciIvQkMON7hxxyUkFHY8XPDIDkns/itLHhJTOtZOk5iHKB7ZOg5Nf0lvOZsLQ
uMWPzTNttWZ/Yc7Wa+50l0MtxaHtAvsAbKeBikE7mzIk2Y72ILdIuPXOjp7T0o9PBL8MX+CKEOgI
9+ZLWdNRe+sp1y1DRwI0+3XZs8QDkTzzUibXLodg3qMkOiQWTaworldOUDuMD+LZvvAUnugIe1W3
iaKmWsCd/t6cawn8l4GQm+dECOXcJYZAUXxFUEh1OUENfJqIx/nqpRUonXzAkLHi7FgdlgHJLtcc
29BJRhcp9dRVAM/0Fn5Tf2UnNF/pp3cMUys9xwf0KrG/nlUoz0bUjjdNK7igMgqx9HJsH+zl3TSS
+S7rMakr3VSf/TAJCS2ofXiW4/g7AdP7NcumFwFfQzAbFpbPvfQXDesPaxbmu4A6zTXO0Btpkfpd
vjeAzTxO4wBswO3o0PrLswPk6stAEMS6aRuMAmqY9GtMs/564RGeOJFWT26lSCnRqUkiaflxRA6/
qdB9P2QcHNecYex0FfdWvk+595fF4qs023DeNnY4bqeskOfRrBP8dkwl1xOU7ytijKI1y9W065Ut
lwW1SE6kIbRia7cE9MATIWkrHpFQ1kkx3709tiUs5XUUORPZtba4hIkWfCtSDwiQkTVPPjX/Uw4j
7TpqopqIAqBaemPhb/+cm8m+wr+9AM6J0llZXefs1USi8TbxtHfjmTTTf9PFkO8VK8vlh9vnuYu8
iF4DPaL3l3+oRIOVoA7OqNo5obbolUn1rYwP8ezzDYClmGunaoz7eIp6GpfEjpV06kF87T0TcD6e
opErI8Gsn0C9ly9J7+CS9quhRMwv6uAZkTBfxgSAf6yiztj9eu35ty+glu0VkQ/7MgDi918gR9dT
C4JwmfbP7XaMxXhNrU56iRNQbcG/nHdBNbBeSIclJidKZct4s3wxA9O+EIMTfOPdI+1DTmQpj664
dEBUnLQs6WZXqRfcpy40iJXOQwzTv/7d3/bjvzeLt4sPiIMOkqTHgxr8p999yOBMzWqwz0UHP2mF
pyX4xtMceIe6qdNHkBHzVTw2400KrmbfZktrRALCOXpl1J+KzIO+68v6mNpL2plbGXQHMn/vD6ql
B1F1+c3sNdGlK/n+A+Jj5srN0Hzr2Sa4RdDMmmDojtC3PUadFbqRDpx1vqdhB28Ove5qlDXLUNcF
TxzmcBd5hnciXU7COkN8nTZWSIqAHp8xaM37eugDEA+aCAZ4VJhhpRy/ipBJyUoSPwZJuZRiO1ul
v7OK5LMgVrLRVk51z6zkmJKN/AxPrj5SEyDvXl69gHzu1zowdL9FzcSvh/n1NI+1PBPoO3WbLLb6
tS8rRgVlM+9iUwfPPHn9VwUcgxVkuTTg3E4dhqorZS6IPQa+8lxGtbmaZJbcm6Ukr4RyPvoI3+wL
5/biCGdyPKJCxspZE+5C2o+81OPQbGw3Ha9jMbOX/PpBoEjkKX33JPgWHTdfeKzZSzn4U9nAWp11
TdJXZ52KFiiVyQu2elub02Gs9gz89NrV2LxWetZMwc2ifHEgXkFDYk3aAvQ6aoMDPeTk9FRFKYEV
U2ZG2NyMOMo4P+a7tiIpdcWbZH6eBjN9YPlvP8tB9V+7yFXGhrF85m4aTfzkPqccu+rzlnORa6Lq
HxXKplVqpUG6gzoCcQRCYnfwQmPcTHMJNUQRX0RcFgk+uplSzFL4ZivHuIOPMA2bpjO71wr19h3P
l97URVWQ8zw3e7UMiEBkLyXncl+x5rZPzZgcsLr002ZEnLT1relJlBjBrAIqJ7+P5qge80L4oeJh
jSWmX2Sc7hfLVdmm7vvkVIjYPMwkqRjITWjKzZUERkFvQ/lrIAL6kX0gemxINEoR1QygnYsIvF1D
W5T8r6RyQg6Grkk7gwEPzihd6leDVvAZ8sdS4MAPO5neyFbVZMT6QQ6kUaG7dtuOOjP5uglLXgp9
1sRVVfPvQYuhfsXxcg4WLZpSAB5Ffh+GbXMMTMWuM4vY+qwt8qfXoXDK5MJo26X88ae7sI0KTFEI
7D9nKRjHdVtldM5Y2c21kc/iMgQVBX+Mfhr4Ec64JIyBQbOBU3wUxRyhUjUZP8a5HxCQhDPwXFNb
HvAj+2iaSGT7hjnUO3rdbGyBf5DwggcM+qRZz8NW9T0sssaJ6LaAB1jRSeQpjCqqTBI8cH1AOjFW
dhlAhrbm9BsksTPDeARbDLkIBhsSN1+nJEZdY67Ut3TKBxQ9qc+V8af57u1F+t/J9jcnW4tj5S9P
tg/ti/7xXPvnD/x1rjUJx0CvvoyF0MjiYfr7XLuYmkD8+jbZGj6gAwqEP8+1SPWR1FL1L6bmvxxM
KPv5H8IpNMSIMJmB/eRY+pWD6U1q/eOyyPtm4bFimGYpysQ3ceEPxSHLBHX35E1X/nJeTNbeUE7T
7k1RlmXKOuKhRe7Wh2F50dgKDNA0gU9YEuenRedYV0OxuPXHW6gtaCEjMXJ6muxbgLeNCeE3HSnE
OZURX9UTTZ05TDjOhjtRf687TEy+etA00rKSYTtYRYYNPYZSMw2MGz9TfXYq6rhu/LUEAOp9A+w3
0RQfQICNKKzcTkCaRBFgxCcM4FX/oey5yB+MvHA5KJOwqEixHUDQcy2VdeNB8F2bfKxehaXpMJ2Q
IenUcOrbM75fysIhja7ReOp95crZQrjlBPecpvT93CIC4UsVLCud8RnfUXTvxaomNTPT8d1Y2Nft
WFfHGZsoyVNB9+IL8jLrBr8pfkhomY4JmN4veugxa58zhcxPMVwMG3fmnAyj3A6D2VcX8rvVCIDw
eK3DBMMRq/4wbcDnhdMHYxId3iQzTGLgN2CtpLuX0YJc6L/7mYQZIkJIaRoTfDqeHYJM66uSYJGc
u0AAs8z671ro/60Iv1kRMC8sdsD/3Ou6/Zrn7MT9Sx69/Lgy/PmDf82z1R8McRffAT0N/CVLP+PP
jpdn/gHEUeCTYO3xGYHSDPt7ZeA/LT5GKnPeYPvvjpfl/8EsWzosGxz48J/9Vzi77zPQH1YIptpo
yxmP4/Ghjma6/b78TzOrmTNwYAfbzZNp0y1x1CRSDtY1jK/C35L/S1GSZfSxd0PrVD5C15oa0yuE
uZsrRjprDoyGz9CtTe2NprtmrJok7Da1/6UEfXMzOM50kU3AWVTUjQIWD/MyGhhNg3F4UpuZgO5y
ZViNMLYkNxB8KXUg5LaONUJfYJWPdTPVpymu9DW9Q3PrGvP8EMglilylrt7WPvmIW11kFQjbmnhd
BPoV5qHRdF/omjl0ywX5LauC9RFxZuknG8zGwYYs6kNElOtXQ4jwy0B1ezXyMx/tqYi7DTZ4damz
lBdcuI2JmdLycXKTECu3Bay6W98L04sePsJNVOj2iuM+KUFBPK8DMyDgsmj7cYu4mOgJN4x7HH8o
pkbo2yuDVgbDiMwnapttH96VbT14NZeZKUrCR0htngCCd9scbc9BEue6pcuIdCxSAuCen922huXs
WmfO7sw5LVidvfqGyGAFS8tM8hNSinIde9RKyaDdnfQl6KuFbQ04OjS3GD/BI9SMW0FV2eYTLtj2
sivUR07y7QfBfMHbe3WAPlYacYhylXHpPq8763FME7ljDOLtszKMx3U/B8EVc0gGrJZJwm7BOcG2
++aMk9yLt+DJ7JNlDOa3xnDyrcrE2e1vFxfnphlgB6vQvFUdY4V1U0jrWhhN9yymMnyoYVHf9KC/
MOswIW68dm0DTCBSAdG1lY/pyU8ZdZEikd8BP1BXzCieokE5GwZfyWZyuon07DD4MHV2tXUMOzsM
IAjMQqDxBO9wDrrKvOmMxt0EoxqOoUPUZGx5W2Jrh7XuzGITzEVGS60vgkOMHm5HIyT55g/DF8Gp
alcoFRSY/1Nx5iGnCsTsDvpDZKs59a0t5xR4sDj4NsAL7wqetjW2gwvmjnqVeZWzMXTzcc6IUp1H
4j41roSVPXn8lo2212HHUFqw+yEa0MZH5brhkWNidbbTEl2usv2T6zUkthkaHr+AM5SqWl9bfcVz
w2M7rEZnkvtyYojd5TraxCYS9DUKLXvrCdxl09DaKzjOqgj3DvjAUDx4AXv5DoHEQMqKLWbldJsY
x5r2zoNDKGq5ngwiKT9ICaTvg90QL6bgAydaPArFs7A17Ti6cGrTvWs9HeinUc0ZGZ8iTq1d7hfU
vKAPJz6/j66Rk8gnH6mouUpJae3XtAQ59uICM2z6TlYeH4eCyB2OAHPMt4nNmZNKXRAt/aGPIjV8
aJk+I7sLQyO2SD/HpvScJG0952Aukxw/tLYbuZ5KcgaBqsuRla1D+vmMIyBcAmFFxP0xiozHk1wr
cztOs0AzKqJxCZkZJhc+CJu0t60yq03Cw9R66rkr8qH94ia+SJxnrpHfkRzftcUpanMLskQeJK3F
PxzgwbFZ2EbOILVrqTEgcAI/oRfrrGVby4AXC3rK/2r3/4sNly3SYVf9zzv1Ij17Lurk3S79/Yf+
2qXFH+w5tPFIm3P/DOn4S3nGfkv5zvmALZxU6IVa9NcuDW0A/RRtKHZjCwwRG/hfLlwTF67Pvi0s
BEGLf+e/KeOXsdO7PdpeiLc2dYBpow37WcckeqfqTTMsjr2HaxHPemjfWNDWrueUHu8Pl+ZfZhH/
0EzxWYzRzMWMrMQ/HHg9XvS58kR+dC38i3OP14713n+cuAKXVTX/znL2U/uaGRtSPwZbLrM9mtfe
T/am2kB7VHomn5cJmgCYGGgWxuOMI3bkgJK3gWNtLdCS96QIyftff9n3cxfmLAtNmD2UygxFP17K
98VPZZh4OxrUCHNNDHqWZgwFUtF7l5OYGSJgMnoMpPm7r/wvl5jWgccRkgKOjjGPzY8d+7Zp43rw
3Oz45qd+8yz1pAfMdBRrBj+Ihn/TpP7HB3IoZbDEQ7SYyHB/vf/A2DTGkqrNpycTYGbzSpofGhNR
5lnGJyvonedfX1bxj+vq2m+KO0SZXFxsd+8/EJUtGIxg7A9dMVYJ7JigkSQSVyaJ4W8W3Ani/LWX
5opBUCLOVW/nj3lZ0trAGjbnpIM37rmdJJ3xurdZZstSN5eoPsaPk/R+8xRgouT3efeCuYBEEOvz
CDJ3lMvx/cc7kmfUcnHWdhTBVqjujUzawUUTMivdhQWlJDnIYjhRRE4pW31ri3vewelsUIQcAAqT
nxghpD9mU2m/hFbDtFI7MBNXRA0UF2/WJka0mT71NG6yLUmo4jqTiy8DPyu+QUgh5CwbNd6QYZIz
Pi17FNdG7eKk61yzuCiNaTyLlmN5ECHYWM11X9ifvd4qJ7JE5rHfQgHE/VGzC92CRMWmFXlEHB9i
szeeYmT6wbmqZc0jR9ibla/cZjLQE8pZC/GVp3Qk+1lEELyuWuX36m7Mp+GSbD66UISwENy1uDhB
t7IQ1FPGezr2DZPJoR1v/aSqvTVZA+Xzm8d5rk3r6PQJBpSxZ+ztZVZ/i1If8Z9fzSxfoxkvyKDa
fvFqczx/95FkfVA+W8CUzkZliHt7sXZFc2S/0O6VqIUmf3yGnUhuLhIC/CKL5eXcKQzQG6SxqCHx
xqAyy7HXEW2OTbHzMNmnnDeuvbnnutVK3Hc+N232Kv9xqGaMYCh6z28mz8oabGs3kcPscXg3KDze
vLbfn1WNSBZwFToaCFLJ2Lym8VLNMNAqn+XUY39phh7XjFFPiaZREUTZMamMiuoHuIPXbVt8jE+6
x8Xnlaynmzbp3HGbTYrnBIq+eikar3zWYcnLv1ju/MXVhzcGIw80aJ4MyIvGWiGku6hBmgFLWjoy
XTfh3OsdySXl7S6fR5Am2TosknlRYtaLnVALKN06xsE4lMt3HZQPiyos6sPb9ccBSJJB56mtTlx3
g4oKwFyV++b1259pA6JkMsy5rBuzPhh81zvttv1mCH1/11UND7BeXg+nTYCW4/cJ8IohasP51Awd
kdaj55+XuTfzodazOEO1zPHi6xYlYmmvvCyR44fSISeP5PFiDPpdGqPoDyyDH0DPIMzjQDe/H2nl
GNg7m6aNjD292HjYVKExBWe62gwldWFTC+b0j4NLydjtmSP58NpPRtUTttHM0e0wMfx+arj8qO5y
eDqN1PmA34p0ecPrjTWnhggkAhhPFTb3pRXo7bjEGwW5P+18C4GVrsYjul7y2j1KTttbFHX9cEA3
OSIQLMZ7JwOFqUs0vI40pmtlJ85iwRIfG0CnGySBzqqdRnFjOLo9D7pCukh6nP0JH7GveL6awVqH
fjReMMztDxywQ6S25uKCMov52qu78BVzm7h2ssg95ZF2rkuTjvSqm9V0CTQs44aPRlMQYxcygSjn
9tVHAsrwwOjCaMPD7Z8UID+A5apvfE61bvBo5XgDN8JQDziWDFDI1UtOh/s6RoOqDtVAZc0ftHjo
gDjwSE0JvlQtFqID6/J4ZpvjWZYBp4wD3iV26Rln9dS0JQVy6z9mk0Yt6IZe9v/ZO7PluJGz277K
eQF0YEoMt4WaizMpStQNgt2SMM9IJICn/1eWLB9Ltrvte190O8LRJKtQqETm/vZeW2zENM1P65zG
RC/YW3yP81IBXQIaVu9zA4YsB5B6YZJcvOSGmX/M6RpaoysqPjZJrWS+4zC7C2G4h2RdtzxGGxzL
1Q5OMUdK3kayp2I2EGdRrmb4cR1a63OF4L6e1tSVwcmpAIWryGpxJDq9RY8FKpDzO33iwtuBBD2X
nMhvlNEmDz3o7VMShC9+mnav5di/L9WsV//MesUByOlIcp0wCWojQctZjTIW+7M0YtydZarM2zZU
/jO+0sLfEhvUVhZj2gKytSK+lz4ApKYP9mFt1/eztGe5J5v+WhF02zbzACxuqlKCuZAEKdKB6082
z4nrO+zE7u+l5fDftzyx+g8iDe349zBQWb/pujZu9isDqHJDIZd0CdIUxg1YIsmlq6Bqr6NIPi1+
QOWTWwf3Pg2Y25y3BPqxpaF8sePhrZmJTW7aUQQ3jgLIUVgTH2sHRnrHXMxlsXDLpIdWOSzQsPLg
zpgXHgsVdvatQWPiF4pgQ8BXguWt8FZumk5ypwyJGWwTiim5lWTCEIt2YeKCdsha2nk2a3pO78vr
ZPNqvDENbwbFR0OyPWQdrGTOa/LxY2+yFlDUJi1qbsHZScIbrySUuk04l76X/QTyPdVI/Ukkw3BA
jQpQCUoDNaThL+c8TOhj8wEMXNOKnoAifriaUfC5ZAcnXt33dclZ8K9LoI8PtUdwwsGx0UO/9GFU
NbFc2Sr3RhGHw6UpKHm45plrB67wxnK0tcQGrf8Owmp+GDIsRNtKZDra3GnMSTkK8tEZJDHv8P1l
WbXoywO8XnYSsWHw+PKZkF26su+P+L3nh3Fi70tcLaQGoayXs61sunU3cqlcGHpeQizU7MPmTdld
m97bYuJVZ1XLe1XTyp+saUX2n9yuLQeeFh5+YCIeVE2jNqnAnHw/SmbXO5O3peA668TyHBuNePNS
i4V16SlEU22vw2alzAceGVbyogjVLaybpXfjrk4wsC761nPZGOa5lanxbew7KjGkQuXiNWs6guGH
r/ZMSxDFAT1P8i4crRenh1G+SZDtin3vu0wjkjnTV5TRBaNEAV4zkm1AwBWX+lg/x/oTzXOHj0lW
3HHlwF1kWNpiMNqr2ZvkBlojwwELeu0V6wl2K64TW8tnz8kM+Tx9VzOy79oGNt4QpaMAa6oP/gnE
//1SZAaKSB6wW04Os9ZKkGQJ73Okx7KipZS4rLLtqErGc1ppqa6ii691u+KqxFQj7GetzvAPdnWt
2JT52mLtR8VBGUtPhVZ2ZiPMzsaI2jNp3cfVChBWdBwkWhUqpbo6eb1trXUjEwHJXehWRZJ4TAKW
dKdP5J6RgMUEFeWp1xpUo9WoROtS9VWiYhvS49ohGW4V7EjwNxTfKDAV+0ArW+FV5BrpR9jyDVQR
q8K3mppDo1zuQy2MkdNnY6DFshA++r2oaIuaUNK8YamOOIG7HXvj+HnWgluupTdUWrWbXffe1bIc
1pb6kU+b57IW7XjyVVj1tZBnOGMUoO0lYXkLlR6QK5fq3tTiX2t4EmM3gmAzVdAkHVRCDmrdodTC
oTc9OOiI7PzqHdVl5jdxFRnB6OFLrOgDo3Sp9pWLCcTI16+i85DGXMlXeE/mSqVov2bZsNE2JtIx
PIFheMhJryCpTgXwvGI1HCHUyc42Tp6zdO3tUJTcpFXKapN5PXfkOsV89jFM1OFhKRS54Ylt9/bP
j1H61PHTqYSZOwcOgbBgIUH8euxfJzsPeeK1xxa8Jpv+aYZO/h/Qof7p9MPc0kKosBhRop//OiQM
43SUOYn/Y0mlE91/vm+9dAP8kI07WyA5XH10uS6Hf/7+/unoz98FZyMo+mFiyknx51MXR/LSyZu5
Pc556b2PBn6WapjLea9wavS7Bh7FEw3ZrMUdaM8s+vO/jm7z69UN0L1djy84L+JXJhYNcqgnltdg
2WPasFmD3n4J9Kqb+yj1G2i6/BukAscSvfMGxsbifn0J/5ut/dVsDbgsN+GfK3bnr/3wdflFs9M/
9kOzc7B+28Bx9Pzqb2TwH5qdIC2KluTb2muuZ+h/l+ys3+Ay+n5g61gg3DzuuR+Td6zk/DpuBX1X
WOZ/xw5lhPbL/QW5w/RFABwiAANGrOLnu9vueqJSUgALmozMiereAZfM0au4pOz6L1glGWhTvROf
GzNL5WnK6vExbY2pYhJhUUvS0zNQsdEJs8iPpbOJJXZHu4X2k8Ayyx5DtLqDX1APn4QdURX69O6S
wkqdLZ218cts1+IT8ZH3kiLThF/1MpHzQDjHZ4kW9IIPJiePzumZwVhJ0h1HAnWg2lIsAZ3WdOsE
1tPgYdsd29H8FBaAzKE0ZfZTXWOXGfpp5DuKhc5r+UHl+cYOY/98VyGpcaKwrKd4tY1dNRjht8Hu
0fohLcxoCVRHQHmAv8n6UrTvzmThMFa4AFZ3yDfXC8UZVptX09/5/EFQcaoxN8qa+pPAxM5wyrJD
agcqeVqL3I18R/KDg1AARWz4xhgNqrAKP075Chyi1t5RvxrXW6/FiiPsEKcChZRHqjH702TgOlqt
QCmS/BhVB45JkcpoqGS6E/aCoRtIIKyFuO/7PCBLabeJ8SYlBmtKbWBqetKxbtgNh+ZBCQvbXFH6
AS2Z0vrUXx2HxWzy20oqSO4DtqLf1lSF0exg+KSAA18UiYG7Fg7y4fr6MBj2J+5sXZXDv08220We
aBVVHqCianpHeiy+nP6nqAnalRwiF3kIlnFXrxNOKX/MbOJPFqVAGzkCYLnBEZmmx7i0ivUIqbp3
9ikQHja7q46t5YBYN7WBMXd1UZh7l7TVmF/92In9qTVwvu6tdgnMA7cKueSx4l4I2uKcy2HY8tez
iMyryKhFFeK5qdbyFVG3fE7bfvnEbnS4CWonfMnXKdinjt17WwKNzpnG0OQSd/T+5kuLM5xD3oXo
c4a7K8dAVYykQKeGN4nl29iJ1R7qgwAbuaEsZFQbL6Spas5bSgRrtRwCl4KOkmb4b8pzVEszRlU1
bMU5bXIyoEtzz75gpCatbPhdoSwpaqN5jeJT9/vGYeqxke+AXAxPcYVxN1tVEeGyzLbraMa3FYdu
pp2JCg6caq095AvntdRj0SqgSIhzTsq0dB6zKjgUljk8j0xTxVjKm4r5KmaPJY9IajJ1zTGJrbup
KG+rJF5HYDmet8/0qNbVQ1upx7fJdZKLmb1HNGW8S99F9Tjoka9alupB6DEwRyiO8Ho0TEu8e1x9
b2RI7K7n1NW7+sJGTVB6sDyzt9iwbwvmjfbQb5QeQbt6GM3RM+Om0iPqWg+r7WZkbm3qEbbUw+yu
dYZbJD/6WQOnuAA3Fw+cH216KyfQUeZ1Kk7xKBPyQA/LyxB/8lbpEToQv+w21mP1pc/zr/XYnPqF
j37Vw/f6OofPrzN5jlrM583rqP46tTdIxdTHRA/zu1DP9dVkpTuZ4jekuaNeP8yUtAA4xwyA/Nmf
V7NtXg1PLAdOyibEjMWgYqVPWtPYwbOC0TuVo7tF7hl2jqxxHigWCmsjS2WinmFNUDH04XRe8Zbz
/p0TZOI5P7VV4w9bb036s4zzNDIWD9p7AV5kBJTFaW5jcqyN1tRvrMiv2x4aCkYiz09MChJKDtPI
rflloid9idh+s3/PbS8j2gktqA+n+ZCaSR2ppXpvVrPbcUCz6RTv/LsG6/xLUZQs/jgB1n2oZqxF
fl2OlHwGa//QBwX9mzX7TZro1kfbm1iVBughb9eVpSvG+FsIMvCMgXLY2taKzfH6LWo9Fi1GK3xD
FQZIuqxYVie7wTDlLzxh+sarDzNu9hP0DMxVpIPsJ0voPzSm/bytbYpVabMq1ltlqolWbmWE9R1P
++VuwMC/bJsGDzml4uttz6D5fwUr3PnZuPz1dknHpP58u3T7dc7+aH7ZLukf+7tFUdeluJ4gJQKF
9ie4+tW96EBEZKsU+teM399GnI62I7K3CQObXdPP+yW2UjQYUMsCURbDNcOz/8KpKH457MDf5c8z
THUFW/EQJMXP26Uud0sIbHV+gzKQLe9u45KMr10wXjszDXHabhyF2Wg5ZpTEVsZJ2wMEYTVsS8dG
ZeaBNtrlS+9QkBwZZiuimYKC9TLXnv+VcCwaHDUk/doda9LcBQpNUaoFLyG1FTRvERi37RZp369p
kTCXhJPZDlZ2nob3ZmaM/iOctMlydmgneP+fnbqPx8hT02i+lQ62Qnq4XANNo08b5jrnjEbvaA58
kt1TJYigbJJVFDNwL1qn2uA5xQfYYJ0iXcKaZVXuSJgvr+nMemGQ5Fk7zIdOaX7MOmiHEjF3Cmzo
UGZVm5eMJBsl5mb3R2oM/d7v2uVB2GVNk/micn7UW4z1c1ubfnb7v/PKf/YF9Kw/dxggDv7ralub
D4sf/XFmEb8xFgJBHHhYsOzrN+2HG9Dl66SxN6ZFCjZwHU7LP76E3m/s/pgYE2xwbH6M+e2PQ4vz
G/+pxUHWIR1LKeZ/RbiB+vLrocUiC0TtEebHgEyZ/0ugBn4i6biSHpwZEw9aZlik/pYOR6YI9tRT
2jJOLQyuwPRT7xTbC5wqdhFhAEiAVT+ylZcjrK88fHaNaJKOPp3GUv0GBFZlwm6CeYnpifm67ixs
m9G6I+runkZXcgRfbPAQJQ8pzkIWgofKoe7zPeXMQA0TOm4aU3+gZ2WtuSIQTPmgJ1u1FdxYeIHf
v89VQ0ZFUVMnnreRDc0CBxuPYL9DCNc/4mD/jQqKbh4IksLO5NnF0JXNAuTEAeRpMguGFhk+515z
TuOiQlh02tnv7xO7LpozLMYmOHuhDxsU2PZLWetxqJUCBbOIOKGuumQHl3JGtiik1m2+UzxtO4Gl
ajnWi14H330bElfTGPLoTKnzYdXI25qayePgmEjhXgVAL7Fhs25aP4lfc6/kV9On3QJOZOQw0P29
Dl/yPuMK1G4DrHaAnAu84qqK9/xnV+2mYjL2viRaYpUJL0BcCa+q5K+ZTmLTQ4xtMpKOR3kPPRG8
a7fgbwaF074xi+O9h1d9WyrTufPcrLrUqY/TrEARDqbY2vQqm29pM55OThNSyq3HDIh7+np+RxFW
c8WMlvua/+f7B1pib+63SRajBkv9CV8Vbj7SYfgExmuZ0ZpjxqRzAdlmaw5lkT0ykectNEvOb2lR
TrNNMMDajEQpuS4qN1CM09nQeuziGiLyDZ8ZWDdWYjq2GvXwka2v6+zLamW3Tk3CN5DgWt+Zaqwt
pXqiVFHAtYSDGl0ZrZw38kd/gsm8uTIQW6uyX2pmNm/X2VUjKm70YnYJuSFZ8pvgwvLvv0WM9E00
moBJU2AFMH3GibvB7gc+2dAZfed7+zFmJOnelpgvsZknUIhJ6KLVx5N2vvmqHb/4bkjzsTmCwE1V
x5eQ+no+4AbDDC3oYaIfY3nLPKDOQ20MgndW7bAGILFbGm3eUP3uHn3afk66jNaJFuXwuqkTRFuv
sMsznU1qYJuq4o6JLTl8mVF9E46SGD/ZOXOfMHlnsq+HEIEz4nEQkpm+NfDLxs4kpMR5euczpz4s
0xTiyrfat77N49frLXzV/BdNDm/0l50qpPYt9hgDKkdySZRNQ8hMKPahWnFKuCl1XHsbS8nr97nQ
2LSMgNoy0AN9bYT4rlBevxKc4RgUZXo+cNVsO5OFg2dj97aCkDt2Auf+1iPu/OKqJn41cqwQm5ah
HkfejgRx2cO63HgNbpsVeM+hTAWVwCqreDsmDcsZKSpGV9eBO0ZtbjDD4UtOyIzrc7UTXEdV36Ga
+ErINKdNeKOaMrxZO4+PcMwWfkNDop9BhhHgkpA+gb2HvJtAzRq4mllPkzXcmmXrHz3Rm/vvo7Nu
NhgUksHezI2GrDsznWj7lcReqv3YfMM4W/CCGLvMT5XdqPRpAVV6m+SENLIFur0DKu+pIN91CurC
wOljlfweFwzQqSjYz+cjS4YJG+tlFK3kCjJHemqBfZKPTIvurQCwewyh6xziMbVfrl4w0uEq3gcp
Q9nngeIIF/2fJZLMUngzFxoCbIQ2H1SJt/ElJhTZnpPGZ3Dj1FUJ7j+mChIjZ3aAc6BDJ4pPqcxi
933IbJZmK164pzj5coMvRFFhVw6leDcVzNRorgEqdxKucS4WHZfAIEytldlwv1j0zO6amrtUIYlp
XnJn3WUNwNMKS1kPradN4t0Uam3bt2CDnt1ca/g21JAvSUFaL0sFdzdW/RdqMBhlZsLKwavL/igt
XbJ3vedd2+WHzJH3HNmgax0+TQ/CfwZOlT0tU3DH1MvepKxufJwI6817Ar6sb8ytAmLVjr4fwwWK
attpcKez8kF+X9LyATzxlhkVDyMRM+o/5fh7Yc4Dyep3LWLag+vx7SrLAiiNVFxeB538+o2rpsB9
VfU4W9HciT7dX1fWpkmZLqo06F6tzKnrV5UkS/FR0NxHH7Grg5CWLtdw01G8hyWDxVx21aOVSpvJ
Z/2F+CQw1bbVD4PO1A/nOGEFho9h3VFOz0JGLRjf4AANCvBkmtYWc8clXY4sP06ltlYi2UJskgbu
VeTBn71UWA3Sje3HTNF7iFHl45rT+GZmyGXwc43klUdpz/4cseLs1poJX2j/Drt74GgpSwxeDWXT
yOd0vfelqavXJrH6M01IEib+EqiZfYjTvyDVn5pQP4gGry5fKLVrLzxjggda28yY7+7k7PsOPaGz
rPEOJxsQcfohoilI0g+Z3+EoWer4czfaOwMkLfU8oYh6UqWmn/Md2MjKqgz4rONyGlLZXuAPAPl5
MFMqh8NwBDLBcB7O1N5AvXxoYYPnlf8U25ROflyYVhs8J5qKljhCTxWras433PUQR3DI2NsWB+SW
yMhaRz5Ws2TjdW4etY1dHS16YlMgqW1AqLZw9kVtT+HGz9a9KWd1BpNbFBFVb3RMI4Omy37xiCMd
Q27LPkoGiUXZBmFxoaR2vQ/m0T8PechjLpspbZwNkheVsj641tTcGqZX32eUup99O+butZjQeURb
d0lAdwdzkRk7WOHLSz9PlNYxonM2gyHm99Jt8g+LX31wc78rb8pucB9xidc7g+h0ELlrHzJ6dKZv
ZDrC39MAIWkgg40Vh8hHJ/xsG6AU7Rcjp3Rx6qbtMo8VTsV2TiPQIJgJnSG/DaAwLLdcL+9LPgb1
fpVQ3JcyM3dJpj6EYd7ui8zvD36sPtOaEEH78H+HerE8pYK6baukns4pfPT0UfSPg8ll9ejOBNRS
zX/k0n4BgI4FXw3DbZClwBzWRUAqltUexLN7iMPJv0GsJH/WDS9dKEHj9R47o91QdQ0NzbFOdFH9
LFTa7iByEKGueuuMCdM4irAZTkUo3ZvGWQmgCvi9E9Q7hqjIsXPXBTsj5MSYs2IBY6yKB1pHAdUF
ZxJ81j0PgYUt31TvE3x+p7J3CLg2TuTUTn20OREeAv2EcJYWqm4S4mks+MCGbDHeBoiP27ztw1so
N48yq+wtYHDzqUDYvmmWcvxgz7Zxs1Rt2WGL8vk5hUnt93EqYZ/F1EmdsQ91hzwbm0+wI5g0V7Ka
gDVVOHYowQ6OvnKMO9PrzIgnr0+puruXvtCz4aI6KdP336nfZe6tNUqLvnCkMUjlhs9tA4tekSpf
R3kw4yKNBJ7GiMU/2a4wCQ9xko6nqRZf2jRxd/YIsNxqzVKvVtZpyXvnPe7NtttSUjZ/Yke8Y3fd
sxPMzHq7FGaxG8EzvsQdKworf1/tAOMhKWa2f2S47ByqFGLdYMPpEqq01A29rr61aR2Zh5KFhNFg
tx2F+TSporR2iSj7hb04of/8KaOdnGBwXrl0W6/DlHxh8ScnmOP7WgOr3ULfrdsoSWNO+Q2tqofR
Sw0Wpj7zjkEh1asByyrgsRfb3iaTFglvug4JQHU7RIvmNhv4XmTOqF4h3ZSn1cOZFmI33K/wdRFH
tR8q97O9Z5fmB5XMAbe4UzWucc6gNk42C2mVhX/gWE9usBjeod8OH400lJeqD269osbTwW7guZI2
4r4avH5D3jOm7rXDEPFx8Fppnsg109VtdNZqk1x3cigEoSM7hZfTYOeUcHCj42wMFbtZoJUb4H5N
8BZ3sOiPcZ4rkAmGWkwca8LChUXwPG9WEdEtY5ibZDBMxWRLmNJ5C8iAd3tb5osHwj0AkoBILapL
h72j25PwwU1iXlsCph7m9k5I9qAwrNlt1WpgI+JNLs+mDLvLcja1lXuxFYUMfki3tmZZICj9GOb+
27bAX6fZocV0yw1sDtC2zzH6Fy85wEg8AmOWH+MmxOpTNQy7Pq4uzd2fYJDgyXSrkN1Ig2GR+YYq
ePj+g+b3L5z7Oi/400SbV4AY5/I/tJzwKn6Zp6vUI6xuj8lRzPiZsS4OeERkaMW2TlalCZvNuD1k
TpYml7GN1xo1a4jvknq0XgJTWncEudhV/vmr+heXhUksyQW27XBRfzW7146Myd65yRFmCyeymac/
zsqGPalGz0UMq9j5yGplc2RMyV9VJF2n+P/ooeBi8Oc9/Q9bcDolf5YV68UvZD1RFyiWkqNQbnUL
DLqhC6qcDyRdhMEuWgXOS+HHxsnSzrXaLV2Ee8xS9j1dQ6jdG7MYk/Q46hN02yFSfrvaj1VN3exf
XK5/8SFiT7ewfTCFxhn76/WawiQDVR2UxzqemJDiLgWrjSkeXGaPF7qLEAnrnTcP3Ttlj8tTN6JV
dCln+ayZ+6eK4PWff4CW1nx+voSEJBzX0RkUiAjXV/wPGXJDdMYq2Tcw/tTkgqtrekSSeh2QeAZG
P/r4q2x7+ILB3jm1E+eLWmHrPliw0GlrH1p9BuPK/vkLc/7VC/OwTsELY4b1Tw4OH6Mx2NwuPbZe
wg4V/l9TSjpUVO/P7IqcoX5u0zJwT0uj/WczwnFxplRmwjg+hXDUtCXbNJlLbSD2si+2Ro6xRsYh
itA42/csoQCojBu9h9daD85ovtlGFaOWFDj05K2mY335fiiFYIkj/VrjUi8tOflYW7cZQc8Peh/3
ntUF99Y6MLzZCJ8qor/4nOx/MhxYGIXosiMDi4QY/hpmAbPUZQve4YOTCtZAu1mxTAdSH3XqmVfP
wh/ekJ6YjOfa1r7auUp5WSTu1+c59LhaiWNxOhGrQUKOpssg4mLx79kvaWi5ykOOrV0xqs9RaaTC
VnxsEhSwKPPbKdklE31B66KjLMKmd5ua6gV7VcCB4Mv1s/+fc+YvRkEUQJmssP9+FPTx6zD+v9es
T7JfYul/+8kfQrT/m4+OzLqoO934cvNLfwjR9m8emk3AjcTi+Z3C/iPwBpwdm5jpB4Tkfg68MSjC
6eKxZBEx0qiJ8L+ZBpGs+2XRYchBwp0nKqF0VvDruv4Pi06yuKqsc9pVqBKUlyaoBYkAJjQXB6li
W7ojK0+BevuE6RtST8LQJpuzLTXT6kidBW0bcSz9fY+F4xnMoIHuVoavGceNAw9/TcWVoWaZQq0m
2DsW0Vyk4jTEaEd7mcuYrbvhKqiDgSjxgBTC207hUmxRleZjF7tngAvEkvol6QknBMkHq6Y1A098
H0ehl7OJUq9Q2GKWFvqrP6zjRKuUKpd9NhnmdnRz+QhpxjqPDU7+DYhqtRtjo5wiGLTkfNFwbvgR
to696U+HtjEes7jNB0oScnXsHQ4Zq1rqzYxc/HHFKXTJHXN5AZJLjKUfwMSEAwC8cNXvvISUSi2N
xxaSNO7e88VEMJXJ83OSCrG3nZmwOICaLVqHdQmt7ENTNGKTBON0G7gLx7VyjIyOTHTCvg4LfOaO
zwWlPg8xwKLH2HVMWtU9EjacjiTvuAyMFdNoHNLRPrFXbycqS5au3PKaC8qBRzdymxDkteH7mCid
j7Io2qOVpTc+hveDJdP7hNTOuLUX0y23PkTgyBXKJROSrO7NSAyYs33tjXB21pF6s/EYooB8cAdq
qDZttlo7Y7J7qkkWB1vsgBEqVELerIF9HHPzLaPeayt5L7siHl/jejHPoeo/LMXiEjYw68960Hi2
0tbf4JtIt1T47BJrFESCk+RpgOVUb+k+K285aXV3ZZ1WXGr8Pf4G14B3n8jBeygcYMIG7P63uI/t
R5zf+U4k3nwD7unraDvUJmFP8HZxlyUPKymV80w2hyI1TnKBNd+UXgGx2PLAFNRG/Gg546cEzEck
KLk6pZCEkosazXJ6nKlm7d77JBk+m6qT37J8sh69qhWXPOmc58LThc+iljdiGDovGrFfjUw8qv6W
zf5nhYR9Z7RYiGxlfqUd87OvVDNElag7aLouvqXMMe+REaxhW/VL8IZIIl9Wg6xLjgl25wGOxgZR
SVkdTVeKfB97TV3iLFPqc5qsjYkdjRK33WBQp4Rc3UOA4FPeCZ9zfVYPk8lsdS2jwkzNm1b3L0Uz
BrbHqbUf8FO90c/6huWJ/AkVMr1vwpIJvQyOtOunXX+YaJw+mJimPyKcvbDB/WraMsY75ZftrqfL
4ShKdiT3aekyKQmxq+WpZx8T1pwnfgNSjDOkd0OXXdhFqtNs1RX8ZTyvdGslg7Jvh3BYk0MQo8FG
EjdolRmtfOoBEvOShn1uyPhhknWDY70gnI+0sR3wmO+lGR4W18Hpzaa6e7QRmaujjK0KGpRc8guh
9Zxm6QGrxWbGWX47CCfe+U6TntIqtnZdq21OvmFsLQ59HwHvL2IzrhfmusYxoW7qUAD6Bu1uG3sR
I/mE5qL2tYualIBp+DQLZwHw1qkLZPq9W4OY12MVyeTEpUK6RwFg9lNwBiimDTyIKiIxCD4ad9Y5
L5x120jZHibY7tFkVcmtmgQHNJmv60tHOOgkxqC/nc3RQFrcprK8YF1KtuTw2F9nSRPsZsOp9nl7
8Zb5EywRb9v0g32a13jdCf6rSynM5tYqnS7bCNeYia80nY19XwrHPxXYqVmp+u7RCXvnhdEo+CyP
4GoqrFQR7F+XQ4w/H9hOWRRvqz6ku7MPrt+1dJRy+oyzP2eLJ+HACT/s93BbdEPOdEcb3PJNppx0
UoIPeOESXE9+1srDHNOVBM58C2E9LMhw0kLQ2KY8xRVItqbRfQml/MyDBSfWWE7Heu0U31J2iCsm
SaU8DUoZ/2D04pQMRfzhBlx9uJ8S6zkhXn50jIr5vem3FBwE+aH0qUBPV4Z+DHQ2kGICiB+EKqya
AJhNPfnJXMD3xkxhT55y5x0hZvPijcgkPLGD/dCa9o2knwybg5/tZrt8ir0VbPeQ+AfVUtiF5Sv7
hp9CanUlcKFlsvZipCy3sES7Uxda1brJk6LbmrPz0NOOYTSzjQTCV/Q2bZPsLjNRVQtEywgXQ7gV
dmadmbnEeyW7y1xVHY33ZCJF089RQrPODiRcezM6FAmt0k1P/Rr+HoRjdUpE/6ULgZrIQv0OfIr6
JmoSd2AZ4Lr36Snoh+QIocnZVjFdXFb8NA6UVjiVjRVVTuJRMX7c98Zwlyz5kzQH41Gl+cPMdT3H
s8AZb5Z3iV+t+9krQh6N9FSZKAGDtxfr0G9J2SU1GTQJCcWdlw8cnhZKr7iuTx1oCO+85uPCjh4x
sNnhEbWgLl5pEAzydJ0YUySMZ14drOYujcN2fa4yMzQ+YTqFLpHhOV63mQA6QU5OAyjmwipLd+fD
h12Orciehd97OXiKla0MgQL3biqsnttKWM7Gphig2ZhWX31dGmoRNvDmunsba2e6bRm4fHRaOX+s
GnM+k02wyCbUw6FbCOBGE13LXoRheDpTVKFY+suaazClI40H5oq5hBUzKAzvfcmDnJIRmZNDDrF7
QZeqngJmgefKrIYtLuud74dqzxmBqKEtjQM0afEwLEG3V0FnkZgbqR+papbXonO4QMXCKQkfW/Lq
LnG79Umkbfq2GNh00Fh61HDOaWuuQm5UIy214em2qk3jts6lb2WV7kaoqRYA/0WGwYYnl7kXiE/x
JlhoYCU9KTPoWQyPSJTX6IDBMIHbTBd5KUFvn4yu89j4xaYsNpxgw3tLGN4Y0XTWZXt8ooyFAupV
tkQIAMMknfk2oJFzEszN/DFI++4J+Vsxk/WWLGpwVxyGLJ73nPW842ql87QBsjXhW1h6H62vX8aP
JT3i2xhMyk2V60xjyYf/aXUyd+8N4uCMcGU2GRIm7Qk1+P+uyGLYNs505FiPSGZkQwLNwKju3MVj
wsoOqEOTwo1xAu5jfoSpm0d4F+MUCIwTFPt2ceuJ22U0yWaO4ycW73XncJEuDLh+d30Ok4svzGrD
Jxp3oBdpdtmEfZHuFKGOZdNLYUcjpKA2cr20uq+7IWAeU6TEkkV62wrVYjCsRsJsvjih8IMGrnGi
PA5lLwvQvnV5cGuv34V8aJwmBxR5YvvLlzkO0s+kVbMP9uL5lxgstRfp8yfjErZm2zihR/a2MgXT
ssX/NMKZ+rjEHB69RLj70qCS056FeertBeb4kOfem8OoREX4O3pMXj7rQGmHtyXNCV9tqjkYN2fW
O+tpds6UYe0W5NxPsCqHhTIEegv3HH/TYAsEGSlgrBgh1KPzBM+K1j9P1Uza/GJXuFl4wBspUfqn
6bL6k7pbKNt7GuiMxICl5igXhb1p0MzfF6TCjnN049L72eA3bq2233X2NAI6IgznxGO3I83r7e3J
9L/YFI3dtMiPd0G3ts+tgkoXsZ7n3xh9Dy9hbZafEsssk61Y8vBMR2F8zvzSPJtt3O197teL2SUe
ZRCjiuBgNCfybPwB/M9I5W67W6A3sfc3GVOIWDKOGNOCpbmq98prxQG3TH2aTfbiLQO9FwQYZ2+Y
/W5sOxBVCRV/eV5Ndzka3YVFYkJ1S/my+JOubGDlczTGDghqu6NxwdstrlU1UJ+XbtNUA9/1HlWs
zdijlKizbKDG8o+08ITGjxL5yiBFf5vGRn3xqjllxlmG8+0EwdbZq95t9v87//9HTjTUZSTMf3/+
v0+zn02g33/gb8f+K3IOTq5JMEZot9g/0OhoZoBFifLI0ft68P+7/8y1fsMRZmuxwP+Oqvv//rPg
N9xiJid1x2aeYwX/lQnU+vXU74cQfMFo/x9757Ekt7Ft7Ve5cedgIBNImMGdlK/21YZugmiyKXjv
8fT/l9VkHLIlUef84xOKkCiFulEGyNy591rfchG7weN4yw0JRoP0z0KpI1a3CkhSsqQAfavgQtn2
QCSBQqONQWVH0O2yE+MEMhtV9Ce/NacnVSAMs52k/WBiav8QYpbb/vRJ/kWD/W0rm1dH3CCCFkXL
xHHeNkJ99PgBuSb2MRns8llF9nRXm1FxVaiJvijQ4HnvV6bGNJeYan5/bfr3f+qIWLiJEPA69F+c
c8fmZ0ZJEEmkcX1cH4Mw+JjXAfqDsY/969RHtr1hAXCv6B2xCFt6PZ5sP34S6MM+T0uxvLjnhZui
2boIs7Ddpk6f7bvzEo/R1jm554V/0ntAoHcDUVnVzjYrsLrEVsLjycmmgRqQ30acyau1KwaBeJXp
ELYc0BF9v+Rsefh+a2ICnIm+pyM/EcJDABCSmxVtT8Azeu9q6NHeI8Yv6BXorc3o9DYXYi+P1jgR
Ge7rfdAgugemifvYTws1kr3U7ByuUxU31G4hrlq9mTZ6X51px65TY7FWyXnbXdxxAPoZONG6iopo
nesNujjv1YbettWYBDBT2Mph87GrxyZGACovvdvzBTCPs9J5N0aZs598vC2GLakQaJPV93rMezLb
GEAiR2vzU1aaHGrQFBB2jFxiO/ZWE+8Ga/LmVcyjBEDIC3FdnKuUBaXFoyDqeVt0LtBw3/PZCRBP
dvcTTo9oLayxJQHVAauIbCXwoIl1yPBWykH/sbXDxbokUgyhQxjGclylTO9WVIYUWFVi2AfFWmus
MpvR3ajURzeZvW2knOIuLRrShsNaMtNTNK7tcxEXmpPYkVbW0CKjxpsR7ew5oVL3RXLYpWa887th
2PCk+kfQWPn9AuoEJ5iuHhddR3o0Ip6hgVSHRVeZflZRb8aEDOw6RlB49RPqAoybMEbWg65WMUuJ
y8Dwpgv6cYAnEj1FHKMRyJurom/2aA634lz7xoWbf6PTDZsDGz1FlIqLXCeBcVJE060sjsW6lObZ
ewBaAY2jf6XBJQFk2weK6HiqVrVblOSeIokM18kUkFbnVV36UiQ05r1V1yR7abJbIYfKBQCKKMcF
USG0Nq/b2m/iZyLWMloNBT3w27Zt4Kb3i3XMTCsZPmpeDr10JcvnBSNzzxGtnxqeitrovhZBn2TQ
LzuQ4w4+oHjb9U1hbEvi5K7hvxQzQm6OBdt+YCT2MFvlPB8wB6EeN4JCa4KKJg83UK/D6jMCQATp
JJHhAcMiVaDjGFPQ3AhB2Aq64qqJxrja1IhYntuS8YueuaiVQUfhiO4uvacI0Ysh+pxVusTFbbL0
7o3sSzIWDOlztUa/N0iB6qEJFjGiwWgDPRux2w9d7CT2qokHXv0UknxZl9jm4nKskBIoaAMDbUZS
RwakBtHIg7xtEaIYq96c+i9m0vTmdRI3yrzxA/R+UGqq8hlRl6826Iowtuil3Oedo+xAc7HtEs3n
T41uuJliubwHj2+AhkxHi4wCDueSbOoNO4GYn1XfM+y/8IbY5B/EKlOerkhkD20wn2IZh48FTZC4
xa+oiud+7nJunWZpSa1enJu6Fbxi+n+lwTGWme3KNppqX3syu0UDCm/GKWMJZEgkEzKJkDlgSX9z
Bes4uyUFo87X6ItLtfFQYB0Jm8IyZw5dlF/lQJsSlsRl5N7NK9TRINaGG7tupoRBI2Xbpmgb9zN6
gJEeVdyk/pqepu4zINs3V2g7PFJ9anf8VAqjvImc2c83WOJK4nRNmxgeSMLp2JZfWtE94aZ0jgNq
F6VdaeOpdyDMbwyCioc9gRc1CXBenCMGKn3sZSoJdoImzXVkDRwVDGMurqJsRC+FzMpButqrr3SG
HYZWloh25ZhuE0lnY02m73RlQz26DKIhouGwNO2qqxEiTLVXgZScGnFpGVl39JGIuCtuIAxM7DML
b9mfN7ZfY7gH0eBKaFItXQmE2dCgSZUv5j3HpJnVb3CSZsM6Tpi3PiBM+qjQ6kPDfwvHf6dwZPQt
fjs4eih7LAyb57Tsnn92EX3/we8FpO+8s22mrcoDbggMkXrvx9xImPY7E+eCxUQWq+LPLiJbvfMp
EInXspgraRjiD/8CCHQgfBLrjYWVyBSg6f4DE9G5Fv55Vg28jXGWCVWd4ZVkJKxnpD+NjXyOnlCr
auOSVWI44TYCDWQ36phnS7p1q76lGzHIe2K1eUJKyhExzP6RGCpsomk5Ps6pk19aLV4bRJzeIY3N
Qa0QrxRrZIxENzpFtEULcB9WFml0HelFti5PbPSVfXo3IhHFIhgiz0slMFHMEOugtX26ITq2z04J
eaxJw3joCijoVSWx7FghvYBxaB8xySLTwu+0mfsmezGNHkmj9ZRwfrSqrl7hAT/NPijzhCjMfT0q
m0SmpM/vY5b0CyTh5Fq6CHtQkOXpfrAWsK9ZwbwBZ/YxD6d8m1AhXdhwfXdd21vrBCe4gzvWNG8a
x5ATWq852AzTRPyvO9UkdDMKmQ8LohvynOxgXalaXZmNd8Boe1+ZpOhaeGGv81RcFsGUbxJSd/TU
iBUq0uH2tRfsOtSMa26YcktEBy3eMIXgg0KIyExO/TSlLxf4VztXGe5FThNgHZQBvkfbrXaTDHGC
TgXZwWvVUvWl2fJQM5fYEF303p+FfBpz5RwnmyFLIUpJ+lmNmJoNNbjBfCzNbVaSvwiamjBT83Io
AtLksZen2KfisfSMr3hLBK06SlJjYQ7YJtRIRdkua1OVyDYNFL8gU1SCzMIqvBs/REq5pRUG5LXR
dt59jqLvIBE57928KArKPtu9nXKKOsPtzG41xwaH7JW3tNYAUiJWV/QZcGOKKU63pESRaNYNfg6Y
qLfTG2OOrcpAYDBhwtyXVcNk77pMMkgy1AClxoWs+EWtSwjHMBVLceEGRec0n0oZKDIpCP9IV35b
xgY6yaaDrT+eKCLzfVGXnhveWu4CsmxHmU17cW8vVdPd+8xPZudpNPvWfDCGmSQy5IcJaXcIpMFk
y52JOWnC75qy45nT9Rgjb6h3dRsUJE4ycP2ABHg60SpZ8tWcFCgrJXNG9m0jnJg4KvYeo29RUtAd
Mt5HqYrTDdsE5wVgNNM1dmmTYtevXxQJHYwdahncF1lEBBgrSV0hM62i94EqSMAwklmKdV7N5u0y
jA68ONSuwbqvo7JYod4ooISL6MD8ydjGC6rU9cishcImAsMPVW76kMYZnX2gMNbnOrLlJgvz8LYG
0nPr1LGn7U3VGupRMRKBVpnXi9nqaMsaQHCRUfrMRXXnAAx97081kj+3FpC67Blfw4ppOmb9JAmO
EekfUMpcY2QrZFxHO2pSmojQoSRCg8xXvqQ5LCqrm1Fh67hTs+3u+8Et7thQw73Lzh2JQd36yRA+
Blk1XVYZaaermqipV1bnf5UU/6SkwFjJPvT3nZRH+P7f2vbbt192w9ef+tFOEUglUChou57e1L4r
KHzzHWuSRa+Ejor1yvz/l5UPsRLZ8bbE5nXe735shZb9jg3SIcYeTYGnN8r/ZCtEmvW2XyCBrwrf
xlPm4K7VO/XPWyEhbBCVRlUcDXqkgkmeG4Ch3wbGOAJ4yE1PsEG5crzqtOY1b+t5I7QOFruZe6hz
O14FKmjzreQMyHwU7eykVbSO1tOGId3u9dhYPBvO9JH1qq43s6UssidR40qty+1JI4SaiFbXDdyX
vqhQ71oYSjjMhRuoePVaaJUvCtYe65Bp4muzEAEv/tTuVESJnSGxYGGcy492VXu4+9r82LMw4qpw
dn1L18HsBnM9JHF4S06adyjmOCOm0UKQPLQ24mR6VuXHSPT1XnLUuiCPGBkzo2LnC/FbiJuns9A5
Z3Z+XdIReErRkl9NyWLe98QbborMPQ298K+J9qg3Xk7QLbwnpLZWSly42w+bNK6hQCVms8dMVBzG
GOJegx67rEr32HC43zmEazIIG8Rt4foXYYGCpJzSO7KhYWBhGVuJefS2tGTKVa814Ey5i+1Y2+Ya
5Ll95ZNeduzbxTgExiIu7DQyLrK2oEUr64VmLaHpLaTxa/xGiM9rz0CIPo79o4CSt5U0+67CIFd7
G/vaTtaW4re2y6kaZHvtxkaAhEY+OlrzPkMo37YjrZrATdvTkgJ1GDEr7BwQvhujQjlvaw19j5ge
w9lnM4/bPV2i5NAPIeHY0g/eD15c7lgAnRcvRvl13c8yuQ7h9q+ys3x/0kp+T3eeadR7BwY9DSlz
kuwARIdb4Ns07rUfAP0/M8OmGP8Ix9nfLWbBCLIOkD3y3Ngnex7b7GpOqqcIuvyTN5XzM0mrGBCK
RZnXkEyGS8/AIFfmJl9y7CPBr0IP/4LEyRBpT0Og3Q2W9jmAgHrCOIj1wbDs+uD1ZUraS21cAC0Z
bmXewFyrYxpahKAmzToWRu4eeoOR6q5ptVoWHT+mi0X7LxyaksnZkkHEGpAV7dOQZ8tGrd0bOFCI
W1h8LB3S7k1CnSTcBmukIIWahiOsFZxSJ7nkd5xaD2g9GUH3RX3dOPK5zGo3uKpx/USXlcg+OHHj
3uPuZAiOuunYxr0dyD35mpgyVgNqGP8rI9w63obBvLBZTu1d26NA+OoXMA6v7KJfFV7XP6lKz31p
3DX9NqPfhlop2fpNj8I9K3xyRF1J6yVo0cZXkVPhETNIIdWDnvBQMX5qnmQ22um0UYBLOkCDjltC
J22V1xpADxNpUnU4fO75AKsmcBI9SyoJO4VVUTO9NHHD3NT4RdwP1BmyxqirZnEqKCWDlySoW6wb
i79ihWNHtA1gAH35wJ2rUvyPeT8y67IF6q1BA9rMzk++uEYwGwevGOiAqDIbjVXp9X26eUXiBoTp
2NdjmGs0KbTmlKY2d4pJ6+AoSNAcVkWNQJwenf2CeqNL90gXhurgzvSTNpCcqB46EQT+tlApl1xA
YWI50/pKC7EL3uI2Q/ZpjpgTWfs4xHZpgM+QRgkKZ0KyE2s1xH5R3gKzlKWznilerO4SX5EywWfg
UQzdycX0yTztdtJCEqUNmSZSHzwmis947WCVe4T8Li+p2/VkpmzwWyy5P+6hBjjXhW/XxzRmnGlP
KkC9hFxuLXvL3eOyjvYkr3v7MmrSu0JmV0voU8g3QpVXU6Siy6CqXM7+nU3+GuExPFRDjKuiL3oB
FsiRFx62GpINEv2sUmaK0Im3DQYUYwdwwHxAdkPuh2wXsQaqTHycURQ39BbKe29wnZvOqYdPdCLk
TKiqfzkjHV9ldSM26WSH+67Bh7talj4zV3m7zF/ruf7CHtXcIE5Gc4FGex3T8/FW0qzNh3ARwQ6c
tPekoPaebNsI2ByKjCxwt70tOw+GooG4a4Cf+HXhyHo3B2LTuk5I2F8SHLCumB9TV8QbgK7ep0HU
UwmTV1aHRNXTpbu4pB4qjBk4h9JNNc7J54g0ggtVl/R0wmlHApy9mhg5JuvOimDNEItnb5M5WO4c
PyGTJvX3LYytp8Utu+MMqAVNNEmPCihEvUoEWSNLS7DjyEHlFrOvSjbNJL1LHHsVTk+LRlmDz3Hk
+kh0bbWSiORWITynu2oOR+JXonRrJz4pHryBXYU5lUJ0tCOWxsX+aGGUYy9UfvUMP6K75qwjvg29
LHeqW6xtKgJxcNra+mBMXA+kVrhhGh/uAEajnSq67CZFUva+5zm8Rkfc3OFz9K/AfBZwb0B1gK9C
0m9Fww16QRSTMnMO2TJ8rj07vprtKPoQlL15EwQCpz0KQyoB8FCr3ivNdZlb5k1L2l+3jnny71Ti
TnsAbc2zR95d3ToIBaelOzUtnqyVnXvOMfdb/wRpibwvzq5fRpraq2rKzW06l+YRGcKHoGH+gYLL
pHhAWkiLy9pC72o86m5om0Vgbm3QQNcqjk06Vi2nGnZ/AJ2GVW1sEdE9nET3BMgDx2bfhi02eoyd
vkE7rx0mh6Mk0Lc1MIKZKNRQdrA4Pek6GAQcEfLbzNHDlMtDDRxtUwbwy+XkUVPgbKYlbiasBA09
v5ynCg+P+2DhvALWiYQ0DqPH1pmr+PTfhte/1fCC8U335+/r+w8z+T1F+Et1//oz36v7c0NLYeZx
mO7ooD78Nt8rfCHEOxPV2E8NrR8SaZ0JYkrE0TZSfBPfyb96XeY7xCGuPs5ipnIZcP5HBf6v5b3p
mfA+bKgfzEmBZ1ocP34u76FMi1gRzHvT5y9hmxFc+uWnT+Mvpp26VfaT7eNPF3gTGtFMVpbjCB9v
vIQ4A4+mjP8cDzexv46+q/n/1jql+CR/vRaDY4bRoEdY42xlvnHpzKIVGRwQcZ2oDN48qFWD3p9D
xq4nqYo/t8kUel/J3fM6c29WsqUrXcIGjosLohRx87+QdKg7HCGSM9N390ETmvvZK/pvsWfSA7/q
G7s17EvTqZZj1vpJ0JDvZ87ATY0yeJzrbpfIWF0QzSHw55eIKGdWvYJ9s5DhyrMaRSzZ4BjMAsfB
8jsi0vI6SmGUEcDdrB1GmW654UWggIpBAsMu6uVFI6r4aZ4y9EpB3bNwDHM27th2Miu/dGksbdTk
oBcRqRo/G4wTmX6wFKzooTW4jRWhhrbhVstl0vmR8TBi5LWLrTWERFBV647zyhRAoG6oxf+7avxb
q4bCPPPTc7J57p7/59v5J2+e82//978fntuIVQNZ/i8Lx+uP/Vg4hPPOF3B7f7TJebR+LBzSfufi
pKIzoLsPPxYN0kNNHmMdzuLY9lmW8R3wQ+ucB0LgpBRMPDH2iP9k0dCLwr+eaTrt5M28ujroQZyR
Xb8sGku51GSe9c4phwe6rIt46k/gfjRKcazbzz99MH+xgOgGw5uLIedAHQKVEbHE+aH/qRcfqkmn
83X2KTLm6tMZUjPT7Hyfxh0lM0tu9Sk0XfvZH5Lm8P9xaRZZU+f6ALV7s3bFRiqmrhT2iW4Cl/Yb
bTecR7ZyVwNBwGZQ9LdmA8QBywdDx99fXv/6X9+5iw0UmDJDfL64t5eXVhwWtFCtU5brvCbPGF7J
ERAx4lJfbsopCn5/zXPC9Z8uyq2CyY7ph6vRbz9vCEXF3DmsfHkCcQ+qhsL6iOcD36lLo+h9pXH+
dsxAddWLvmn3MJ+7Fwe52j4zHD6HmpHnHrBKMh1aowGYsSyg8B1PtvU6UIMpLoczlSdetB0OSx/H
mSkrwLP8/n38uu3oW5TZEd005Uhw1NZbw6aHF7Of3EieRG9wr/TQoVg/kZl67QRtKZ7Ly0lnUPz+
qr/CoL9f1efxQEDNhf03N4xjgHaYVCNOCcKWx1erqltEf5jJVJ/OYVCKHsoNJQEKijNu5vfX//OD
ibXSszxqDZ/75u2zwgy3SNGaYtw4Z9LoB2ZGUnAXDrBMfn8pwXr29u4E2ceTBU2MicHbxmAwu11h
mr04oYWc7g1UMunuFbgVWPC5ptS2nwc2Sp5OE1jWK5UEHgIhwLSf/uHr/qs3btEKtZjV0TJ9e9dK
tl+/RsF76hm11Hg6gqy8krQnh9XZMPn79/5XD4lu1/Jc8heatjcWaVGBGzGsQXKsoMIv5ggbJAc5
YO+aLpQ3iX1kvkLyQh1zl59pJ/ngg1xmrkA7H5IP4eCaXxTWSk+kTOlddSlklnM4UxQxE+K3Jjxl
yitoCflMWrLd79/EG0/z+WZ1EfDR2WWr8Lljf33SkywMem/2xSmg9VjvsKw1ZK840z39NeBLTW6s
Mw+NRjHjOD2HRoTxoo24s18fqnN8U5za5F4s44KfVRCt8uI15nT/+9f5F6ugBkYC7LF5sX8q6oxJ
9oMT2OKkFpcP5PwxI6CtPgnNHSLb4p/ubL2D/nJnYwLmrmY0TWOd/vXbMjLvQP2a6dyexgqmi4L+
9Rz4k/6bhda610CuxnJABAVxAHGI0MiIwzU9xocYBVG1soq5e7FK4qLOnCLT4CGILZuFU98T54+o
ZdcArhXrfBIqvssZJeMVtmj7KF3e0ILT4pV6+rfFMe/g7dvinfA9W9y50sbO8OamXbzUd7H2hqeS
/WDtVwimN4lrJLe0A+fuUIDjHdeJOyQY5hQJLLRIsCjv/Ihu0yrjd5vrecIwJRM5bM28c3cY4o3u
EDltL9aFCGdrRUctWDamtZBob4J1JYQhD7uN6ZYlgrJw1ukUvhsxP5cmT0ZCvtOWLcCpcHQh7rC9
qjj1NKcuvTZPrmTulTdDEri0zcuG3KdKZsZHgQIbidecfTWZSGwy6gB4QLARyBbFr/Ayq3J2Lro5
KjZxx/59AXcnR/5lJZUWWtJcmyLfCVZ22WITQrJYrzDwGNX7vshIhLIC133w/ToyVzWWFmfVyKEm
NkeFDdF6kJco0zvpfQGqB4oLm1eXHhZaDHJV973N7A7UhXEM0GBeybCHD1ENAZYK33+Yx0H0a9ce
wuZkjCgmmN11haJLIZlgEAtRVXcuIORmTZMmCjZegrEcmxzbbso9AltX6941aawm1CfEIoOVzWUc
yKvTgL7WtykTcJaAYLA1+XDQaV0gW/ix2W01E06jx7w2yGg34eF0r9BGpnC7AhEJDyxw0ZtudQGF
ByqOY8EsMiZUdruQM3CU4oic8BeEcYTlxO++osp0SrpIEWepGNWNb+XhTSNttIB+vOIkBUkL4NlH
zODxhRy8CQGSJ7/MXVnSja3bvUvk0E5CD/9MS0Z9pPfHaNKpohdulOlbCC+5Wy1RWGzMnq9nHQUd
4a1hpTa5cIc1N1YOfBA+xTTBPKFJs/LK7sUG4LaGGRJWj4by4pR5vdemGG2LzM8f3SEoTajpQFpK
d5O7gNVpxM6QMJx0hSIFcAq9SIDeqloj8jcEjf8ZZjPiqVT41UcjGhj5QuBICh3DM+ce2nhd/CwE
u5RpyieN6aq8NEOPYogV3H6uvRFSX5uNgEtgdWdPhGvxjc0BILt8nhG0DaAYCd0qAVvEM3clx2TB
ZmozAycLXrgokxkSAMgXC19qnJTG2kQ/sRl9sED0j1q++nRgyY7t8NRjIOrWy0weXKCg0Yf4xODD
aQRfkpNld06jPGMWWrKsjk5PDo5hsw65gEW2eUOgGJrHCL9+nlv8+rlWvDhOHMQHaoRkj6Nuk855
eZkWqXysTaX/J02r6zr62vS33AAvm+2jPYSLxX8JF0j+dKspfBCJ8B8WNy3TnYcz+rmB45UR5wZT
YdVEIrlhUMESc85bCjVowHfL6R7PHZt6bLCintdIajjvKlBsom4CKiAovRZPmP4odRv/sUWWgkxQ
v1r8pLTRrRqNdYlrUaJdjec7dHH8MYXk0dyeYWFhSJRiv/CNDDaV4SxH8TgIQkrRl833ZzablSWa
cymhvnQTSUznBDMO6OpZ5DNvikeSK6XR0L7EJTdDov80NDNAxBAKwtFMB5IKNSHN1+VRpTOZ8LHV
n5I0p/qd4na+PxcKS1pDYjxnmZybfmfYYVPzYmjpJi/wfF0+C51gxnzJvKHBbwBGC+iCNllaXnEb
8d1J/WqLsmbjaTUNNOAVmYlJEV4i2dwqkQJQ7DUMdE4l8ZABzPdnp9UouaGEnnms24ZXPvAzcCLL
EU5DbTQQGs4FTq9LlRSj28vr4eecbIIZRecoqdlGyWSkNXFtCM0ZkhBITQC6spH5WtA82HZ4gZVk
QAr0oxiTbZWL4EtmYFddFedHSAQKvOQwNboMYufpNs148uwRsLIP0JQThEdxx7/6oWADLmzF2lbq
owr623gvZkFhYMJxdPimb4oWIyhvp7y0BsO5x8WIYw8pDK926OPmMI7suJ2+PXEpiRszTNiZUpCc
zTYZKFdtL8HWUo2hER3yKOAMKJyCuxbvp2dtCafhxSBjRctop3xmZ6bJNMTuY5J6dQYvygSkeM4n
yyJIhFGORHmFOor3f14E0syCLISFGXwd45YrZ1YWlkqesMrRl89H4iTx9VGOdaL6BPC+vMSsTaQX
uxQQAYtvFZkpdDU2cj6HkRL0nGBJEtJ0N82h89x4Hc+rSVj8VsYLINVQ8cQ3TcsrOd+J9pSI9vJM
rQRayIKBpZDFxw7rsL3z0cyOR6/UX1BS2yxNEsL8ARIZKIRumXz03IvRbhenoyiSHjbtlWQ29kAP
Tj1bSSIepeFxBvATjiH25InH0dK5QJacxbBinfdB5cV+9ckJkaitazFOd+d3yE5Ejdxqi1tTEgh4
PvAu5Op9WjQCdwg5osYs3aR6cKR97HETPpa637rFbTndLWjzSR/Shfl525wXkzuqygxwk17Ee19U
BUxFegbCKZmjle45yehPrUEY5RNcLpAKN/rlRA7vAhee/Vz1Hc9rEaHcztKCxwo3RLBxScFATZAJ
D7FOyHIUk/W0xpvC6hi1DWLziFueaammpUZxQBrxOLg1Wnc6gFtFlIS6n5oRYXbBHFSngJrqGX8p
Kwv/t//+jF7Jsh7wZl0a5Ralxphd5IPDT2d9JOsH2skjt4hGDa8XvbnEyXntm2Ri7CEcsshTioT6
SG53nFcYmZSX5w/gdS3SB/chkawLemFtQqI98Mpx7wahJphOHX66yY3nLw3b0Ol8f9pY5PcJjYA9
OHI7vXZ7j1sEBlRzILZyuIjCmZnJ6w2Rj7n3R+UO6bDOdbyekRRAcfTsFMSyeDzfFc6UalqjDEin
1ChYURfAXpXuNmAGRcPtFIUoUNIVrET4iI21W0uaEA2Z8csq1m/IGHPuPtTi2boBetnuZwqhZsN6
L26EzVvglhOPKnJK2JJZyJPlwnK7ly5N5R2Y2OmODCu4sVYsbmFvLydO6tzUpiHQ1XeaNXpeARFt
pjmTGZcPG+CG3r6ZYiIVcUceG70BFas5tOYRhV3HolCGsCZ2teGBGSvOIYRJ3/GYWfXMdcNqBsB6
DnKtOKqhCiPBMFQh75t8FjzdWhFqbBK7mUAlUwstDwOS7OnQ9UMR3Qqt3TgCdBI3zTldU3kdn0cY
l9ztpoAW99ipniIkNFJIRXqmXDCv5/1i072ze+k+9N6U3zIohAUfENUIGhreQY2YRidZjWmY/BFa
aEtciVDFcjhSE6pi8QBDx79nzMeONMfjsu5oefpUKLPzPk2grKq44gst1bhMe6NPrJ1ZoHVnDkq2
Bvr4/MiEMLm27FaINbtmfuRkPx0KgTRknVVVcR2UVvmHP2XUC45GXTPB4A4DANABBpjazryo9eJ/
kQQhjUg/iqipervkBJMxvzVKqWlLLl9dneEKewgTydfT5BV/x7TOh2QpwEp0AEea82NzYJDGulQP
1Di5LunqCDRuGhLpeMY3g6njmdEH5ZQUv8vR8nlU/aiGfWw2vDy4LzSbZEl9YGOAClbTeTMJmOl+
WuDYpd9Kakx2F7+ClKr3cMEA+X3gBdxB54NhCEi5usiyRIO6Ota00pnc4JJ+WnM4g4FjTePFlA/X
ewIPLeBhvshlJobDShH2cztZu8KR7J8NvoBDn4esVovOPD+D0s7rpp+kLI4MnSzsrwXPRKbrzSoA
jg7ID5BaUNG+gulRfULaitO6Y91rah6hTtOS48BIL4xS7ZxQr8zLUrIDcbaLDlJF8Td7cMz2UlWQ
4Kj/ENCotPavcInoCqOmR2KwM+dp4ZHa7S6me+TANnWHlvPNColFsy/RFe8ywt49ziogr8x0EY+Q
7WnZKc2nps/DR+Im5GavggCI7v7M6nVQnT6i0IWAWmuAmALR2CwaN/taMmNv/oOIS3zNPqPdXZjm
rrd15k7uuHL0iHRlepoiZ7mK7Dl+qvowxeXu+qzOnHYWsnpk72Iey025nu3KuCM6sESYvfiFt7Ua
azrIUBlf+8pSL2Aklm8ZVeUfZTa170c5gtigrpKXomrNK0FRRsyQN35E3OfApEbaESF0LpJ6izem
vlDWBDLBhVMRJk78AdxC+OBQ4wMTyZHQpK3SYyk13/hWFTxFhpt+LeuZ36QKWMFUyoUf3i2FwYkV
TPpIskxnkvpFXozzX93n65zmn3SfypS0xv9+Lvz+G1G1RffreOf8M9/HO654h9qSUHTaTJhifzbR
utY7G0oeECz71c3AlX7MePRgWHHrazjkd73ojxmPBMbFpATcFQ5PU9nufzLj0d2gf80BlPS1CMMn
qwWqFxMj8023yBNDvwDeVAePZ5DMysgD8IGL7qfP5O719/1P0ed3ZVx07f/97689KWV7jrB4jzYl
mU9BrqFkP08bgh6/moWO69AnbO2cN+A3eFNQftZJUne5w3OcYdqEd7l0/wR11N/Xz2/xfHFssJ7p
87G5fNi/XjwiDGGyCG49hLbPBuM2LUHok+C6qNDuE4EtL/TzyocRFVsbdETxt8lAHb51Gsfa0Hik
gGcv33eDlwGTNmqCbxHgtF7CkSzJArXu5gZiURiShde6wX3uZOPm9x/gX74JF1IaAniMKtJ58wma
DUAFQun8AwhZuZ1snJO5AZ89dsf5qbbwEQciZe83iFxdC5M51ogDGfloCIq4o3V/5wAcuCtbD3XL
QAsCB+2yG9DMHid/4JgOiPwxj/sOEMLSwcTJKcx+/x5+7be+3gSMLPBsex6NSfmmEd0CWe2B9vrg
Gtg4GxNtz8TJea+ZB7+/0q+95O9XYl7Bn8gI+pOYWQ2izSu814eBk8VhBgUBQterL5rOqk+mAuf/
++u9eYjOdxgjEmTa3OISFs6vd5gUhMTnRsb1wrg5sTqgSus5OPz+Kn/x+ekmvqU997SV3s66/Ibl
AoGid2gkNFiPT62y/PiQtt7j7y90hs/+tCjo96MYSLIw6XXhT4tCEhKYOHIPHiTpX8fFbfEc+Nwz
86w7IjnHeyJMHMrdskvv54FZYQWAbGMnYHjQoC6XuVL1qZkdKltnIJmJwHOOYSQiLYdQG/RLUqn3
MffmE9kGFIHWYtpIGZMR4rEdcpGpsuUW8398aKXTfhidJT78/k1a58HHL+/S09YvPk5J248EAj1b
/GnirA2inO2b6TAmlqBnV45HekktnJgm3ZVpK1f0Rv8gnM3Qoki8PrObHLI86XeDqLpdWjXNTZXG
I1kwhbWpncL8IAievVH+bH92xzz/gHFky7FSPgg/r9FyQYpeN06A7NxM/V2EwXbTDdH0RPMT/XgY
z/uURHpcHJ9ZztKD0ymFRkWqwxDTDGB3oTNRBaTWoaI8sPkTqK3ifBtJW+xbq/QeiftNjolBy6MQ
NU4iwpa/RkycEeyn4dGuluG2glZNJ3xxbYY9THWGwFHbapA2qpSqX9MoLOHsirA8pE2ZvoeqtM5q
/GgF7a9bxTjhZZ5BWXtZ1G3DtLP2KrAT0tgdqHtLWjkbw13sk4os8xEDXf7BDaP0j0pEJTQ308c7
4DcRdfRYmhbW5Wj66NJg3ri5JG7G97NjMifT1VL7zq0Dk2vTebEO88rj8bbHB/elSHTKQ91uaVkn
9IrTb0ZqeNcGHp4NPWvcSG5zkeekBGaOqBG++8dpMIqbMqjIwZiKsSM9vDFWhlsgDUqu9Oe5KanD
13gsjFVbItkRufWJo+O4sqfIPFJA5lc2rMQnI/t/7J3Jdp1KloafiFr0zbBOr9ayLOnanrDkjh6C
CCCAp68vjpyrbDlLXjmvSeaVfawDQbBjN39T0f53ILDfMm4mv18MG8fmfNnSc/WOEGfjC5CU3rNM
Q3WHFI1qLwZ7BAcYKTSD/UObC3bEVKNL33vec9fL7lDlLv4dYgYz1bmtfGwXhVpLNWseDTRgNXfZ
SS/jIc+9926KFg2xbboYcKagG47xEg1V9xsFDX2N0BHvF1nfFGmABaGegDFn9UjeiVoNfQD8xmzs
1l2SeTvzGUswqvyAbOZNmoWf83mxT/kw2Pepsy77Uob/LEP17EJU21Fgl1urDJOnAdm8gyelcx3N
o8aWs0o23bTO23OPfix7C7qSjacPktmEqBHV9aYtIWx385UVZ8mxUnO7XSA0fGKUvHAxc3rIXZTk
8srYi0q7NxKwk452HEMVmrpx2NKgKZCmzkL3KJWyrmhcdMg6AguVc7A8o8nEQBjRc3hhC6jwje2W
4h1SgjwhoGIQHRfHv8hxFD85XmGfoo7XJbRAgUJ/690Vfh+TgHwDJ6LfrEOebgEJt1/l5GcfS1xu
voWRWj56k9SXADEmvNiTYTNlwr+WtgUPHMj2Fvf46WJ0eL+spcI9qV5oC2zsMlIOLkdJtPY7pw9x
JrCzZjNb6/zoT3Z7gD+U0zLOxN6vO9T0FtQzEg9LcSfs2+vCNNRbRnCboOPHsh0rgTEdhQPCIdUu
7MblaIVQFXplV4e0nBYkdaTubnGkqynuSAqAkNn01FzwyEzZdkXGyUFfxyCiR8FIU7t77lheRsy6
9hqNeKwvwbmtg63+WRPtv3N5UW+Xwu5xvU/Rod/Yopu+IxWid0ltryckNOXXPEK/nsZS9HQWGWiD
CPl0m/yi7kT+DlNZspOJlI8OMxprGWCXXUqh3QMuQXZlRojsvs78/mNZetWusle9exkCBGI51pXj
XWhcSg8Ce4Inisb6oi+AdKxWbp/qEqeJUnKTvSD9CusO5QV8TU9MXMStl6/pZaToKOJkhDQe2B8s
5zuDlpYTd14V+bvExn4kGD3sJIbV3ftgw9+tkUgRjPVX/o2b1OofelcBco4U8hqXLvs4TQO3BI0E
wD40SdSmqjLYQ8kN3jkEBiZsDIvE4K4nGy+ubRKN6SW5SrAVaZhsyCPl5QS4BMvZfPlBDjw9FWjT
773ORU1xqYFlk9sgbWo3/TFtreBqkJ11v/AF6J7XnLwrw1Ium0HrZ7TupRF2zId7pnr8V5UhOGlj
JiCj3PkIfORKYcZ8jKa+O6rSRVKNfNG7Cmb7CIoCVqYcPdxRe/8g8n6mZHfD7VSXcPq9NMcqB35Q
arlbPQzgFCqN7Fth38m0TSbmINl0pIm65EeWn/JU+nGfX8O96rHiXUBB4gCBuhkCW/ZOeng+XCcw
jASRFR0tOCWun9/O2p2b9eJ8vP8/UfGvBatnCpw3Ctbi36g9B+d/9K+KNfgvF+EgJKDJnw0fkXT2
JyAx9v4rjFCiZHhP8Rmc8co/K1YvwawwoJEBQiAELWgDmvpZsXo4EoJijE0+GbsujLn/pGKN/pCY
j/l6j5L1DPwCtWfS8V8St3jC+QQ9NIeadWlx2Jm6mJMN1521XfrrQnvQb9PPS4sYM+wBXHqIddnW
R/TkCjOD8dbrcNYlAniHIEqdFJnYIL7Lje+PNA5AXYufz4ay/KJPh4eUU9hA9Ptn2xNonu0kC/yI
M0v75A7hfCcaM3yYmK59C9IWkWgzMfAXcCSt3RvZdDM79ARZ38ZUD09D2FnfqzmaHznwmvk7BM8k
Ki8L5evbvIv2slGYlMzlFXqvApPvKW0Zo/gZNVlmjf7tOLiOQ5TurAfLD2Ciwa2Y9iLmUI9IXDeq
KXp/R597vnXkjLJMlceom9bwfxQVLMuCmsbJmXV2XQpwCmMVoi4ARr3bp7HWwcHpbX+TquqL36zt
FQcGokLx6u8CzP4+ylLBq3NSnzSPkFinnn46D09BJsCJ8hVnVycacZcmtPxQYWH2bJOAfSJsc4Sr
mWTXVjlUSIalm36d+ugJVCEaeVE4M3Jb5cokZS5TkEppYgwSySYH911feGATrYARgoQv8jwK33gQ
Mm3/5GdAbqg6nYdZe2aVCXbZBnM15yGpaO9szmPeDBMaXKiEGWMPXk01ItHZu1WeR9c4GhTNew9t
XRiHVI+45eU0D5nO9DRMdQtK52VQdv7PGkjFuk0F7YFNP55nFHnDvwm8pcLnx1iLIQjKxABIEV6M
fkwvMzDz92HyKYhqZI6d3bmrG3cVE2w0KGjwjhYUVBkbK5TzdBs6JrfRjFNx1FEHAX8eEuZZxoBL
zPgkHX0UdYuNnNXKGNDMvJeG1qmb4du+LWHrG+tHFgWSHEp8Q7XSPrdiM2jSEJeyPdhNVreZUvGp
plZJEcGamHUEEIGRa0LE39/FURe6t+lkjNzUkNrZxSAmM3HoGAmfJ5UFIkEw2l/mV2Sz9bEuS0Z7
ndVOCp3gs7OjHxuZohnsPFB1egvovLiIM2ylNkJo5yauH9LKmMm2mdUpOkBhNlpMlwU3kaI7fRcX
U3h9/sYwMuhOBrwcxTW8VZr41FzbUoMC0LJi0OP5AexIX7vTeiRR9Z9t8nCspM7jQVuKTzS4AWaA
yJMnIE+B//5shFd5yAJcYHci1T4NR7rpvWvsMjOvNtNsA8HFsyX8xx/KxXo6X2VcU+Wf6sUv2i24
Xi42ECG7DDaCc5tIhNRR2FSMiFRoBI2qZurXD4M2qIiuNo/0BSfB3NlWt8OSMM8NQY4tsuPnZDGG
EC+ujZbBjFTdef7U0MyIULsnxzagCL+xHWTi8a75sa4BO7IMLbOnHBecFY3quDl248Q4I3Kaedzm
oppxaKgGvRsS0hO1hvoeGtJ8N5WgSD12mre1UV+N2actUleJn6DPG1ORiAChssC1AEkpF32GsWkz
sC9SRbehadSXCdMsOvJhvvNItkBGLCgY1FKJT4M/qvSAxtf8YWIXH0sdN4cVDPvWnrKA3H1QX0vL
Q9m25tB5qpN6/hCHVrONXMnGdqWW3AwLcB3SJ+DumqrzNmsX4ETEsA4R4CBpGU6wZNN6min1Txqo
+dce1Xlv77QdExAGNYx8XDBCF1lmgJutWd9lztMnGUVEkBGaHl/Y6HfaCfy9D1GZanLw9IZpmJNA
/fLFBQ1779jVcZ7j3QzGzsyw7muwFC2iYGgebSLKuUfAGdHBIp3+7keNd5nKoTiVU+x8q4NofYoz
IMsHmxB43cuw+O71s34Yg2C5wKul2S+0FLeIcjwyo5JP1PZq12LS3m1q5MiZc8LZdvEuvXYoZvmz
uT3YcbPsW5zkvwP7q3gDdK2u4kBHxlAkWtBxXlPv01KV6mpAxQ6bLLrOFKqyumkCtO3BD5kMch5I
/ApmW9dB1iPygrpwECS5v19jStbNDA7qEuPA+JYm1D2edu68p1WJMEsVT8phSk40f0/1m1/Q36Vb
Chl1PeubG6VzbTTPK6N+3k6SaIIeenuWRnfa9qPH7IIc+iydDlbDuxZVa7uPKbjMJ7T15AdIw3d5
MPX3i7FN1ZlyqFKd6EOLqOmmHqmC3/UAmE8IpFLVZLn9MXP1fOWj8b5mbvjPaGTfsW/oIKPqtkt4
P5DIOE0SHb7K0yfwjmBehHunVNZtkMPPg31tFOa10Zpf0n6w36u868DmROjEGFV6vO3lzHRzgC+O
JmBr7/I0159TKIb11jlL29tnmXucDJC8txy/xk+477bxbA8PmAPHnwo3sRVHIYr5o9HObygnLwCe
sasxXv08c7xf6XocbwfX/qxl3N8IutPDBqCCCLcRin/XKlzL3URT8sOSQFhawHe8r5xw+IGSnvy8
gK7on2GcIvxfnE0ABrlWFxmAhq3o5UfQlOl7hqnprjL+AaSC8/U0ON62RqEE/q28HJVnvZNygO1/
NiGAev29HjQwobXANCNY3PfYu02foPCnuwyE5x0jz+AdvYEs2lRnqwNQuOIWmnV1g0uo2yL+blvv
UesLdpE/6j3LBQXdD+dLoZr2Mx1ofxt04jEdhX1Z2fJpMM4LmKMFRrvgk+NmFyX+B9fWEvgftc6w
bIgqwJpOqhzkKvL8SmWUcB7Nh5sxknD0aflUkcsk2nYor6NOzP61zgefO0Tc2M2BWu0y4Y6wtBYL
RIJxCMBcotFxZ0am/6SlH22yOsQbwqVIp4VE7T3XNUr7OFUoF+2EHLInJ0UCKJY6NtxAW8feApUr
e964rvDex5kf4hkqhw+d9DGQl+3UcT8o6lbrjKEd3hmdrIIN48jH0MZXo5VWgSsbXhsZTQ3kFZvm
A/NNrDhK48rhttCQZ+Bfai9so6E3hFCEF5Xnd41RE6g8/D1s4/SxGM8PS/IPpzBDwSCIJtwbVaF2
Q5O89wYbv5B2BKo7uL648pq1x/QQ1YXtYlxGxrPhSG68R0bjQlIUIYVcGl7A5sYEsKKDi+UyviVB
Mz7lY07DBIFNZk4xCcU8ZY+TSPpNpGbEr3rlXYbGEGXGgGHjJzmS/WPIc0BdUcOKb+xk3cZQbhBj
NvYq09lpRRjTFf/sv1LnwI37qKmPQvvxk0i48UnM8kNadtFBzX1a0mDB0iXG6nvXG+meGJCiPUsH
f6WwBXtY5v5uXTKU/Xz4+mCXEQefjeAwUEm0h/k38010ViSOiDffyh6ZYlqdCBaftYtzI2MsIgA9
iUyQNj6LHBu549oIH69nDWQ6xOG+MMLIJWR43Bvi8UYLx92lC8Yo6EAhBGJElXE8mm5X9Ku9R863
6mZoa7jR2wa96btyKICXVEF3PzZzFt7XCf6v28BK5GYaMC1BLdz/UjmunR0SwDK8QDa5IKziCt/x
+UM21fM1Ni5qD5Y4QaRaxel7RRpw4wK3IPIuXvYxaqa2w0WU5m3qJ58ytK/v11QbOmWWH/pqXPAA
CYLbvsU4g0ZZb+3GLhgvva4ermanX44xjLA7JxjUQ66by173VyJe5x0kx/5dozr1FSlQeiVDLy+R
J0oB9cZPJGr6QEsGRxTpv6dlVdebYAIOeEA1NqsvVb5q51Ak64pWrI81NMzNtis3jRuu96Nniy9z
1TBlJ+TVgNrwCgaHD6DgrFNRjdJqvi5GvsJKELKwaO+jaSGKYPwSD4KG9NIieCFf5C8ai+B2gdXE
EU2F6L5DJ0OcFTPas3qG19rPg07EzYyY1KaI2QsX2PChhbiWS4XcbJlH94kLleGfAsPWROqNrNr0
rhN4uQawu4G+bQOh/wF/2219T8ZZdJe5or/j9LsYXlxhf6nk/82Y9fXcyzACmbCCiWOi7Puvh4RZ
ohFRyQyERErQIx6VaFDk7sMKLPxbIp2/TvRej6Qwb4KIFLjMjm2kDV4TkeocLEZgq+7UIn1yPeSk
7orA/IwqJ4Qvtxu/5rXt+7fZFI/ehWSemiJn6oABhbtb4kl8tk+j1wlCF7gYqB4rhPYmXSCHWBJA
w6s6EkB/bVPStiZU32ysYxMKen9YP7ihBXgTsQUU4HEf+TQIcIhdMOnhg0LOWh1A+mLKum3D0PM/
r9QTFY7RM4VdloK9LLzMwNCIGA9N5DEwrRf1jS3T/sBNqP3gJRkZ/dArPn+mH9q4Xs/XGbWRZWKn
TYFFs+89kMhRHRJQOOoYG7zmwgclGqACS2XAzuG8V06ME7yphc8Ilrcf+uvhI4NHQwNlqBr4OKK+
NnKryJCZNtjdKaDrS6VZlNQGI1Jr2UtL7f+klrwe4p+/CAd40gB0G93XuyuWVHB4uXSnM76V5gQw
U0YyPB80YowvtwFBZtgKhkC/YQW8fZt/frshoCFSBUMogchu9v4vTR9hLU6EW0GHr6BAhUhrutnQ
XO6dtpanbrb41nCIKAJeoIFvf7nzOwsugGuLXqoLRdN1IrwWX9+7LgPcY1LZndDGoijE1B3Ic1T1
oK9LRdkM+IGbP6PKh8yY3tmyHSn82iyqwR3MzsuI9v/bm39pb6Ky8Kag/X/XcCCef0XjvPyLn61N
5taI07uMe9GisQmQ7LKX1iZ6DWiV2rQtiWLM8HGk+xcWBwQPrC0+zrsVwDw0W+9nZzPgrwIIyyg7
gJ6hSfYfqbAZPf1fkCrmchzaOuwVh92G7sOrPY792dI0o+1/z+1VlD8gXaeevUOBzeqH3TCgkf0E
na8YDmpBbgH86RIEX2cU/9prB3dNtBSFheXFpkLaq6tQSUyxBmFUi/LKo7Qb9BC3FLHhimswxqqT
taU8641Ufj0uq7cDSazcd0BoRIRNHVpL+hHeLyG2BmIMAdJfksLl+BvtID4izlb0Ab45ZZDIbU0v
B/3OdiqVgGygcqYWfwFZOAYf8r/zejwqee9dB+4QgrLow75enU5hWDuoNfgulJ7ABDZZlDNJlb7n
VTdJRgvAwgusaJsffSiL5cE3VGZJgj9K7qd1cDp+fDssuH9cEg43yKL59MLpb6NJ+3tQMh2NplMy
+0a4Daob4RdZdbn6Y8/4J7fCQlebJiogvDApEfEI+22G47UpGaJVz92sFmZg0Yjp8iUdSWXn+zXN
1nG31jOPYj8Ma74+5SAGLMycIIyEtyue3nysSXxFvm9naoySv2C1fj9PgKOxyAS8BMkQJwl5F36/
pzSvZhjxdfvd1jCiPgSU6d19g2vVevf26vFG/fo8+SI8gpAxCKkGWLwzPuOXiL4giZGs4Zx+A5rm
Ot5eAGr3bSaTvOGzF5X+O5SrAyMsGwa1NWyFk0XTfVUE7d/wQr+nMeaWyZtcwwONkRfjiPv9lh3s
9exkLsNvk+KUu2XsWA5YEzUWFORLeAlrEP6ni8xAJCaU0AizI1bBbKxf7t1yMgtHwMj7Wo9gAJYd
PsMILzIZxAte/+W7zCb85b3h7ghcvoMeIpEPZuirB+oicVWRArvfZifDjPG7iz1fnl+kAoOCSxoE
ZonrJcTCe//2A/5jJwXsIVi2IbxmdK9eH5rAhJQEg6y+ztgNxTiHRXU83aeuVbC6b3/VKy8Q8whJ
ezmgQ5JRgvdrMm/ZdQ5jZrf5pmo/QHSvSNL2sXYHYtR2ANaTiXdzsqZ2c90Vsg3tfTDl1fpUqkgI
b9PUBEQqRarX5D26wjCVt/lkBM8qWJzxchq17zd/053448GA3zTq18DhEPcMXwc0J6liBNrt9itE
YslVoDtRlT8mZ7FgSXZN2Hm7tJlAZf9tsf58MIAI8WaJgaSiPPE6bKWWAQjKwPqyBpbjAm2PggLf
6CgWOXLDjle7qsY20a+iZzjvNM53vZQyEdsGmvb0UDSrlniCxtBhv6DgabzdwaIvVwHkBghKbz9a
3otXG5gLxJTKvCYI+PxJ1A4yLWQzyu5LHhdwBDdlTGf5ToWzZFOti50t0zFhghPeWl5a8DapFo1t
i7x/WQiWSeVny1c2YFP+IFFmZTj+IN8wOHR8UHQvARiED9ElmIGZfFQ4BKRnr7SKnYqfqeLptHTB
OIYRmJ54IpCkTIjGKD3nC11Ue+L3aS6G+dO6mBRi02NdyFog8esR5O21CPvy4Pp9wPvd48LA5BCv
zeZ7qEencDZ4gan1jtc/CT62EC/WJ7l2JdeICEFCgeugqPexUp0o2/1I92l9WkEeTA+T7MPpHsWj
ms+iskYE2eTQXnhmbo5MS7+B3llUy7ZEK5oXPY35HSCvMPPIswPk6bBFJVqXLp8MnSLlIwV4lyZE
dW7Oh/eDjhoOs6WfS0KwouGRAQ7KEr7aKnTCxzFEN99mZYsIb2FKFP2nPi6C6ZT6U1/c1D5ckKN2
wP1c5b21jJfjPM7spTkmn8YKDzGJ5YoOcs5haaeDOTORAnd52xApH3DI6/xWVNXp5w0E5UCLYIOP
Csa5O9tOLRY0sFu2H6rfJojVTWRbzR7JaUYIe+D1S4M5nMBL9F+/oxewHPceMKki37LlOj1vwIoE
rMHoFQtfPQsk/y7RBueecHA3q4pwp2blgliMfEBr7LQuqT1GqnwnR+m72XuIL5U/FjAeLItYop7b
I9Cb7dIlA6eWV4GmUHs0T8vmvh2CDkPJ0jOSMBuB+CXv1NQmCbsmcyF5AovE14h/FUdOGh2GbKhi
79Ly5wKlw2aeWMNuniCyIKWHvkH6Ia7t0HgGws+q9QUNr4nJGHYRJncrndnj7xbm0OYmygTO+E3v
pVOb7TtLmuceuRNRYC9X+JPNHpFws38luBB+ymKv96bLRNGpLXfd0vm8CjB98JrgyQ/wvUxzdOCS
Fu6eP9Rjaa6FLh9SjFtABbyCOANW7BRvDUP/NIWxMVEvmyI2eVs6MRC5VYhxBB9pz/DDNvGWiMsq
fZx0arxhAJL9GGccONLNymiS31STAvqncph91iezQ7NFTWo9PYi45X97B8OngUEZhMVbUkdYMXtf
F7zni1xWEzxyhnHPZe9J80oDD+eXSvRHeBKBIm+EhCYcb3qIisplFZjPC7WcptlWZXMzIUHGL+wl
YAAgP+RiZld7RSGHnaiS1QlOc1wzZtyV9gPQoCKZdlhjRSYy5TUSf4fQxoy1os/gHYZqyXysnnPm
tBgn22K9C5ZlZvvHKgY4sE8a+hMtiYLuwtswoGcGps8eYG9tw7T0inedA4OQEXc5mifcFiC/nANe
CmqyLgplo4WzgWnLFHw716Do9FWVqohrTC3Fs2F8AjPruVW4idbbNi2XrPsAajX1wU6qLgEDEdoF
ntR7AjHhZj/QPVngA4mxSxL6DWGMJRK8+iE/pRgNBBlMp4owG35dNRTw3ATbxTi4lDND4xzU4pzn
2TVI+tGJboc5UWbzFKUJKdGgl14cqiU1+9IeZ8UeSr0CW6erzshSiUPvTqNEQSPwCJWqh/wPlavi
eWDlCYtv7G+VDl1CLhLzI0+pRS2Ds6BbGs3vQkTGRMGRxWfn2oVIh+lgD0LzSUqYnr8bcO8iLlX2
1MzvYf2ZjDCndU94Ev4csn4Dmu/h7cQq8i447qDYUFOPoHN3wdPvl+AqhpTrn+JarVw4usEjX+07
IN/EgXDJcTQtIuKUb1JoVGof+7U5ZIdh7NmOcwiTDOpjLBfiA8bSlv9utmEaZGgVwLM+iR5lnnyP
ZAaiG2vjmhTLtnS1fAXYSzXysw4h6pvF0V3vdeAvJVE12Wd5qWl+Gn9eKTZx7GW7PtVtuvdtjCE/
pP3MzRcdh/9ylsLiiqNSW6wSEhERL3Y5rqTTp5jGPCv4c1uD0jV/h7gBphjbtZhN4gzexYR7ZTEu
h8fGrvT2XiRNv5RMNMP2ILKwuxy2fpwCHNzoHCmEWxdRLOxHk0oOSF+vzhJ+hkTOKNBu5voB55gE
8Wkp+6K/DFsBgSHsplF8FQ1nDKzWxvJvUq7U24L2K/rPBTF3PVSYPNXffOAbEjXksJHPGoC7frcm
FhKyzIdhlgoPk0s8ZOGtIg7RQ+CBpQYuBl8e2ecpkq9QwxrnGg42pgxIDE7OtucZYUPazVg54iLM
hNPH3nau8JsEaS31Ajs5wjQr2QhpLcMnukyj/yGsUaTAbQpKLYOMpHaXtNsIxB6AJHVLmg0XQ85J
VgOBqfWKRXpRr7Y8pCD4jKrVko50vKobxDcccZiSKGMMToK2PkB/zDsOPvphl2pBSHrjgaFxtsBg
E1DDYTaoZAdpMipRDWTEvs2COjsBGRqQJLT1epXiPmkfHe3k7oGBptOC44vqFb/H1AusO1F1jf+I
R5wsu6MtIgwe9glms/PDPMzecGOpobXufctX69MA/48OvwxD+Yh/ZsYUuB7CSIpjPAdIRkBGQT9g
l8xrXR3TYoDQuHZ+3HSbhBm/m28juao+/uJgoNp+y/GEmmamlcPSf0/KAEYJUgXIp29cTwWoPQ5p
2weIsVZ2gCVbiqBaeAspyKrwOAkFaW3+PWdWgBHJtouRM+92zC8WjNVDb/DQlpYuN1Pe/cy+7YXR
lnMPx70D1qG7whyoovGwS3/USyCEvxOplinaCbadkaNgaBqQjaW25oWRIKrZ/9DzGEcdYQ5O5lhJ
CCS83H1s0kfJAc7rkPuhiXDwkUyGWVjoDqcHcKA6A7HgKaHjq7XPLFJSpO4njp4gb0pOGVRlMnc9
LlHE7zyMQWfyFAiEpnKISgd8KxTGqamT49g3RfgRvIQBpjoCJmFyRNSHXoMY+4AwGShFZh9j/Cvc
o+/iPf9R2+RuFhb3WhDLyrgwhwaGAKnmDG/gJu4npw1X75T4bk1K1LrU2dZFMzY0PzfkJQBbGAU2
0gRE3Fk5o5Fr80lN0FAaWCDRRubkjHs9c6UyyyO+G7+oqIP47Aco72w7FJn4ZXbZgU7aKAb4XD+C
nCZOVn5U8xG3dBKuqE2FcuQzczmTryagllYAeqMMv2jdtx284jJqr4EuTRyLgxAml2pFZFIWpnpm
jVBxDAfnB5KHKGHtQBdNI9J1TkvfAI0LUIDoAtlw0JsbYvhiUqRzuydUjTmlfp5gvtOxjlVnm45F
mGhz9Y6XWiykwG4s6Y5L0VB04CHDwhJmSnMFo7Jyts+/VmLteYU2owDzRn+oxWPvoWsGMFK7ymmX
GFSjVZutWNjkAfdBM6fBR3hq9J5eHiMHpuM8Uf6Nw0PcpzN37JWtwzMa1RQ58rbNqknnd6su7TT5
NFVRUFYnuAlZoy980tHpYY1ck8U6qzDNJynBoeUXAocffpc9wMPXsNUXU8jHYc9maejXOfO20LaM
hp0POZrE2U1NNj9hTSODky0yNcV3wM3drrgO08jmepaVqbLaex7Af1gpFUnmQ61884rgLG8aXpBl
+UCKhyaJmlNTGhe9YzaYl2Jv6R57N4IKAZ7ufLrm05RxaI6dJlHdep4gCww9JhenCQYY+zEFoEZm
bbMC5Q+wLi0/8Ofm02Qlcr3TdRxxXDo51+Vu8zwyqSEGmJlJ5j1hrvbl9aiGgOdSj7rjoUpF4Guu
vRm11c9TrOGBndCwqyLe6p69UKOBT05QHnzpm71bt27S3jTAXlB+zmpclhmsMuP3SGp1t/BsR2tq
+K52ldyCbXB3NCsw7yh3CXCj6T6LkkI+TxK4TIPj8ygGgsuife/a185QtfhxuOwzaMymCCwFc/8H
GyMhHojyE9JLCk+e87AE63LlMf5G3TZKlnk6zq7XV89T7swsSvqS+ajMnsg1VBdL7raYEyb/+58V
cby2CYnBnGVQXcAh9R4/ZdQsco9ckzV/9aaxX+9sC9uOrZeLnHJkymWm0N0PhTc+hGvtgfeztMP6
W3liim6EzUwWhhKCKfIj0HT8YSbw8HxIVZrx1IaGhm63m2NrTXC7noKWHCUJuvWJVTcRd3V6at6L
PhItQ0DqB7ZTGPD1tPbS1YRKQUwOTwJDpgGjzWhm65+c2MkpVaqYPOrl1Wun2qRWtdWACUUoqatV
D29rAhIJxEWb/pGVeovZkpEd6/adzZyw7VkQ3B5zIr41sJAYn5pXnGo5EzdhWPlG/k2X2TGFmTK+
h/6/qot4nJ36FCuXmoKDzfLJD7x5mAidsKE6fk3iD5JYVfatyUSN3DBxRr9Ujeh3wGi46MvJIUiR
8I/hVtG5cut9kk2mCnwpLOp0NRfdrbNesi1v2cJIa4hXKl5/iks2OkWSze7XedvySAtnNJc+IlGY
NXssEdJhgH/VGikQQXOED64LOwpwlglYA4/RyrdzhfdpCwa0UCuTgdxrq2evm02FjoeUiRzJrEyi
i3+p2ZVvd43+Tc+IeSF6qgx0MC9+3WDF5gNRmKTWX+Z0MHXmlFt1HuwsXC5qmL6j5H7/8pWvu2q0
qVATDJjE+o4bkzj93tNdRNvG9hAOX4JQm+nNy9aocVnh6Hr77v78KsyTyXGN7zHN89d8ahcNuXWi
O/Gl8AEXknmGvocc2UywJna9/V2vBSRxeU5oU3uBG/kevMPXbUplO6rWdeV9mb0GabqrMW/gD4Bu
9nNew1w2uJwgCtQRNEY0mhRNlKnu4UpDgKHupgthJhsJJa+JPS+R+efso5WZKRHaKMCG7DoKe81P
b1/+H0sFghvWbGLUYR0QMebvf+m0zzJF6FFHwfNQODPXwQFlykIOV0qot7/qjz3n0RjGjilkEoTk
z+t+N2lU4bYkUM9Am7xxOaUL0n5Pzgq8HCvLNEPt/y8393qE4vBgYFJjMU3X1IX/+/vNSSBVcUb/
/hk4vIlRA/pi691YENnvMxf037JLE/J9komFn7/XAHLkO6JdE1y8fe+vl5mpKagumrSMSQMHUdrf
r0QDDJ10knmf6UlQOqISQpcqxsWICPj2N71eZTdAy51BrI1wAhOk183risQw9pzS+QyiNAI2JWpT
mhclldoJPqbJGt/+wlcaw5GLwO8L5iFgwkf76PdbA+i2EkwW+Vm2zInyvQTuQJgjKC4811T2NXI9
eYEySrKNqiDnZHz7Avw/FjdkExtwD0DkiFt3f78CqsS8dkTUYkIHta/dM8vCoJKuR56Ux5e0ZZK5
SY0Bipj4/bMpbmHcQXnRhEPLuaBfFqcpA9PiofW/8BZ3SO1QLax13HIkqEojsreLvcGKcV50qoFo
HenAHJYTYqWAFvPUNm4vHtGJXGSIRppHjpYzNGj4A22Jv2tVuAPomqmP8eerLJNbqUmZtMsyQoC0
kYveHOehKMhtoMaaI14IKbis6KVBr0jtiZpV5ZqkqYzRNeF4dR2TLKclnkJ0bVSmWf84KyWdSXea
J9NkaTGTvHx7+f/YcJHv+jbWbaA/vD+39khlkVvIf33q8t4jZ83EYEqgZB1MBvCzZf32V5q35deR
nQm1yXlGAxUf5eFXc2UGZYgWqFh/SrLQ9BjHIgmrmyCO3Mq6tZXNFWz8OhkpomYnNUmhVaNQ+rdB
0es796CF2UROw57hnTuPv3+JnS3ALM2zzD9VHe3Py6KRQ/PoVtqV164a/qI0/XqTeyRnkUenKPRi
5pWvsWShYyM5KpT6PAHbX59weDHboiyFyazeXl5j7fHr+vLb4ygEEB5GTN48z341fs30bNd1O7mP
LdpS8S6lfTlkh4w2KpVuUWpOhw0D74b/i2jYsC9nI9hFsRagdAZXmyT9ipLHzO+FBjRIH2H1TaJe
ZFQoMIl5K/KuzE1ba7ZMGyCG+MVLOMWhaRNXDdORh8lyPG7OqgLOoiyzzKTImVDSpapy4Ln0F5ZF
HK0PbQdh++btRXi13qwBOCYIxggyQcr4Y2IaBNmQNCFiSGNTmpM57RhVVBvMa6ic3/4qY2Py+3oT
wALYf8QEjsU/FPZ1ByZSOH76EPvd+btGmDK31QSvgaOJUE8Iepm914B0WIV2bk2X9OdPchpNh8DS
Nosb+JHpZ1ILCiKd2yBzqy+sqsSU9VrxqsJRLkRT6SNCoRRMezCZlMcFIo6UJT8Hf0yLzBDJQj6T
d2eN7ZW/m7rGPPA1KPkW6zwdh2RrvnhytOnxWkFunmTpkLXoDXxa89wHWZjG8s8RGm8ke7dk5sG5
l/4Pd2e22zaSheFXCeZeAvcFmOkLS3HsJHY2x+nuG0OxFJESN3GTqKefr0jKESnHzqQCNDG865Zz
SBarzv7/544sh35WqeGWFMjTS+p0P59tCwympgicpYktPOHL3vAGpaMkd/dBqdt/rtLIFJNU4Yqw
1k5ikOP38nMaz9w3leMHd9PEYOJgCO7qFo4SYFaRU0QUTQGpu6NKTLvz8s3nO+LX7D1UVqU38ZxS
u/Dd1YeQUtt9mRhZcmalsCZOqOVY7+jnjd94sFBdYZG8veBFhW5gBCriy546cgnohaY5WCdpIYWP
2FzfjvYj5hLnjKTbTjI3fW9glWC/haXxyq7Scpon1eYlNfHg1qOGDzeaRpVglTCJACOypYSXq8Hf
dE2YoBxqyrz9RlEhTkjtGw37PEu8WGX6cmp5pDCWWfZKg2voZmvrxa2v6x59UMrIiKa0p0J3VriQ
jI6S9JNlMNST3FRxsdoVq3PKBFUCIo/i8mS3dX06642wfE0L8kt6gUsSNt5q9aVwLKisnTvmxAE/
im/2q4KUmEFfK9m+kTFRLOWDkVfKV63Ks7+Zo2UwYcsEfbWzwjdrO/NfGn7lP8P83VXWbAjKyigz
E1fB0HAUejotJv1jb8xlNOd77d7DuRwxfjOIwY1aqWJ9fmb7dQ50czObRjlh5vHh+h4J/Z64dqkb
zYF+hfQI7ZQbNSK/Shf/+qo09IL4bxmHHygR2utn/LGTnV+/Jr06lGxQ4v14pDAzaJyMNJxvoojA
VQ/AtJ2Hukrj29MvWUv6bobrtzQ0jcYDJpNgkPtB5E4DC1/SKzNXYUEo8T8wF2cxAQ/YCy+wP0Za
ePfRZ349wwQD002mepn4UKr4pjXdweIKZNfPrXeplbqvo9HG/oy9zfCTiiC/DUOcFy2PQkhUc2aP
QC8ffQsL+OEj0rMfSq3Svrgr4tQzNVYVYCBrQC0hBABQl4QW2Zs1tTg4jkispW41X8XLnFJCkZ6r
S1OZKbscOkC+3zO+UK8JjyURbgBuEOsCkFLruwTqCCyH4VT7uVGIxfd83XulM3T6YrffzSLVDf7S
R+5uWmhLih4buPMuDPAr0fTpL2OKzdz5MrZo1hT9IBChYcZ7DpK6vgspH3j2fFlQOCCdBvJ555i2
O2VK2z4HEgXOxA5zqFhBmYVUe+LwIiZvdQVZepmfBfZy9G6vLo0LfV+ROGPM+d+hTz59kq5HVwxu
tt9WevUq0kP9hhxo8C4e8dHOLApj1WSf7yi7rOLsbmInrgABEHyfbw3/W2Wt/GvdhjwR5JJ54S/j
5F1o5oGY7pYVX6vAKz4rprb+MIocDIS1U7fnupZvizM99Zc3WybOQmqzgQkZWiAwh2W+pAQA0HNF
IQSb+MkwR85b36uMLypZbTA267W5e2bbd9uS+MSsrUF2wcZI0Sfbn3pRkBLmu9t3841vmNcjCPVv
E1+v4CPcRMq1uiWWeOaOvfbq+pb4BoQ4KrPQRLsan/vI0YQFJEhDTOdilayM16TNRiHA32r0hkTl
6pxCRI6mh5l/nuhKcOsvd/lb33eVD6PS1c+f3lrW6dbC1UR91tx7ltpvBkyZEp85S6Y9L3cUGIjb
47u/Y2Dp5XQTVjDXK8wYOyvCGKg5xJ1eNV15lnnh0Q47JU/iurB0M8V9msaW/aefw+VB6pcUejTK
vKu15WcXMP/srq3CW14uTXtpnEE+qW3PMiDcDGtMAA2epeAFJg7MpMmrEctyvlrnoyvGN5f8wdYG
BZt51ftqt8WcreBePV8CZwN0rfrrtyFlXjxKPSyXTMoMGDJfblfUcCl63poloSm+SPYphwnp0gsD
PYVnlnYZdiLlognTmrP3cIpFlFzpqNtR0aSulENwtJzAkZlcbRM3g/bLB/s+Yf1i9ZLmlG36SoFw
8wscJf6fBfC4b4av+aR6GOnwXOLrVP/APsHkHXx3FfTQSV5P16iEwo20XjDKSbHP3C0zXOnyqKga
8smIqez5PivuLq1o9LUqV1v4ea0yCX9hwwKBwG3W6VwFa9PbsHRKZUwctYPFXWhVxbT+INa+8IK3
fmDl58q+dG82QADOK8u7e5m4d7u/PFC0CfsEktOnd2wvQVefHkERKWbwafRa9jt292GxLRkTvVos
bcX6tLHU7KMWjEZTm8TuG+xicV0Em/x1YkThJVSIKlAzG0NmB/nuvc9gDBqSo2351h8V+jc65zfm
mQOv9adnnrIbA4intOh3ZQyhRs80QWVvyRgyUoXuxigWZL03y894FmY2IZNYnRWZUl5rVrmmppTt
LWfqpGb8zYNAYg3RjZZsX4FLz25NN1i+Vezt+rMGhpIKCVYA9ts0YLmXK3tibCj3Nh/6/wZn0b6I
GDz3sp4796FYpNXHRYY1yv74d4PtEb/WzJw38a/90dOC2ol3N1XCxLvZnDGZUz8j7LnPj3EYdMrz
xTu8NPUz1Q/8lIiAzGxezJFtqGNTeLnEkrDMcIGfCGJ48ZqfR0A4bJgRyYnjG3Ono8X50es//WbN
Oj79N089ekMxezn/z7+AdIjpUlKvrztj8iLYSdt+9PVdZwzHDv1twl8VF1mPf2QV7uMiysUuhHq8
M/hQE5nNn1mDnoTvWwCWIVPkQYW6qy+9uwVcZiNSEMFxAcEgruaGQ9oJisIz/8wi9I7S0SKwz2mR
JN/PFz4+AI41Bh0nCh4gW+rrH9oBvUf/fg4gjKCGIff29hhiKoucJDkrcfW0AOWqMRMNhXMAs7G4
hrYIqms0Cqqnnv8HVagb4zr4JgZu3rG3E8TIYbYIlQvQF+0i/SO64Ic7gZ5CaYUoBqGSyNUOCo8v
fXwcbHMMpo7SpwpuVFzDMwuweBN/SJ0HZr6STuRbH1ahtxUsdwxiDk+ZjGF9DU8lwnP0k4aht506
OpFckOaIQu9hwx/vBZjriGoJLfGS66tRwkMyDAznltwKaAV2Og4AsKL6wuM6XgQXjCs4KRPuvmYR
BncgGL9LOkLqPOAmsQamKfDa9dW3D4oYkgyHtjW8LWDQZyH5+oaBF0iYC+fzo3tAVY2xBXMjGY7B
fX0gfLLaUHx9WhAc5g10975t4xkCZ6W62KzL4NQgGNSTaeL/c4hkjwXohFo1tJHi6hkDGmDGNIuQ
PqmZOmvnaVh+AZVmUU2QUgGaMzYpi5GzbzRA30V00IMOGE7gsM0fDFATOCJBIrUKhjKmDUlEQ63h
77lHjjsmcQXnMZx6zVXfcEgmUfDPSq4CESORAgnDg83jWx/bRGImMgacFqKm+hqcVoRyxJENmgy0
H2kTSA+Nhx1/vAqUkce4kCodAYPTi6LMgxqTOwvaGP+XHh7KRvXV2wWuTl5BUcj8t783XsiQzoJQ
2pKroNtjujhB4lO5ra+ef+jA/EzjKl04rV4c3Fmg8KhK60UDL5iAiG66ZhX6NlJRxpBBEEm0TNoD
2gXQiVmyUYKhj2kcJjCmfNFcXY3Y+AjtaClx7Ab0/qqLzZY9BcrYFSwCzJt89P1dlShKtFc7SvP7
4DQiu7NN7v56BoldQBctS3BIpvc0IqxHHBAcZqVNszWGeEB7gV5uabsgwgVUIqmT7hmwrbFNpQqi
sdZ3ajbdoN4eEiTJk2BoYxKlJEVo266vXqjMHoC+BcehXechvT5pXtlMAaGyI8rJRIvNQT81hyyM
IOBvfx+cU6BhDmUdZMMif1j3N7VJod4mcI0xPTY6UdnwNIBqKrKvr4tximSRH4KgniYgSiKHjq6h
56W+BrgJ8NslNQF6EPAKIVKbFhDLehwfiMwhfqFNFbM5KoPzDDHXgrNPLkrA5lE3YrZIUzQ5WQV3
jONABZYca30NbxU4p81D/bpnQMRMh7ZBQaH1f3pqEZwbR8LEKDjNMjQO6ZCMAzAN6YiR7AnDSsXA
1uZb906ETRoVpQG2rHUiB+glwogmeSKoKEAQxrk32hPR8xKBhYxp5WGhnMHtArBh8nVWpvfWeBTS
kvXVN46cFYHNAu354EIMK2KiV1c+YtSIGKGyFp0F9dXbBRRasZBgHw7V6OHZSANfXvYsUDeCn4Is
UrMI/ayyS3aFo8DY1Dav0JijQelF0GK/YRV0ykcP1qGXPbHJKgNRBAHRaowh7gXpMhO5dcgARD71
cRtJhYFfoAeFmfJwYgamF3BqZU8Eq+C4dOK03tBJKw41N5hdHdGwNlTtKBqpJE8EbYngg5mk3hYW
RZ/jse8sMinMvFZEO059Ncs+IL0gsqrSuWWyihAuCDrRhx1/vAqO2Ct0X9CZ1KzC4PQCONC2cVTC
dzbpwMMVUFrXuB9BUG0SbMaiP61ZpeF5TQbEsJInQkQQpJXIHramsuc7191ph1GQA8swkw5tEx2/
vgtILDGUQVAi9B0lja485nSDgW0OweACSPCD0gpRlJlgQHHJKDRv2VeIzljYDJMuleb34SlE3Fke
WiqZQEqFHl06MUgj11fPUUIhWkRWhE7fFeawXATmuArYsdQqcBRoxiaKtloX4DS9ZhM/0Rc81FYM
qmSiz1puFQigXFhEQMA0e6F3Ikgq0ZbDyB70ZfMH9Q1/ykX4iT96QIJMPD+Y1xgQf5E9BhX50R8c
MBCnv7f4BwFyEO39nT8UkJDm3k0HuPjvPzotnHVt8ejHQ62xvk/7z9sXPL11516Htzr8zwt/kc4Y
PQ4NGfiRqn3M61kIkIQpIV9n4ewYnsIZRAt9f5ITJMvD939G8OPjR+pneBQh83NyUx/8WveB6yZy
6QdO13D6zrLDq9dYlboRVVbyZBb43+I08jtP3fT/S8tmPGo6m8fHT910jspLBiV4n/v3Rd4RXoOX
ZIVPF8FsO0sXx5KbNnhpyS3g6kX87QUD0Yrwa3fZm8ZK2bucs+r+vPM92249WcmvFjFTybuScZAx
PrKSL1hx3z/Iqbe3Tj3n8D9+/UhezmdeZwOqTfOu7ANfBoEfxX73RNL6g8WQFh3N/VlPizQddtKS
42334zUtW7Ji35zqpgZHJy0YAcX9ujqsaQPRqxusZEW/jQs/O1nmpm1FVvbVzI862oPCrMCPyMtN
q2AWzQ+SamPedFfIi86y2b1XZIs87+xpTan7F6Tl+/dQq826MMOmN0BeNLYgi/POzm4r7vKyM0as
Zn6SdHQTk5dExuB3SI+LtC9aVImlRcdR3tMhbX+qrOTrxde0P7ytLerKiy5nXbtFB5Wok8oL3r64
mIVJ5vlds952aP0O+a8XabboaCrBQkdE8juEXy12/n3HjCFcVA1/h/C/GFl8kFSrlKYUJS06TnPv
xWSWxljK7uGkrVM93PHXTft1fYPpbN0/+7olyFBkn/+d53dX3GC3/Aax6wCPpBvVwAQlyl7ST5wu
ln0kd92HKiv4/SKKsiooZ70wgSlOojghK/6jF88XLy6zE9vWZP1lxX+Kix9sxDah/ntucLoR2y5o
WfE3rP4CerOOS9FmweVl77pRZVuNl5X7OZ95h40hdArQV5GulhV7u0hDLNtBUC25SQRLS/aJbHrb
u02yyor+MsPuML2pezRbGJm08EWWv7h97OGb3Ki0fD+7j5k20fHc2oyjtOwqhoVk2fmaTRbvacmP
ZZoe2t9P808HepDH/lk3uSb+4j5YzNI//gsAAP//</cx:binary>
              </cx:geoCache>
            </cx:geography>
          </cx:layoutPr>
        </cx:series>
      </cx:plotAreaRegion>
    </cx:plotArea>
    <cx:legend pos="b" align="ctr" overlay="0">
      <cx:spPr>
        <a:ln>
          <a:noFill/>
        </a:ln>
      </cx:spPr>
      <cx:txPr>
        <a:bodyPr spcFirstLastPara="1" vertOverflow="ellipsis" horzOverflow="overflow" wrap="square" lIns="0" tIns="0" rIns="0" bIns="0" anchor="ctr" anchorCtr="1"/>
        <a:lstStyle/>
        <a:p>
          <a:pPr algn="ctr" rtl="0">
            <a:defRPr sz="1100" b="1"/>
          </a:pPr>
          <a:endParaRPr lang="en-US" sz="1100" b="1" i="0" u="none" strike="noStrike" baseline="0">
            <a:solidFill>
              <a:srgbClr val="000000">
                <a:lumMod val="65000"/>
                <a:lumOff val="35000"/>
              </a:srgbClr>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60960</xdr:rowOff>
    </xdr:from>
    <xdr:to>
      <xdr:col>44</xdr:col>
      <xdr:colOff>320040</xdr:colOff>
      <xdr:row>66</xdr:row>
      <xdr:rowOff>60960</xdr:rowOff>
    </xdr:to>
    <xdr:sp macro="" textlink="">
      <xdr:nvSpPr>
        <xdr:cNvPr id="8" name="Rectangle: Rounded Corners 7">
          <a:extLst>
            <a:ext uri="{FF2B5EF4-FFF2-40B4-BE49-F238E27FC236}">
              <a16:creationId xmlns:a16="http://schemas.microsoft.com/office/drawing/2014/main" id="{D31E2E99-0DC6-4DD6-BCA4-35B55E1EBDBB}"/>
            </a:ext>
          </a:extLst>
        </xdr:cNvPr>
        <xdr:cNvSpPr/>
      </xdr:nvSpPr>
      <xdr:spPr>
        <a:xfrm>
          <a:off x="2514600" y="243840"/>
          <a:ext cx="24627840" cy="11887200"/>
        </a:xfrm>
        <a:prstGeom prst="roundRect">
          <a:avLst>
            <a:gd name="adj" fmla="val 3712"/>
          </a:avLst>
        </a:prstGeom>
        <a:solidFill>
          <a:srgbClr val="B48DE8"/>
        </a:solidFill>
        <a:ln w="12700" cap="flat" cmpd="sng" algn="ctr">
          <a:solidFill>
            <a:srgbClr val="8E25CC"/>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rgbClr val="FFFFFF"/>
            </a:solidFill>
            <a:effectLst/>
            <a:uLnTx/>
            <a:uFillTx/>
            <a:latin typeface="Calibri"/>
            <a:ea typeface="Calibri"/>
            <a:cs typeface="Calibri"/>
          </a:endParaRPr>
        </a:p>
      </xdr:txBody>
    </xdr:sp>
    <xdr:clientData/>
  </xdr:twoCellAnchor>
  <xdr:twoCellAnchor>
    <xdr:from>
      <xdr:col>4</xdr:col>
      <xdr:colOff>342900</xdr:colOff>
      <xdr:row>2</xdr:row>
      <xdr:rowOff>106680</xdr:rowOff>
    </xdr:from>
    <xdr:to>
      <xdr:col>44</xdr:col>
      <xdr:colOff>30480</xdr:colOff>
      <xdr:row>64</xdr:row>
      <xdr:rowOff>152400</xdr:rowOff>
    </xdr:to>
    <xdr:sp macro="" textlink="">
      <xdr:nvSpPr>
        <xdr:cNvPr id="9" name="Rectangle: Rounded Corners 8">
          <a:extLst>
            <a:ext uri="{FF2B5EF4-FFF2-40B4-BE49-F238E27FC236}">
              <a16:creationId xmlns:a16="http://schemas.microsoft.com/office/drawing/2014/main" id="{970C8FD0-37B5-B7D4-E60D-68C8CEF00E4E}"/>
            </a:ext>
          </a:extLst>
        </xdr:cNvPr>
        <xdr:cNvSpPr/>
      </xdr:nvSpPr>
      <xdr:spPr>
        <a:xfrm>
          <a:off x="2781300" y="472440"/>
          <a:ext cx="24071580" cy="11384280"/>
        </a:xfrm>
        <a:prstGeom prst="roundRect">
          <a:avLst>
            <a:gd name="adj" fmla="val 2975"/>
          </a:avLst>
        </a:prstGeom>
        <a:solidFill>
          <a:srgbClr val="F4EC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4ECFF"/>
            </a:solidFill>
          </a:endParaRPr>
        </a:p>
      </xdr:txBody>
    </xdr:sp>
    <xdr:clientData/>
  </xdr:twoCellAnchor>
  <xdr:twoCellAnchor>
    <xdr:from>
      <xdr:col>4</xdr:col>
      <xdr:colOff>457200</xdr:colOff>
      <xdr:row>3</xdr:row>
      <xdr:rowOff>0</xdr:rowOff>
    </xdr:from>
    <xdr:to>
      <xdr:col>16</xdr:col>
      <xdr:colOff>548640</xdr:colOff>
      <xdr:row>6</xdr:row>
      <xdr:rowOff>91440</xdr:rowOff>
    </xdr:to>
    <xdr:sp macro="" textlink="">
      <xdr:nvSpPr>
        <xdr:cNvPr id="10" name="TextBox 9">
          <a:extLst>
            <a:ext uri="{FF2B5EF4-FFF2-40B4-BE49-F238E27FC236}">
              <a16:creationId xmlns:a16="http://schemas.microsoft.com/office/drawing/2014/main" id="{7F405D49-AC29-16F3-BC15-9BE79A2442FA}"/>
            </a:ext>
          </a:extLst>
        </xdr:cNvPr>
        <xdr:cNvSpPr txBox="1"/>
      </xdr:nvSpPr>
      <xdr:spPr>
        <a:xfrm>
          <a:off x="2895600" y="548640"/>
          <a:ext cx="74066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b="1">
              <a:solidFill>
                <a:srgbClr val="8E25CC"/>
              </a:solidFill>
            </a:rPr>
            <a:t>FURNITURE</a:t>
          </a:r>
          <a:r>
            <a:rPr lang="en-GB" sz="4400" b="1" baseline="0">
              <a:solidFill>
                <a:srgbClr val="8E25CC"/>
              </a:solidFill>
            </a:rPr>
            <a:t> SALES OVERVIEW</a:t>
          </a:r>
          <a:endParaRPr lang="en-GB" sz="4400" b="1">
            <a:solidFill>
              <a:srgbClr val="8E25CC"/>
            </a:solidFill>
          </a:endParaRPr>
        </a:p>
      </xdr:txBody>
    </xdr:sp>
    <xdr:clientData/>
  </xdr:twoCellAnchor>
  <xdr:twoCellAnchor>
    <xdr:from>
      <xdr:col>4</xdr:col>
      <xdr:colOff>441960</xdr:colOff>
      <xdr:row>6</xdr:row>
      <xdr:rowOff>45720</xdr:rowOff>
    </xdr:from>
    <xdr:to>
      <xdr:col>23</xdr:col>
      <xdr:colOff>213360</xdr:colOff>
      <xdr:row>9</xdr:row>
      <xdr:rowOff>137160</xdr:rowOff>
    </xdr:to>
    <xdr:sp macro="" textlink="">
      <xdr:nvSpPr>
        <xdr:cNvPr id="11" name="TextBox 10">
          <a:extLst>
            <a:ext uri="{FF2B5EF4-FFF2-40B4-BE49-F238E27FC236}">
              <a16:creationId xmlns:a16="http://schemas.microsoft.com/office/drawing/2014/main" id="{521638D6-C23D-E73C-F48A-65584F808882}"/>
            </a:ext>
          </a:extLst>
        </xdr:cNvPr>
        <xdr:cNvSpPr txBox="1"/>
      </xdr:nvSpPr>
      <xdr:spPr>
        <a:xfrm>
          <a:off x="2880360" y="1143000"/>
          <a:ext cx="1135380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0">
              <a:solidFill>
                <a:schemeClr val="bg2">
                  <a:lumMod val="65000"/>
                </a:schemeClr>
              </a:solidFill>
            </a:rPr>
            <a:t>A</a:t>
          </a:r>
          <a:r>
            <a:rPr lang="en-GB" sz="2400" b="0" baseline="0">
              <a:solidFill>
                <a:schemeClr val="bg2">
                  <a:lumMod val="65000"/>
                </a:schemeClr>
              </a:solidFill>
            </a:rPr>
            <a:t> summary of sales performance, shipping trends and regional distribution across the USA</a:t>
          </a:r>
          <a:endParaRPr lang="en-GB" sz="2400" b="0">
            <a:solidFill>
              <a:schemeClr val="bg2">
                <a:lumMod val="65000"/>
              </a:schemeClr>
            </a:solidFill>
          </a:endParaRPr>
        </a:p>
      </xdr:txBody>
    </xdr:sp>
    <xdr:clientData/>
  </xdr:twoCellAnchor>
  <xdr:twoCellAnchor>
    <xdr:from>
      <xdr:col>5</xdr:col>
      <xdr:colOff>30480</xdr:colOff>
      <xdr:row>9</xdr:row>
      <xdr:rowOff>15240</xdr:rowOff>
    </xdr:from>
    <xdr:to>
      <xdr:col>17</xdr:col>
      <xdr:colOff>563880</xdr:colOff>
      <xdr:row>20</xdr:row>
      <xdr:rowOff>15240</xdr:rowOff>
    </xdr:to>
    <xdr:sp macro="" textlink="">
      <xdr:nvSpPr>
        <xdr:cNvPr id="16" name="Rectangle: Rounded Corners 15">
          <a:extLst>
            <a:ext uri="{FF2B5EF4-FFF2-40B4-BE49-F238E27FC236}">
              <a16:creationId xmlns:a16="http://schemas.microsoft.com/office/drawing/2014/main" id="{EE529A13-E7D3-EB57-EEE3-B6948DA47E02}"/>
            </a:ext>
          </a:extLst>
        </xdr:cNvPr>
        <xdr:cNvSpPr/>
      </xdr:nvSpPr>
      <xdr:spPr>
        <a:xfrm>
          <a:off x="3078480" y="1661160"/>
          <a:ext cx="7848600" cy="20116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365760</xdr:colOff>
      <xdr:row>10</xdr:row>
      <xdr:rowOff>45720</xdr:rowOff>
    </xdr:from>
    <xdr:to>
      <xdr:col>9</xdr:col>
      <xdr:colOff>137160</xdr:colOff>
      <xdr:row>19</xdr:row>
      <xdr:rowOff>91440</xdr:rowOff>
    </xdr:to>
    <xdr:sp macro="" textlink="">
      <xdr:nvSpPr>
        <xdr:cNvPr id="17" name="Rectangle: Rounded Corners 16">
          <a:extLst>
            <a:ext uri="{FF2B5EF4-FFF2-40B4-BE49-F238E27FC236}">
              <a16:creationId xmlns:a16="http://schemas.microsoft.com/office/drawing/2014/main" id="{D45E3F5D-E223-C0BD-C49B-715E437E6115}"/>
            </a:ext>
          </a:extLst>
        </xdr:cNvPr>
        <xdr:cNvSpPr/>
      </xdr:nvSpPr>
      <xdr:spPr>
        <a:xfrm>
          <a:off x="3413760" y="1874520"/>
          <a:ext cx="2209800" cy="1691640"/>
        </a:xfrm>
        <a:prstGeom prst="roundRect">
          <a:avLst/>
        </a:prstGeom>
        <a:solidFill>
          <a:srgbClr val="EDEDED">
            <a:alpha val="14118"/>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182880</xdr:colOff>
      <xdr:row>10</xdr:row>
      <xdr:rowOff>137160</xdr:rowOff>
    </xdr:from>
    <xdr:to>
      <xdr:col>8</xdr:col>
      <xdr:colOff>396240</xdr:colOff>
      <xdr:row>13</xdr:row>
      <xdr:rowOff>30480</xdr:rowOff>
    </xdr:to>
    <xdr:sp macro="" textlink="">
      <xdr:nvSpPr>
        <xdr:cNvPr id="20" name="TextBox 19">
          <a:extLst>
            <a:ext uri="{FF2B5EF4-FFF2-40B4-BE49-F238E27FC236}">
              <a16:creationId xmlns:a16="http://schemas.microsoft.com/office/drawing/2014/main" id="{E2084050-9270-8143-B41E-B001337F4DE1}"/>
            </a:ext>
          </a:extLst>
        </xdr:cNvPr>
        <xdr:cNvSpPr txBox="1"/>
      </xdr:nvSpPr>
      <xdr:spPr>
        <a:xfrm>
          <a:off x="3840480" y="1965960"/>
          <a:ext cx="14325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0">
              <a:solidFill>
                <a:sysClr val="windowText" lastClr="000000"/>
              </a:solidFill>
            </a:rPr>
            <a:t>Sales</a:t>
          </a:r>
        </a:p>
      </xdr:txBody>
    </xdr:sp>
    <xdr:clientData/>
  </xdr:twoCellAnchor>
  <xdr:twoCellAnchor>
    <xdr:from>
      <xdr:col>13</xdr:col>
      <xdr:colOff>594360</xdr:colOff>
      <xdr:row>10</xdr:row>
      <xdr:rowOff>15240</xdr:rowOff>
    </xdr:from>
    <xdr:to>
      <xdr:col>17</xdr:col>
      <xdr:colOff>274320</xdr:colOff>
      <xdr:row>19</xdr:row>
      <xdr:rowOff>60960</xdr:rowOff>
    </xdr:to>
    <xdr:sp macro="" textlink="">
      <xdr:nvSpPr>
        <xdr:cNvPr id="21" name="Rectangle: Rounded Corners 20">
          <a:extLst>
            <a:ext uri="{FF2B5EF4-FFF2-40B4-BE49-F238E27FC236}">
              <a16:creationId xmlns:a16="http://schemas.microsoft.com/office/drawing/2014/main" id="{6EEEC46D-199C-9E80-6A75-4882EC461A78}"/>
            </a:ext>
          </a:extLst>
        </xdr:cNvPr>
        <xdr:cNvSpPr/>
      </xdr:nvSpPr>
      <xdr:spPr>
        <a:xfrm>
          <a:off x="8519160" y="1844040"/>
          <a:ext cx="2118360" cy="1691640"/>
        </a:xfrm>
        <a:prstGeom prst="roundRect">
          <a:avLst/>
        </a:prstGeom>
        <a:solidFill>
          <a:srgbClr val="EDEDED">
            <a:alpha val="14118"/>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9</xdr:col>
      <xdr:colOff>487680</xdr:colOff>
      <xdr:row>10</xdr:row>
      <xdr:rowOff>45720</xdr:rowOff>
    </xdr:from>
    <xdr:to>
      <xdr:col>13</xdr:col>
      <xdr:colOff>304800</xdr:colOff>
      <xdr:row>19</xdr:row>
      <xdr:rowOff>91440</xdr:rowOff>
    </xdr:to>
    <xdr:sp macro="" textlink="">
      <xdr:nvSpPr>
        <xdr:cNvPr id="22" name="Rectangle: Rounded Corners 21">
          <a:extLst>
            <a:ext uri="{FF2B5EF4-FFF2-40B4-BE49-F238E27FC236}">
              <a16:creationId xmlns:a16="http://schemas.microsoft.com/office/drawing/2014/main" id="{EF542B66-1E4E-C913-9823-B2863F915D3C}"/>
            </a:ext>
          </a:extLst>
        </xdr:cNvPr>
        <xdr:cNvSpPr/>
      </xdr:nvSpPr>
      <xdr:spPr>
        <a:xfrm>
          <a:off x="5974080" y="1874520"/>
          <a:ext cx="2255520" cy="1691640"/>
        </a:xfrm>
        <a:prstGeom prst="roundRect">
          <a:avLst/>
        </a:prstGeom>
        <a:solidFill>
          <a:srgbClr val="EDEDED">
            <a:alpha val="14118"/>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5</xdr:col>
      <xdr:colOff>594360</xdr:colOff>
      <xdr:row>13</xdr:row>
      <xdr:rowOff>15240</xdr:rowOff>
    </xdr:from>
    <xdr:to>
      <xdr:col>8</xdr:col>
      <xdr:colOff>335280</xdr:colOff>
      <xdr:row>16</xdr:row>
      <xdr:rowOff>60960</xdr:rowOff>
    </xdr:to>
    <xdr:sp macro="" textlink="sales">
      <xdr:nvSpPr>
        <xdr:cNvPr id="23" name="TextBox 22">
          <a:extLst>
            <a:ext uri="{FF2B5EF4-FFF2-40B4-BE49-F238E27FC236}">
              <a16:creationId xmlns:a16="http://schemas.microsoft.com/office/drawing/2014/main" id="{A8FF5557-E95B-62FF-5F55-E139AFCB9213}"/>
            </a:ext>
          </a:extLst>
        </xdr:cNvPr>
        <xdr:cNvSpPr txBox="1"/>
      </xdr:nvSpPr>
      <xdr:spPr>
        <a:xfrm>
          <a:off x="3642360" y="2392680"/>
          <a:ext cx="156972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FA9CAC-31B8-4912-B9B7-2597CF1EC71A}" type="TxLink">
            <a:rPr lang="en-US" sz="3200" b="1" i="0" u="none" strike="noStrike">
              <a:solidFill>
                <a:srgbClr val="8E25CC"/>
              </a:solidFill>
              <a:latin typeface="Calibri"/>
              <a:ea typeface="Calibri"/>
              <a:cs typeface="Calibri"/>
            </a:rPr>
            <a:pPr/>
            <a:t>$215.4K</a:t>
          </a:fld>
          <a:endParaRPr lang="en-GB" sz="3200">
            <a:solidFill>
              <a:srgbClr val="8E25CC"/>
            </a:solidFill>
          </a:endParaRPr>
        </a:p>
      </xdr:txBody>
    </xdr:sp>
    <xdr:clientData/>
  </xdr:twoCellAnchor>
  <xdr:twoCellAnchor>
    <xdr:from>
      <xdr:col>10</xdr:col>
      <xdr:colOff>335280</xdr:colOff>
      <xdr:row>10</xdr:row>
      <xdr:rowOff>167640</xdr:rowOff>
    </xdr:from>
    <xdr:to>
      <xdr:col>13</xdr:col>
      <xdr:colOff>0</xdr:colOff>
      <xdr:row>13</xdr:row>
      <xdr:rowOff>76200</xdr:rowOff>
    </xdr:to>
    <xdr:sp macro="" textlink="">
      <xdr:nvSpPr>
        <xdr:cNvPr id="24" name="TextBox 23">
          <a:extLst>
            <a:ext uri="{FF2B5EF4-FFF2-40B4-BE49-F238E27FC236}">
              <a16:creationId xmlns:a16="http://schemas.microsoft.com/office/drawing/2014/main" id="{2FD0A639-B30C-F1E9-3DDB-DCFC1D0A50EA}"/>
            </a:ext>
          </a:extLst>
        </xdr:cNvPr>
        <xdr:cNvSpPr txBox="1"/>
      </xdr:nvSpPr>
      <xdr:spPr>
        <a:xfrm>
          <a:off x="6431280" y="1996440"/>
          <a:ext cx="149352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0">
              <a:solidFill>
                <a:sysClr val="windowText" lastClr="000000"/>
              </a:solidFill>
            </a:rPr>
            <a:t>Quantity</a:t>
          </a:r>
        </a:p>
      </xdr:txBody>
    </xdr:sp>
    <xdr:clientData/>
  </xdr:twoCellAnchor>
  <xdr:twoCellAnchor>
    <xdr:from>
      <xdr:col>14</xdr:col>
      <xdr:colOff>411480</xdr:colOff>
      <xdr:row>10</xdr:row>
      <xdr:rowOff>167640</xdr:rowOff>
    </xdr:from>
    <xdr:to>
      <xdr:col>17</xdr:col>
      <xdr:colOff>182880</xdr:colOff>
      <xdr:row>13</xdr:row>
      <xdr:rowOff>60960</xdr:rowOff>
    </xdr:to>
    <xdr:sp macro="" textlink="">
      <xdr:nvSpPr>
        <xdr:cNvPr id="25" name="TextBox 24">
          <a:extLst>
            <a:ext uri="{FF2B5EF4-FFF2-40B4-BE49-F238E27FC236}">
              <a16:creationId xmlns:a16="http://schemas.microsoft.com/office/drawing/2014/main" id="{79D9F961-7FDF-A6FE-C893-961A4915049E}"/>
            </a:ext>
          </a:extLst>
        </xdr:cNvPr>
        <xdr:cNvSpPr txBox="1"/>
      </xdr:nvSpPr>
      <xdr:spPr>
        <a:xfrm>
          <a:off x="8945880" y="1996440"/>
          <a:ext cx="16002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0">
              <a:solidFill>
                <a:sysClr val="windowText" lastClr="000000"/>
              </a:solidFill>
            </a:rPr>
            <a:t>Profit</a:t>
          </a:r>
        </a:p>
      </xdr:txBody>
    </xdr:sp>
    <xdr:clientData/>
  </xdr:twoCellAnchor>
  <xdr:twoCellAnchor>
    <xdr:from>
      <xdr:col>10</xdr:col>
      <xdr:colOff>441960</xdr:colOff>
      <xdr:row>13</xdr:row>
      <xdr:rowOff>15240</xdr:rowOff>
    </xdr:from>
    <xdr:to>
      <xdr:col>12</xdr:col>
      <xdr:colOff>502920</xdr:colOff>
      <xdr:row>16</xdr:row>
      <xdr:rowOff>60960</xdr:rowOff>
    </xdr:to>
    <xdr:sp macro="" textlink="quantity">
      <xdr:nvSpPr>
        <xdr:cNvPr id="26" name="TextBox 25">
          <a:extLst>
            <a:ext uri="{FF2B5EF4-FFF2-40B4-BE49-F238E27FC236}">
              <a16:creationId xmlns:a16="http://schemas.microsoft.com/office/drawing/2014/main" id="{8D45A243-994B-C4BC-9DC6-D003246BCBD9}"/>
            </a:ext>
          </a:extLst>
        </xdr:cNvPr>
        <xdr:cNvSpPr txBox="1"/>
      </xdr:nvSpPr>
      <xdr:spPr>
        <a:xfrm>
          <a:off x="6537960" y="2392680"/>
          <a:ext cx="128016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243792-6106-48A0-B8C4-396D6FEED983}" type="TxLink">
            <a:rPr lang="en-US" sz="3200" b="1" i="0" u="none" strike="noStrike">
              <a:solidFill>
                <a:srgbClr val="8E25CC"/>
              </a:solidFill>
              <a:latin typeface="Calibri"/>
              <a:ea typeface="Calibri"/>
              <a:cs typeface="Calibri"/>
            </a:rPr>
            <a:pPr/>
            <a:t>$2.4K</a:t>
          </a:fld>
          <a:endParaRPr lang="en-GB" sz="7200">
            <a:solidFill>
              <a:srgbClr val="8E25CC"/>
            </a:solidFill>
          </a:endParaRPr>
        </a:p>
      </xdr:txBody>
    </xdr:sp>
    <xdr:clientData/>
  </xdr:twoCellAnchor>
  <xdr:twoCellAnchor>
    <xdr:from>
      <xdr:col>14</xdr:col>
      <xdr:colOff>350520</xdr:colOff>
      <xdr:row>13</xdr:row>
      <xdr:rowOff>76200</xdr:rowOff>
    </xdr:from>
    <xdr:to>
      <xdr:col>17</xdr:col>
      <xdr:colOff>289560</xdr:colOff>
      <xdr:row>16</xdr:row>
      <xdr:rowOff>121920</xdr:rowOff>
    </xdr:to>
    <xdr:sp macro="" textlink="profit">
      <xdr:nvSpPr>
        <xdr:cNvPr id="27" name="TextBox 26">
          <a:extLst>
            <a:ext uri="{FF2B5EF4-FFF2-40B4-BE49-F238E27FC236}">
              <a16:creationId xmlns:a16="http://schemas.microsoft.com/office/drawing/2014/main" id="{F401032E-A850-BC5E-5013-4A4996FC86D6}"/>
            </a:ext>
          </a:extLst>
        </xdr:cNvPr>
        <xdr:cNvSpPr txBox="1"/>
      </xdr:nvSpPr>
      <xdr:spPr>
        <a:xfrm>
          <a:off x="8884920" y="2453640"/>
          <a:ext cx="176784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7E81A0-C2AF-4CAF-811F-28C5CCFB33F7}" type="TxLink">
            <a:rPr lang="en-US" sz="3200" b="1" i="0" u="none" strike="noStrike">
              <a:solidFill>
                <a:srgbClr val="8E25CC"/>
              </a:solidFill>
              <a:latin typeface="Calibri"/>
              <a:ea typeface="Calibri"/>
              <a:cs typeface="Calibri"/>
            </a:rPr>
            <a:pPr/>
            <a:t>$3.0K</a:t>
          </a:fld>
          <a:endParaRPr lang="en-GB" sz="3200">
            <a:solidFill>
              <a:srgbClr val="8E25CC"/>
            </a:solidFill>
          </a:endParaRPr>
        </a:p>
      </xdr:txBody>
    </xdr:sp>
    <xdr:clientData/>
  </xdr:twoCellAnchor>
  <xdr:twoCellAnchor>
    <xdr:from>
      <xdr:col>31</xdr:col>
      <xdr:colOff>243840</xdr:colOff>
      <xdr:row>8</xdr:row>
      <xdr:rowOff>167640</xdr:rowOff>
    </xdr:from>
    <xdr:to>
      <xdr:col>43</xdr:col>
      <xdr:colOff>304800</xdr:colOff>
      <xdr:row>63</xdr:row>
      <xdr:rowOff>30480</xdr:rowOff>
    </xdr:to>
    <xdr:sp macro="" textlink="">
      <xdr:nvSpPr>
        <xdr:cNvPr id="28" name="Rectangle: Rounded Corners 27">
          <a:extLst>
            <a:ext uri="{FF2B5EF4-FFF2-40B4-BE49-F238E27FC236}">
              <a16:creationId xmlns:a16="http://schemas.microsoft.com/office/drawing/2014/main" id="{27D35074-6B44-AFEB-6D3F-0AE300E15C76}"/>
            </a:ext>
          </a:extLst>
        </xdr:cNvPr>
        <xdr:cNvSpPr/>
      </xdr:nvSpPr>
      <xdr:spPr>
        <a:xfrm>
          <a:off x="19141440" y="1630680"/>
          <a:ext cx="7376160" cy="9921240"/>
        </a:xfrm>
        <a:prstGeom prst="roundRect">
          <a:avLst>
            <a:gd name="adj" fmla="val 4501"/>
          </a:avLst>
        </a:prstGeom>
        <a:solidFill>
          <a:srgbClr val="FFFFFF">
            <a:alpha val="9058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350520</xdr:colOff>
      <xdr:row>9</xdr:row>
      <xdr:rowOff>45720</xdr:rowOff>
    </xdr:from>
    <xdr:to>
      <xdr:col>31</xdr:col>
      <xdr:colOff>60960</xdr:colOff>
      <xdr:row>36</xdr:row>
      <xdr:rowOff>76200</xdr:rowOff>
    </xdr:to>
    <xdr:sp macro="" textlink="">
      <xdr:nvSpPr>
        <xdr:cNvPr id="31" name="Rectangle: Rounded Corners 30">
          <a:extLst>
            <a:ext uri="{FF2B5EF4-FFF2-40B4-BE49-F238E27FC236}">
              <a16:creationId xmlns:a16="http://schemas.microsoft.com/office/drawing/2014/main" id="{A608FB76-BA29-9612-F08F-E59B735BB8F6}"/>
            </a:ext>
          </a:extLst>
        </xdr:cNvPr>
        <xdr:cNvSpPr/>
      </xdr:nvSpPr>
      <xdr:spPr>
        <a:xfrm>
          <a:off x="11323320" y="1691640"/>
          <a:ext cx="7635240" cy="4968240"/>
        </a:xfrm>
        <a:prstGeom prst="roundRect">
          <a:avLst>
            <a:gd name="adj" fmla="val 6774"/>
          </a:avLst>
        </a:prstGeom>
        <a:solidFill>
          <a:srgbClr val="FFFFFF">
            <a:alpha val="9058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335280</xdr:colOff>
      <xdr:row>37</xdr:row>
      <xdr:rowOff>30480</xdr:rowOff>
    </xdr:from>
    <xdr:to>
      <xdr:col>31</xdr:col>
      <xdr:colOff>15240</xdr:colOff>
      <xdr:row>63</xdr:row>
      <xdr:rowOff>60960</xdr:rowOff>
    </xdr:to>
    <xdr:sp macro="" textlink="">
      <xdr:nvSpPr>
        <xdr:cNvPr id="32" name="Rectangle: Rounded Corners 31">
          <a:extLst>
            <a:ext uri="{FF2B5EF4-FFF2-40B4-BE49-F238E27FC236}">
              <a16:creationId xmlns:a16="http://schemas.microsoft.com/office/drawing/2014/main" id="{5E028016-826C-C798-9321-26D8246F7DF4}"/>
            </a:ext>
          </a:extLst>
        </xdr:cNvPr>
        <xdr:cNvSpPr/>
      </xdr:nvSpPr>
      <xdr:spPr>
        <a:xfrm>
          <a:off x="11308080" y="6797040"/>
          <a:ext cx="7604760" cy="4785360"/>
        </a:xfrm>
        <a:prstGeom prst="roundRect">
          <a:avLst>
            <a:gd name="adj" fmla="val 6774"/>
          </a:avLst>
        </a:prstGeom>
        <a:solidFill>
          <a:srgbClr val="FFFFFF">
            <a:alpha val="9058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137160</xdr:colOff>
      <xdr:row>21</xdr:row>
      <xdr:rowOff>60960</xdr:rowOff>
    </xdr:from>
    <xdr:to>
      <xdr:col>17</xdr:col>
      <xdr:colOff>533400</xdr:colOff>
      <xdr:row>63</xdr:row>
      <xdr:rowOff>76200</xdr:rowOff>
    </xdr:to>
    <xdr:sp macro="" textlink="">
      <xdr:nvSpPr>
        <xdr:cNvPr id="33" name="Rectangle: Rounded Corners 32">
          <a:extLst>
            <a:ext uri="{FF2B5EF4-FFF2-40B4-BE49-F238E27FC236}">
              <a16:creationId xmlns:a16="http://schemas.microsoft.com/office/drawing/2014/main" id="{FB0D3772-A87F-0A7B-5F31-87A1D881E46F}"/>
            </a:ext>
          </a:extLst>
        </xdr:cNvPr>
        <xdr:cNvSpPr/>
      </xdr:nvSpPr>
      <xdr:spPr>
        <a:xfrm>
          <a:off x="3185160" y="3901440"/>
          <a:ext cx="7711440" cy="7696200"/>
        </a:xfrm>
        <a:prstGeom prst="roundRect">
          <a:avLst>
            <a:gd name="adj" fmla="val 4992"/>
          </a:avLst>
        </a:prstGeom>
        <a:solidFill>
          <a:srgbClr val="FFFFFF">
            <a:alpha val="90588"/>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76200</xdr:colOff>
      <xdr:row>16</xdr:row>
      <xdr:rowOff>45720</xdr:rowOff>
    </xdr:from>
    <xdr:to>
      <xdr:col>8</xdr:col>
      <xdr:colOff>91440</xdr:colOff>
      <xdr:row>18</xdr:row>
      <xdr:rowOff>45720</xdr:rowOff>
    </xdr:to>
    <xdr:sp macro="" textlink="salesyoy">
      <xdr:nvSpPr>
        <xdr:cNvPr id="34" name="TextBox 33">
          <a:extLst>
            <a:ext uri="{FF2B5EF4-FFF2-40B4-BE49-F238E27FC236}">
              <a16:creationId xmlns:a16="http://schemas.microsoft.com/office/drawing/2014/main" id="{25D67B10-E10B-D543-E61A-773C559B628F}"/>
            </a:ext>
          </a:extLst>
        </xdr:cNvPr>
        <xdr:cNvSpPr txBox="1"/>
      </xdr:nvSpPr>
      <xdr:spPr>
        <a:xfrm>
          <a:off x="3733800" y="2971800"/>
          <a:ext cx="12344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B69FB3-6D1B-480D-B1DC-78B6BA883E6D}" type="TxLink">
            <a:rPr lang="en-US" sz="2000" b="1" i="0" u="none" strike="noStrike">
              <a:solidFill>
                <a:schemeClr val="bg1">
                  <a:lumMod val="50000"/>
                </a:schemeClr>
              </a:solidFill>
              <a:latin typeface="Calibri"/>
              <a:ea typeface="Calibri"/>
              <a:cs typeface="Calibri"/>
            </a:rPr>
            <a:pPr/>
            <a:t>▲8% YOY</a:t>
          </a:fld>
          <a:endParaRPr lang="en-GB" sz="2000" b="1">
            <a:solidFill>
              <a:schemeClr val="bg1">
                <a:lumMod val="50000"/>
              </a:schemeClr>
            </a:solidFill>
          </a:endParaRPr>
        </a:p>
      </xdr:txBody>
    </xdr:sp>
    <xdr:clientData/>
  </xdr:twoCellAnchor>
  <xdr:twoCellAnchor>
    <xdr:from>
      <xdr:col>10</xdr:col>
      <xdr:colOff>198120</xdr:colOff>
      <xdr:row>16</xdr:row>
      <xdr:rowOff>0</xdr:rowOff>
    </xdr:from>
    <xdr:to>
      <xdr:col>12</xdr:col>
      <xdr:colOff>518160</xdr:colOff>
      <xdr:row>18</xdr:row>
      <xdr:rowOff>76200</xdr:rowOff>
    </xdr:to>
    <xdr:sp macro="" textlink="quantityyoy">
      <xdr:nvSpPr>
        <xdr:cNvPr id="35" name="TextBox 34">
          <a:extLst>
            <a:ext uri="{FF2B5EF4-FFF2-40B4-BE49-F238E27FC236}">
              <a16:creationId xmlns:a16="http://schemas.microsoft.com/office/drawing/2014/main" id="{BAF280B1-913B-1489-4FD1-8ACC30B10AC0}"/>
            </a:ext>
          </a:extLst>
        </xdr:cNvPr>
        <xdr:cNvSpPr txBox="1"/>
      </xdr:nvSpPr>
      <xdr:spPr>
        <a:xfrm>
          <a:off x="6294120" y="2926080"/>
          <a:ext cx="15392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2C4890-23D2-424F-B16E-AC82AD9F7C21}" type="TxLink">
            <a:rPr lang="en-US" sz="2000" b="1" i="0" u="none" strike="noStrike">
              <a:solidFill>
                <a:schemeClr val="bg1">
                  <a:lumMod val="50000"/>
                </a:schemeClr>
              </a:solidFill>
              <a:latin typeface="Calibri"/>
              <a:ea typeface="Calibri"/>
              <a:cs typeface="Calibri"/>
            </a:rPr>
            <a:pPr/>
            <a:t>▲11% YOY</a:t>
          </a:fld>
          <a:endParaRPr lang="en-GB" sz="3600" b="1">
            <a:solidFill>
              <a:schemeClr val="bg1">
                <a:lumMod val="50000"/>
              </a:schemeClr>
            </a:solidFill>
          </a:endParaRPr>
        </a:p>
      </xdr:txBody>
    </xdr:sp>
    <xdr:clientData/>
  </xdr:twoCellAnchor>
  <xdr:twoCellAnchor>
    <xdr:from>
      <xdr:col>14</xdr:col>
      <xdr:colOff>182880</xdr:colOff>
      <xdr:row>16</xdr:row>
      <xdr:rowOff>30480</xdr:rowOff>
    </xdr:from>
    <xdr:to>
      <xdr:col>16</xdr:col>
      <xdr:colOff>533400</xdr:colOff>
      <xdr:row>18</xdr:row>
      <xdr:rowOff>152400</xdr:rowOff>
    </xdr:to>
    <xdr:sp macro="" textlink="profityoy">
      <xdr:nvSpPr>
        <xdr:cNvPr id="36" name="TextBox 35">
          <a:extLst>
            <a:ext uri="{FF2B5EF4-FFF2-40B4-BE49-F238E27FC236}">
              <a16:creationId xmlns:a16="http://schemas.microsoft.com/office/drawing/2014/main" id="{BE3DEA24-0D0F-91CC-9F78-8AE4485B3D02}"/>
            </a:ext>
          </a:extLst>
        </xdr:cNvPr>
        <xdr:cNvSpPr txBox="1"/>
      </xdr:nvSpPr>
      <xdr:spPr>
        <a:xfrm>
          <a:off x="8717280" y="2956560"/>
          <a:ext cx="15697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1AC5D8-E3AB-4A4E-9A4F-9B3988DD35C6}" type="TxLink">
            <a:rPr lang="en-US" sz="2000" b="1" i="0" u="none" strike="noStrike">
              <a:solidFill>
                <a:schemeClr val="bg1">
                  <a:lumMod val="50000"/>
                </a:schemeClr>
              </a:solidFill>
              <a:latin typeface="Calibri"/>
              <a:ea typeface="Calibri"/>
              <a:cs typeface="Calibri"/>
            </a:rPr>
            <a:pPr/>
            <a:t>▼57% YOY</a:t>
          </a:fld>
          <a:endParaRPr lang="en-US" sz="3600" b="1" i="0" u="none" strike="noStrike">
            <a:solidFill>
              <a:schemeClr val="bg1">
                <a:lumMod val="50000"/>
              </a:schemeClr>
            </a:solidFill>
            <a:latin typeface="Calibri"/>
            <a:ea typeface="Calibri"/>
            <a:cs typeface="Calibri"/>
          </a:endParaRPr>
        </a:p>
      </xdr:txBody>
    </xdr:sp>
    <xdr:clientData/>
  </xdr:twoCellAnchor>
  <xdr:twoCellAnchor>
    <xdr:from>
      <xdr:col>5</xdr:col>
      <xdr:colOff>426720</xdr:colOff>
      <xdr:row>26</xdr:row>
      <xdr:rowOff>0</xdr:rowOff>
    </xdr:from>
    <xdr:to>
      <xdr:col>16</xdr:col>
      <xdr:colOff>396240</xdr:colOff>
      <xdr:row>43</xdr:row>
      <xdr:rowOff>167640</xdr:rowOff>
    </xdr:to>
    <xdr:graphicFrame macro="">
      <xdr:nvGraphicFramePr>
        <xdr:cNvPr id="37" name="Chart 36">
          <a:extLst>
            <a:ext uri="{FF2B5EF4-FFF2-40B4-BE49-F238E27FC236}">
              <a16:creationId xmlns:a16="http://schemas.microsoft.com/office/drawing/2014/main" id="{00DCA81D-FA2F-4C48-AD15-6D10B9356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411480</xdr:colOff>
      <xdr:row>22</xdr:row>
      <xdr:rowOff>76200</xdr:rowOff>
    </xdr:from>
    <xdr:to>
      <xdr:col>11</xdr:col>
      <xdr:colOff>381000</xdr:colOff>
      <xdr:row>25</xdr:row>
      <xdr:rowOff>91440</xdr:rowOff>
    </xdr:to>
    <xdr:sp macro="" textlink="">
      <xdr:nvSpPr>
        <xdr:cNvPr id="38" name="TextBox 37">
          <a:extLst>
            <a:ext uri="{FF2B5EF4-FFF2-40B4-BE49-F238E27FC236}">
              <a16:creationId xmlns:a16="http://schemas.microsoft.com/office/drawing/2014/main" id="{AC7683C5-A098-384C-818B-54652CA02B72}"/>
            </a:ext>
          </a:extLst>
        </xdr:cNvPr>
        <xdr:cNvSpPr txBox="1"/>
      </xdr:nvSpPr>
      <xdr:spPr>
        <a:xfrm>
          <a:off x="3459480" y="4099560"/>
          <a:ext cx="362712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rgbClr val="9900FF"/>
              </a:solidFill>
            </a:rPr>
            <a:t>Shipping Mode</a:t>
          </a:r>
        </a:p>
      </xdr:txBody>
    </xdr:sp>
    <xdr:clientData/>
  </xdr:twoCellAnchor>
  <xdr:twoCellAnchor>
    <xdr:from>
      <xdr:col>18</xdr:col>
      <xdr:colOff>487680</xdr:colOff>
      <xdr:row>9</xdr:row>
      <xdr:rowOff>106680</xdr:rowOff>
    </xdr:from>
    <xdr:to>
      <xdr:col>24</xdr:col>
      <xdr:colOff>457200</xdr:colOff>
      <xdr:row>12</xdr:row>
      <xdr:rowOff>121920</xdr:rowOff>
    </xdr:to>
    <xdr:sp macro="" textlink="">
      <xdr:nvSpPr>
        <xdr:cNvPr id="39" name="TextBox 38">
          <a:extLst>
            <a:ext uri="{FF2B5EF4-FFF2-40B4-BE49-F238E27FC236}">
              <a16:creationId xmlns:a16="http://schemas.microsoft.com/office/drawing/2014/main" id="{0DF2EA4E-F05B-FA86-E374-A0BE0575087D}"/>
            </a:ext>
          </a:extLst>
        </xdr:cNvPr>
        <xdr:cNvSpPr txBox="1"/>
      </xdr:nvSpPr>
      <xdr:spPr>
        <a:xfrm>
          <a:off x="11460480" y="1752600"/>
          <a:ext cx="362712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rgbClr val="9900FF"/>
              </a:solidFill>
            </a:rPr>
            <a:t>Sales</a:t>
          </a:r>
          <a:r>
            <a:rPr lang="en-GB" sz="2800" b="1" baseline="0">
              <a:solidFill>
                <a:srgbClr val="9900FF"/>
              </a:solidFill>
            </a:rPr>
            <a:t> Trend</a:t>
          </a:r>
          <a:endParaRPr lang="en-GB" sz="2800" b="1">
            <a:solidFill>
              <a:srgbClr val="9900FF"/>
            </a:solidFill>
          </a:endParaRPr>
        </a:p>
      </xdr:txBody>
    </xdr:sp>
    <xdr:clientData/>
  </xdr:twoCellAnchor>
  <xdr:twoCellAnchor>
    <xdr:from>
      <xdr:col>18</xdr:col>
      <xdr:colOff>426720</xdr:colOff>
      <xdr:row>37</xdr:row>
      <xdr:rowOff>106680</xdr:rowOff>
    </xdr:from>
    <xdr:to>
      <xdr:col>24</xdr:col>
      <xdr:colOff>396240</xdr:colOff>
      <xdr:row>40</xdr:row>
      <xdr:rowOff>121920</xdr:rowOff>
    </xdr:to>
    <xdr:sp macro="" textlink="">
      <xdr:nvSpPr>
        <xdr:cNvPr id="40" name="TextBox 39">
          <a:extLst>
            <a:ext uri="{FF2B5EF4-FFF2-40B4-BE49-F238E27FC236}">
              <a16:creationId xmlns:a16="http://schemas.microsoft.com/office/drawing/2014/main" id="{ABBEA50A-5CA1-CA96-5347-3B009BDD3DD8}"/>
            </a:ext>
          </a:extLst>
        </xdr:cNvPr>
        <xdr:cNvSpPr txBox="1"/>
      </xdr:nvSpPr>
      <xdr:spPr>
        <a:xfrm>
          <a:off x="11399520" y="6873240"/>
          <a:ext cx="362712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rgbClr val="9900FF"/>
              </a:solidFill>
            </a:rPr>
            <a:t>Shipping</a:t>
          </a:r>
          <a:r>
            <a:rPr lang="en-GB" sz="2800" b="1" baseline="0">
              <a:solidFill>
                <a:srgbClr val="9900FF"/>
              </a:solidFill>
            </a:rPr>
            <a:t> Duration</a:t>
          </a:r>
          <a:endParaRPr lang="en-GB" sz="2800" b="1">
            <a:solidFill>
              <a:srgbClr val="9900FF"/>
            </a:solidFill>
          </a:endParaRPr>
        </a:p>
      </xdr:txBody>
    </xdr:sp>
    <xdr:clientData/>
  </xdr:twoCellAnchor>
  <xdr:twoCellAnchor>
    <xdr:from>
      <xdr:col>31</xdr:col>
      <xdr:colOff>426720</xdr:colOff>
      <xdr:row>8</xdr:row>
      <xdr:rowOff>152400</xdr:rowOff>
    </xdr:from>
    <xdr:to>
      <xdr:col>39</xdr:col>
      <xdr:colOff>441960</xdr:colOff>
      <xdr:row>12</xdr:row>
      <xdr:rowOff>15240</xdr:rowOff>
    </xdr:to>
    <xdr:sp macro="" textlink="">
      <xdr:nvSpPr>
        <xdr:cNvPr id="41" name="TextBox 40">
          <a:extLst>
            <a:ext uri="{FF2B5EF4-FFF2-40B4-BE49-F238E27FC236}">
              <a16:creationId xmlns:a16="http://schemas.microsoft.com/office/drawing/2014/main" id="{CF92C2A7-260B-8959-816F-53A33945FE99}"/>
            </a:ext>
          </a:extLst>
        </xdr:cNvPr>
        <xdr:cNvSpPr txBox="1"/>
      </xdr:nvSpPr>
      <xdr:spPr>
        <a:xfrm>
          <a:off x="19324320" y="1615440"/>
          <a:ext cx="489204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rgbClr val="9900FF"/>
              </a:solidFill>
            </a:rPr>
            <a:t>Shipping</a:t>
          </a:r>
          <a:r>
            <a:rPr lang="en-GB" sz="2800" b="1" baseline="0">
              <a:solidFill>
                <a:srgbClr val="9900FF"/>
              </a:solidFill>
            </a:rPr>
            <a:t> Distribution by State</a:t>
          </a:r>
          <a:endParaRPr lang="en-GB" sz="2800" b="1">
            <a:solidFill>
              <a:srgbClr val="9900FF"/>
            </a:solidFill>
          </a:endParaRPr>
        </a:p>
      </xdr:txBody>
    </xdr:sp>
    <xdr:clientData/>
  </xdr:twoCellAnchor>
  <xdr:twoCellAnchor>
    <xdr:from>
      <xdr:col>5</xdr:col>
      <xdr:colOff>396240</xdr:colOff>
      <xdr:row>24</xdr:row>
      <xdr:rowOff>121920</xdr:rowOff>
    </xdr:from>
    <xdr:to>
      <xdr:col>13</xdr:col>
      <xdr:colOff>91440</xdr:colOff>
      <xdr:row>26</xdr:row>
      <xdr:rowOff>152400</xdr:rowOff>
    </xdr:to>
    <xdr:sp macro="" textlink="shippingmodetitle">
      <xdr:nvSpPr>
        <xdr:cNvPr id="42" name="TextBox 41">
          <a:extLst>
            <a:ext uri="{FF2B5EF4-FFF2-40B4-BE49-F238E27FC236}">
              <a16:creationId xmlns:a16="http://schemas.microsoft.com/office/drawing/2014/main" id="{E69670A6-E746-1132-6922-F4EADB9D3669}"/>
            </a:ext>
          </a:extLst>
        </xdr:cNvPr>
        <xdr:cNvSpPr txBox="1"/>
      </xdr:nvSpPr>
      <xdr:spPr>
        <a:xfrm>
          <a:off x="3444240" y="4511040"/>
          <a:ext cx="45720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6DF687-AA50-40D3-A5BC-E057F78DC62E}" type="TxLink">
            <a:rPr lang="en-US" sz="1600" b="1" i="0" u="none" strike="noStrike">
              <a:solidFill>
                <a:srgbClr val="000000"/>
              </a:solidFill>
              <a:latin typeface="Calibri"/>
              <a:ea typeface="Calibri"/>
              <a:cs typeface="Calibri"/>
            </a:rPr>
            <a:pPr/>
            <a:t>Most Used Shipping Mode is Standard Class (1248)</a:t>
          </a:fld>
          <a:endParaRPr lang="en-GB" sz="1600" b="1"/>
        </a:p>
      </xdr:txBody>
    </xdr:sp>
    <xdr:clientData/>
  </xdr:twoCellAnchor>
  <xdr:twoCellAnchor>
    <xdr:from>
      <xdr:col>5</xdr:col>
      <xdr:colOff>243840</xdr:colOff>
      <xdr:row>46</xdr:row>
      <xdr:rowOff>0</xdr:rowOff>
    </xdr:from>
    <xdr:to>
      <xdr:col>18</xdr:col>
      <xdr:colOff>411480</xdr:colOff>
      <xdr:row>63</xdr:row>
      <xdr:rowOff>91440</xdr:rowOff>
    </xdr:to>
    <xdr:graphicFrame macro="">
      <xdr:nvGraphicFramePr>
        <xdr:cNvPr id="43" name="Chart 42">
          <a:extLst>
            <a:ext uri="{FF2B5EF4-FFF2-40B4-BE49-F238E27FC236}">
              <a16:creationId xmlns:a16="http://schemas.microsoft.com/office/drawing/2014/main" id="{693D2E72-0ADB-4DB5-B864-DFB02255D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365760</xdr:colOff>
      <xdr:row>44</xdr:row>
      <xdr:rowOff>0</xdr:rowOff>
    </xdr:from>
    <xdr:to>
      <xdr:col>14</xdr:col>
      <xdr:colOff>15240</xdr:colOff>
      <xdr:row>46</xdr:row>
      <xdr:rowOff>30480</xdr:rowOff>
    </xdr:to>
    <xdr:sp macro="" textlink="salescategory">
      <xdr:nvSpPr>
        <xdr:cNvPr id="44" name="TextBox 43">
          <a:extLst>
            <a:ext uri="{FF2B5EF4-FFF2-40B4-BE49-F238E27FC236}">
              <a16:creationId xmlns:a16="http://schemas.microsoft.com/office/drawing/2014/main" id="{AF502F8C-19A6-7310-CEFF-74A2B3C4F625}"/>
            </a:ext>
          </a:extLst>
        </xdr:cNvPr>
        <xdr:cNvSpPr txBox="1"/>
      </xdr:nvSpPr>
      <xdr:spPr>
        <a:xfrm>
          <a:off x="3413760" y="8046720"/>
          <a:ext cx="51358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6ED1C0-0B10-4F38-A472-3D4D565DB1AD}" type="TxLink">
            <a:rPr lang="en-US" sz="1800" b="1" i="0" u="none" strike="noStrike">
              <a:solidFill>
                <a:srgbClr val="000000"/>
              </a:solidFill>
              <a:latin typeface="Calibri"/>
              <a:ea typeface="Calibri"/>
              <a:cs typeface="Calibri"/>
            </a:rPr>
            <a:pPr/>
            <a:t>Highest Sales from Category:Chairs($328.4K)</a:t>
          </a:fld>
          <a:endParaRPr lang="en-GB" sz="1800" b="1"/>
        </a:p>
      </xdr:txBody>
    </xdr:sp>
    <xdr:clientData/>
  </xdr:twoCellAnchor>
  <xdr:twoCellAnchor>
    <xdr:from>
      <xdr:col>18</xdr:col>
      <xdr:colOff>457200</xdr:colOff>
      <xdr:row>13</xdr:row>
      <xdr:rowOff>167640</xdr:rowOff>
    </xdr:from>
    <xdr:to>
      <xdr:col>30</xdr:col>
      <xdr:colOff>320040</xdr:colOff>
      <xdr:row>35</xdr:row>
      <xdr:rowOff>106680</xdr:rowOff>
    </xdr:to>
    <xdr:graphicFrame macro="">
      <xdr:nvGraphicFramePr>
        <xdr:cNvPr id="45" name="Chart 44">
          <a:extLst>
            <a:ext uri="{FF2B5EF4-FFF2-40B4-BE49-F238E27FC236}">
              <a16:creationId xmlns:a16="http://schemas.microsoft.com/office/drawing/2014/main" id="{5C83206A-CCFE-4198-895A-15E42370F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487680</xdr:colOff>
      <xdr:row>11</xdr:row>
      <xdr:rowOff>152400</xdr:rowOff>
    </xdr:from>
    <xdr:to>
      <xdr:col>26</xdr:col>
      <xdr:colOff>441960</xdr:colOff>
      <xdr:row>15</xdr:row>
      <xdr:rowOff>15240</xdr:rowOff>
    </xdr:to>
    <xdr:sp macro="" textlink="salestrend">
      <xdr:nvSpPr>
        <xdr:cNvPr id="46" name="TextBox 45">
          <a:extLst>
            <a:ext uri="{FF2B5EF4-FFF2-40B4-BE49-F238E27FC236}">
              <a16:creationId xmlns:a16="http://schemas.microsoft.com/office/drawing/2014/main" id="{BDEF494B-3CED-F474-4250-62E80F03DD28}"/>
            </a:ext>
          </a:extLst>
        </xdr:cNvPr>
        <xdr:cNvSpPr txBox="1"/>
      </xdr:nvSpPr>
      <xdr:spPr>
        <a:xfrm>
          <a:off x="11460480" y="2164080"/>
          <a:ext cx="483108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E90C0A-9791-4840-B6C7-46B358F6C3E6}" type="TxLink">
            <a:rPr lang="en-US" sz="1800" b="1" i="0" u="none" strike="noStrike">
              <a:solidFill>
                <a:srgbClr val="000000"/>
              </a:solidFill>
              <a:latin typeface="Calibri"/>
              <a:ea typeface="Calibri"/>
              <a:cs typeface="Calibri"/>
            </a:rPr>
            <a:pPr/>
            <a:t>Peak Sales Month is Dec with $121.8K in sales</a:t>
          </a:fld>
          <a:endParaRPr lang="en-GB" sz="1800" b="1"/>
        </a:p>
      </xdr:txBody>
    </xdr:sp>
    <xdr:clientData/>
  </xdr:twoCellAnchor>
  <xdr:twoCellAnchor>
    <xdr:from>
      <xdr:col>18</xdr:col>
      <xdr:colOff>563880</xdr:colOff>
      <xdr:row>42</xdr:row>
      <xdr:rowOff>0</xdr:rowOff>
    </xdr:from>
    <xdr:to>
      <xdr:col>30</xdr:col>
      <xdr:colOff>487680</xdr:colOff>
      <xdr:row>62</xdr:row>
      <xdr:rowOff>76200</xdr:rowOff>
    </xdr:to>
    <xdr:graphicFrame macro="">
      <xdr:nvGraphicFramePr>
        <xdr:cNvPr id="47" name="Chart 46">
          <a:extLst>
            <a:ext uri="{FF2B5EF4-FFF2-40B4-BE49-F238E27FC236}">
              <a16:creationId xmlns:a16="http://schemas.microsoft.com/office/drawing/2014/main" id="{5F81AF55-B383-4AB7-BBF5-06724495B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457200</xdr:colOff>
      <xdr:row>40</xdr:row>
      <xdr:rowOff>0</xdr:rowOff>
    </xdr:from>
    <xdr:to>
      <xdr:col>25</xdr:col>
      <xdr:colOff>472440</xdr:colOff>
      <xdr:row>42</xdr:row>
      <xdr:rowOff>0</xdr:rowOff>
    </xdr:to>
    <xdr:sp macro="" textlink="dropline">
      <xdr:nvSpPr>
        <xdr:cNvPr id="48" name="TextBox 47">
          <a:extLst>
            <a:ext uri="{FF2B5EF4-FFF2-40B4-BE49-F238E27FC236}">
              <a16:creationId xmlns:a16="http://schemas.microsoft.com/office/drawing/2014/main" id="{919ADC7B-C3C7-9402-5ADD-0CDBD0AFD7B4}"/>
            </a:ext>
          </a:extLst>
        </xdr:cNvPr>
        <xdr:cNvSpPr txBox="1"/>
      </xdr:nvSpPr>
      <xdr:spPr>
        <a:xfrm>
          <a:off x="11430000" y="7315200"/>
          <a:ext cx="42824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44F89E-6138-45A9-958C-BD3865553349}" type="TxLink">
            <a:rPr lang="en-US" sz="1600" b="1" i="0" u="none" strike="noStrike">
              <a:solidFill>
                <a:srgbClr val="000000"/>
              </a:solidFill>
              <a:latin typeface="Calibri"/>
              <a:ea typeface="Calibri"/>
              <a:cs typeface="Calibri"/>
            </a:rPr>
            <a:pPr/>
            <a:t>Most Orders (28%) were delivered in 4- days</a:t>
          </a:fld>
          <a:endParaRPr lang="en-GB" sz="1600" b="1"/>
        </a:p>
      </xdr:txBody>
    </xdr:sp>
    <xdr:clientData/>
  </xdr:twoCellAnchor>
  <xdr:twoCellAnchor>
    <xdr:from>
      <xdr:col>31</xdr:col>
      <xdr:colOff>411480</xdr:colOff>
      <xdr:row>11</xdr:row>
      <xdr:rowOff>0</xdr:rowOff>
    </xdr:from>
    <xdr:to>
      <xdr:col>40</xdr:col>
      <xdr:colOff>137160</xdr:colOff>
      <xdr:row>13</xdr:row>
      <xdr:rowOff>45720</xdr:rowOff>
    </xdr:to>
    <xdr:sp macro="" textlink="map">
      <xdr:nvSpPr>
        <xdr:cNvPr id="50" name="TextBox 49">
          <a:extLst>
            <a:ext uri="{FF2B5EF4-FFF2-40B4-BE49-F238E27FC236}">
              <a16:creationId xmlns:a16="http://schemas.microsoft.com/office/drawing/2014/main" id="{2A3F2264-1184-79BC-A28C-7040BB1E93ED}"/>
            </a:ext>
          </a:extLst>
        </xdr:cNvPr>
        <xdr:cNvSpPr txBox="1"/>
      </xdr:nvSpPr>
      <xdr:spPr>
        <a:xfrm>
          <a:off x="19309080" y="2011680"/>
          <a:ext cx="52120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A46594-7C7B-47AB-8423-9C52A8E40C59}" type="TxLink">
            <a:rPr lang="en-US" sz="1800" b="1" i="0" u="none" strike="noStrike">
              <a:solidFill>
                <a:schemeClr val="tx1"/>
              </a:solidFill>
              <a:latin typeface="Calibri"/>
              <a:ea typeface="Calibri"/>
              <a:cs typeface="Calibri"/>
            </a:rPr>
            <a:pPr/>
            <a:t>California is the states with most sales ($156.1K) </a:t>
          </a:fld>
          <a:endParaRPr lang="en-GB" sz="1800" b="1">
            <a:solidFill>
              <a:schemeClr val="tx1"/>
            </a:solidFill>
          </a:endParaRPr>
        </a:p>
      </xdr:txBody>
    </xdr:sp>
    <xdr:clientData/>
  </xdr:twoCellAnchor>
  <xdr:twoCellAnchor editAs="oneCell">
    <xdr:from>
      <xdr:col>33</xdr:col>
      <xdr:colOff>426720</xdr:colOff>
      <xdr:row>5</xdr:row>
      <xdr:rowOff>30480</xdr:rowOff>
    </xdr:from>
    <xdr:to>
      <xdr:col>43</xdr:col>
      <xdr:colOff>252736</xdr:colOff>
      <xdr:row>8</xdr:row>
      <xdr:rowOff>152400</xdr:rowOff>
    </xdr:to>
    <mc:AlternateContent xmlns:mc="http://schemas.openxmlformats.org/markup-compatibility/2006" xmlns:a14="http://schemas.microsoft.com/office/drawing/2010/main">
      <mc:Choice Requires="a14">
        <xdr:graphicFrame macro="">
          <xdr:nvGraphicFramePr>
            <xdr:cNvPr id="51" name="Region">
              <a:extLst>
                <a:ext uri="{FF2B5EF4-FFF2-40B4-BE49-F238E27FC236}">
                  <a16:creationId xmlns:a16="http://schemas.microsoft.com/office/drawing/2014/main" id="{E743939A-AEF3-47FC-BB1A-3471A9BC22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543520" y="944880"/>
              <a:ext cx="5922016" cy="6705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259080</xdr:colOff>
      <xdr:row>5</xdr:row>
      <xdr:rowOff>45720</xdr:rowOff>
    </xdr:from>
    <xdr:to>
      <xdr:col>33</xdr:col>
      <xdr:colOff>365760</xdr:colOff>
      <xdr:row>8</xdr:row>
      <xdr:rowOff>106680</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1A229A29-DE15-4C64-8A0B-FBA5A389E0F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279880" y="960120"/>
              <a:ext cx="6202680" cy="609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167640</xdr:colOff>
      <xdr:row>40</xdr:row>
      <xdr:rowOff>91440</xdr:rowOff>
    </xdr:from>
    <xdr:to>
      <xdr:col>43</xdr:col>
      <xdr:colOff>289560</xdr:colOff>
      <xdr:row>63</xdr:row>
      <xdr:rowOff>30480</xdr:rowOff>
    </xdr:to>
    <xdr:graphicFrame macro="">
      <xdr:nvGraphicFramePr>
        <xdr:cNvPr id="3" name="Chart 2">
          <a:extLst>
            <a:ext uri="{FF2B5EF4-FFF2-40B4-BE49-F238E27FC236}">
              <a16:creationId xmlns:a16="http://schemas.microsoft.com/office/drawing/2014/main" id="{4246A040-EE5B-4CFA-98C7-593DE82D1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350520</xdr:colOff>
      <xdr:row>36</xdr:row>
      <xdr:rowOff>121920</xdr:rowOff>
    </xdr:from>
    <xdr:to>
      <xdr:col>37</xdr:col>
      <xdr:colOff>320040</xdr:colOff>
      <xdr:row>39</xdr:row>
      <xdr:rowOff>137160</xdr:rowOff>
    </xdr:to>
    <xdr:sp macro="" textlink="">
      <xdr:nvSpPr>
        <xdr:cNvPr id="4" name="TextBox 3">
          <a:extLst>
            <a:ext uri="{FF2B5EF4-FFF2-40B4-BE49-F238E27FC236}">
              <a16:creationId xmlns:a16="http://schemas.microsoft.com/office/drawing/2014/main" id="{A2B371E6-2A67-A73D-17D9-8F571D471712}"/>
            </a:ext>
          </a:extLst>
        </xdr:cNvPr>
        <xdr:cNvSpPr txBox="1"/>
      </xdr:nvSpPr>
      <xdr:spPr>
        <a:xfrm>
          <a:off x="19248120" y="6705600"/>
          <a:ext cx="362712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rgbClr val="9900FF"/>
              </a:solidFill>
            </a:rPr>
            <a:t>Top</a:t>
          </a:r>
          <a:r>
            <a:rPr lang="en-GB" sz="2800" b="1" baseline="0">
              <a:solidFill>
                <a:srgbClr val="9900FF"/>
              </a:solidFill>
            </a:rPr>
            <a:t> 10 Selling Cities</a:t>
          </a:r>
          <a:endParaRPr lang="en-GB" sz="2800" b="1">
            <a:solidFill>
              <a:srgbClr val="9900FF"/>
            </a:solidFill>
          </a:endParaRPr>
        </a:p>
      </xdr:txBody>
    </xdr:sp>
    <xdr:clientData/>
  </xdr:twoCellAnchor>
  <xdr:twoCellAnchor>
    <xdr:from>
      <xdr:col>31</xdr:col>
      <xdr:colOff>457200</xdr:colOff>
      <xdr:row>38</xdr:row>
      <xdr:rowOff>152400</xdr:rowOff>
    </xdr:from>
    <xdr:to>
      <xdr:col>38</xdr:col>
      <xdr:colOff>472440</xdr:colOff>
      <xdr:row>40</xdr:row>
      <xdr:rowOff>152400</xdr:rowOff>
    </xdr:to>
    <xdr:sp macro="" textlink="topcities">
      <xdr:nvSpPr>
        <xdr:cNvPr id="5" name="TextBox 4">
          <a:extLst>
            <a:ext uri="{FF2B5EF4-FFF2-40B4-BE49-F238E27FC236}">
              <a16:creationId xmlns:a16="http://schemas.microsoft.com/office/drawing/2014/main" id="{F7B70C1E-B0D8-C1FE-041B-790A1B32804B}"/>
            </a:ext>
          </a:extLst>
        </xdr:cNvPr>
        <xdr:cNvSpPr txBox="1"/>
      </xdr:nvSpPr>
      <xdr:spPr>
        <a:xfrm>
          <a:off x="19354800" y="7101840"/>
          <a:ext cx="42824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AA8759-4CC0-42E5-A095-FC71FC38D736}" type="TxLink">
            <a:rPr lang="en-US" sz="1600" b="1" i="0" u="none" strike="noStrike">
              <a:solidFill>
                <a:srgbClr val="000000"/>
              </a:solidFill>
              <a:latin typeface="Calibri"/>
              <a:ea typeface="Calibri"/>
              <a:cs typeface="Calibri"/>
            </a:rPr>
            <a:pPr/>
            <a:t>New York City is number one in sales ($75.7K)</a:t>
          </a:fld>
          <a:endParaRPr lang="en-GB" sz="2400" b="1"/>
        </a:p>
      </xdr:txBody>
    </xdr:sp>
    <xdr:clientData/>
  </xdr:twoCellAnchor>
  <xdr:twoCellAnchor>
    <xdr:from>
      <xdr:col>31</xdr:col>
      <xdr:colOff>106680</xdr:colOff>
      <xdr:row>12</xdr:row>
      <xdr:rowOff>167640</xdr:rowOff>
    </xdr:from>
    <xdr:to>
      <xdr:col>43</xdr:col>
      <xdr:colOff>152400</xdr:colOff>
      <xdr:row>37</xdr:row>
      <xdr:rowOff>30480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55EC5B3A-C5C2-44BB-AD05-D87BB1B77A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004280" y="2362200"/>
              <a:ext cx="7360920" cy="44348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cdr:x>
      <cdr:y>0.15814</cdr:y>
    </cdr:from>
    <cdr:to>
      <cdr:x>0.54699</cdr:x>
      <cdr:y>0.84651</cdr:y>
    </cdr:to>
    <cdr:sp macro="" textlink="">
      <cdr:nvSpPr>
        <cdr:cNvPr id="2" name="Oval 1">
          <a:extLst xmlns:a="http://schemas.openxmlformats.org/drawingml/2006/main">
            <a:ext uri="{FF2B5EF4-FFF2-40B4-BE49-F238E27FC236}">
              <a16:creationId xmlns:a16="http://schemas.microsoft.com/office/drawing/2014/main" id="{BA34AB29-CED5-70DC-2133-FC265D39A9FB}"/>
            </a:ext>
          </a:extLst>
        </cdr:cNvPr>
        <cdr:cNvSpPr/>
      </cdr:nvSpPr>
      <cdr:spPr>
        <a:xfrm xmlns:a="http://schemas.openxmlformats.org/drawingml/2006/main">
          <a:off x="1264920" y="518160"/>
          <a:ext cx="2194560" cy="2255520"/>
        </a:xfrm>
        <a:prstGeom xmlns:a="http://schemas.openxmlformats.org/drawingml/2006/main" prst="ellipse">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GB" kern="1200"/>
        </a:p>
      </cdr:txBody>
    </cdr:sp>
  </cdr:relSizeAnchor>
  <cdr:relSizeAnchor xmlns:cdr="http://schemas.openxmlformats.org/drawingml/2006/chartDrawing">
    <cdr:from>
      <cdr:x>0.25783</cdr:x>
      <cdr:y>0.27442</cdr:y>
    </cdr:from>
    <cdr:to>
      <cdr:x>0.49398</cdr:x>
      <cdr:y>0.73023</cdr:y>
    </cdr:to>
    <cdr:sp macro="" textlink="">
      <cdr:nvSpPr>
        <cdr:cNvPr id="3" name="TextBox 2">
          <a:extLst xmlns:a="http://schemas.openxmlformats.org/drawingml/2006/main">
            <a:ext uri="{FF2B5EF4-FFF2-40B4-BE49-F238E27FC236}">
              <a16:creationId xmlns:a16="http://schemas.microsoft.com/office/drawing/2014/main" id="{D25D2775-26CD-D988-2450-CA5697F442F2}"/>
            </a:ext>
          </a:extLst>
        </cdr:cNvPr>
        <cdr:cNvSpPr txBox="1"/>
      </cdr:nvSpPr>
      <cdr:spPr>
        <a:xfrm xmlns:a="http://schemas.openxmlformats.org/drawingml/2006/main">
          <a:off x="1630680" y="899160"/>
          <a:ext cx="1493520" cy="149352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en-GB" sz="4000" b="1" kern="1200">
              <a:solidFill>
                <a:srgbClr val="9900FF"/>
              </a:solidFill>
            </a:rPr>
            <a:t>Ship</a:t>
          </a:r>
        </a:p>
        <a:p xmlns:a="http://schemas.openxmlformats.org/drawingml/2006/main">
          <a:pPr algn="ctr"/>
          <a:r>
            <a:rPr lang="en-GB" sz="4000" b="1" kern="1200">
              <a:solidFill>
                <a:srgbClr val="9900FF"/>
              </a:solidFill>
            </a:rPr>
            <a:t>Mode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5.491323495371" createdVersion="8" refreshedVersion="8" minRefreshableVersion="3" recordCount="2121" xr:uid="{6B28D837-B140-4E06-93A2-E2DD4A84E26A}">
  <cacheSource type="worksheet">
    <worksheetSource name="data"/>
  </cacheSource>
  <cacheFields count="24">
    <cacheField name="Order ID" numFmtId="0">
      <sharedItems count="1764">
        <s v="CA-2016-152156"/>
        <s v="US-2015-108966"/>
        <s v="CA-2014-115812"/>
        <s v="US-2017-156909"/>
        <s v="CA-2015-106320"/>
        <s v="US-2015-150630"/>
        <s v="CA-2016-117590"/>
        <s v="CA-2015-117415"/>
        <s v="CA-2015-115742"/>
        <s v="CA-2016-111682"/>
        <s v="CA-2015-135545"/>
        <s v="US-2015-164175"/>
        <s v="US-2015-134026"/>
        <s v="US-2017-118038"/>
        <s v="US-2014-147606"/>
        <s v="CA-2017-140088"/>
        <s v="CA-2015-149587"/>
        <s v="CA-2017-161018"/>
        <s v="US-2015-156867"/>
        <s v="CA-2017-146780"/>
        <s v="CA-2015-110457"/>
        <s v="CA-2016-103730"/>
        <s v="US-2014-152030"/>
        <s v="US-2014-134614"/>
        <s v="US-2016-125969"/>
        <s v="CA-2016-145583"/>
        <s v="CA-2016-110366"/>
        <s v="CA-2014-110072"/>
        <s v="CA-2016-114489"/>
        <s v="CA-2014-104269"/>
        <s v="CA-2014-139892"/>
        <s v="CA-2014-118962"/>
        <s v="US-2015-101511"/>
        <s v="CA-2015-102281"/>
        <s v="CA-2014-133690"/>
        <s v="CA-2017-126382"/>
        <s v="CA-2015-146262"/>
        <s v="CA-2015-169397"/>
        <s v="CA-2015-163055"/>
        <s v="US-2015-145436"/>
        <s v="US-2017-100930"/>
        <s v="CA-2016-157749"/>
        <s v="CA-2014-131926"/>
        <s v="CA-2016-154739"/>
        <s v="US-2015-159982"/>
        <s v="CA-2015-155334"/>
        <s v="CA-2015-130890"/>
        <s v="CA-2016-110772"/>
        <s v="CA-2014-111451"/>
        <s v="CA-2016-142545"/>
        <s v="US-2017-152380"/>
        <s v="CA-2015-144253"/>
        <s v="CA-2016-142902"/>
        <s v="CA-2014-120887"/>
        <s v="CA-2014-164973"/>
        <s v="CA-2017-153339"/>
        <s v="US-2016-141544"/>
        <s v="CA-2014-129924"/>
        <s v="CA-2016-138520"/>
        <s v="CA-2017-144904"/>
        <s v="CA-2016-155516"/>
        <s v="US-2017-134481"/>
        <s v="US-2015-168935"/>
        <s v="CA-2015-122756"/>
        <s v="CA-2016-108987"/>
        <s v="CA-2017-117457"/>
        <s v="CA-2017-142636"/>
        <s v="CA-2016-148796"/>
        <s v="CA-2017-125388"/>
        <s v="CA-2017-155705"/>
        <s v="CA-2017-149160"/>
        <s v="CA-2017-157252"/>
        <s v="CA-2016-115756"/>
        <s v="CA-2017-154214"/>
        <s v="CA-2017-147277"/>
        <s v="US-2014-110674"/>
        <s v="US-2016-157945"/>
        <s v="CA-2016-109869"/>
        <s v="US-2015-101399"/>
        <s v="CA-2017-154907"/>
        <s v="CA-2014-144666"/>
        <s v="CA-2016-152632"/>
        <s v="CA-2017-140963"/>
        <s v="US-2016-120929"/>
        <s v="CA-2016-126158"/>
        <s v="US-2016-105578"/>
        <s v="CA-2017-135307"/>
        <s v="CA-2017-145142"/>
        <s v="CA-2017-113558"/>
        <s v="CA-2015-102848"/>
        <s v="US-2017-129441"/>
        <s v="CA-2015-134894"/>
        <s v="CA-2014-103849"/>
        <s v="CA-2016-136406"/>
        <s v="CA-2017-112774"/>
        <s v="CA-2016-113243"/>
        <s v="CA-2017-118731"/>
        <s v="CA-2014-145576"/>
        <s v="CA-2017-156951"/>
        <s v="CA-2017-118640"/>
        <s v="CA-2015-128139"/>
        <s v="CA-2014-131450"/>
        <s v="CA-2014-149958"/>
        <s v="CA-2017-117947"/>
        <s v="CA-2015-138009"/>
        <s v="CA-2017-163020"/>
        <s v="CA-2015-168004"/>
        <s v="CA-2016-115917"/>
        <s v="CA-2016-147067"/>
        <s v="CA-2016-160745"/>
        <s v="US-2016-156097"/>
        <s v="CA-2015-146563"/>
        <s v="CA-2014-156314"/>
        <s v="US-2017-106663"/>
        <s v="US-2017-119438"/>
        <s v="CA-2017-161480"/>
        <s v="US-2014-117135"/>
        <s v="CA-2017-114552"/>
        <s v="CA-2016-163755"/>
        <s v="CA-2015-142027"/>
        <s v="CA-2014-112158"/>
        <s v="CA-2014-130092"/>
        <s v="CA-2017-108910"/>
        <s v="CA-2014-104472"/>
        <s v="CA-2016-142335"/>
        <s v="CA-2014-117429"/>
        <s v="US-2016-150861"/>
        <s v="CA-2017-131954"/>
        <s v="CA-2014-124429"/>
        <s v="CA-2017-126074"/>
        <s v="CA-2015-135272"/>
        <s v="CA-2016-140928"/>
        <s v="CA-2014-106810"/>
        <s v="CA-2016-157245"/>
        <s v="CA-2017-104220"/>
        <s v="CA-2015-144267"/>
        <s v="US-2015-157014"/>
        <s v="CA-2015-154620"/>
        <s v="CA-2015-115938"/>
        <s v="CA-2015-101910"/>
        <s v="CA-2017-105809"/>
        <s v="CA-2017-135783"/>
        <s v="CA-2015-140921"/>
        <s v="CA-2014-151995"/>
        <s v="CA-2017-143686"/>
        <s v="CA-2014-140858"/>
        <s v="CA-2017-129462"/>
        <s v="CA-2015-100454"/>
        <s v="CA-2015-114300"/>
        <s v="CA-2017-107503"/>
        <s v="CA-2016-123274"/>
        <s v="CA-2014-149020"/>
        <s v="CA-2016-116736"/>
        <s v="CA-2017-111689"/>
        <s v="CA-2016-165148"/>
        <s v="CA-2014-134061"/>
        <s v="CA-2017-143259"/>
        <s v="CA-2015-133627"/>
        <s v="CA-2017-102519"/>
        <s v="US-2014-141215"/>
        <s v="CA-2016-142958"/>
        <s v="US-2015-140200"/>
        <s v="US-2017-110576"/>
        <s v="CA-2017-131156"/>
        <s v="CA-2017-136539"/>
        <s v="CA-2015-112571"/>
        <s v="CA-2017-152142"/>
        <s v="CA-2014-115791"/>
        <s v="CA-2016-144939"/>
        <s v="CA-2014-163419"/>
        <s v="CA-2017-167899"/>
        <s v="CA-2015-153549"/>
        <s v="CA-2015-162537"/>
        <s v="CA-2015-124891"/>
        <s v="CA-2014-158540"/>
        <s v="CA-2017-118437"/>
        <s v="US-2015-126214"/>
        <s v="CA-2015-108665"/>
        <s v="CA-2015-124450"/>
        <s v="CA-2014-163552"/>
        <s v="CA-2016-113061"/>
        <s v="CA-2016-127670"/>
        <s v="CA-2016-102981"/>
        <s v="CA-2017-152702"/>
        <s v="CA-2016-169103"/>
        <s v="US-2015-153500"/>
        <s v="CA-2015-110667"/>
        <s v="US-2015-125374"/>
        <s v="CA-2016-157686"/>
        <s v="CA-2015-110016"/>
        <s v="US-2016-143819"/>
        <s v="CA-2017-158407"/>
        <s v="CA-2014-159338"/>
        <s v="CA-2016-107216"/>
        <s v="US-2016-110156"/>
        <s v="CA-2017-140585"/>
        <s v="US-2014-147627"/>
        <s v="CA-2016-112102"/>
        <s v="CA-2014-146969"/>
        <s v="CA-2015-113971"/>
        <s v="CA-2014-136567"/>
        <s v="CA-2016-149314"/>
        <s v="CA-2017-145226"/>
        <s v="CA-2016-113621"/>
        <s v="CA-2017-117212"/>
        <s v="US-2015-130519"/>
        <s v="CA-2016-130946"/>
        <s v="CA-2016-114727"/>
        <s v="CA-2016-137050"/>
        <s v="US-2017-118087"/>
        <s v="CA-2016-126004"/>
        <s v="CA-2017-100013"/>
        <s v="CA-2016-144344"/>
        <s v="CA-2014-127012"/>
        <s v="CA-2014-168494"/>
        <s v="CA-2017-115602"/>
        <s v="CA-2017-144638"/>
        <s v="CA-2016-155992"/>
        <s v="US-2014-167738"/>
        <s v="CA-2017-121412"/>
        <s v="CA-2016-119186"/>
        <s v="CA-2016-154711"/>
        <s v="CA-2016-137043"/>
        <s v="CA-2015-115847"/>
        <s v="US-2017-126179"/>
        <s v="CA-2016-141397"/>
        <s v="US-2016-134488"/>
        <s v="CA-2016-145919"/>
        <s v="CA-2015-120439"/>
        <s v="CA-2016-142762"/>
        <s v="US-2017-123281"/>
        <s v="CA-2017-100524"/>
        <s v="CA-2014-153976"/>
        <s v="CA-2017-162978"/>
        <s v="CA-2017-160045"/>
        <s v="US-2014-151925"/>
        <s v="US-2017-155425"/>
        <s v="CA-2017-133249"/>
        <s v="US-2015-103471"/>
        <s v="CA-2015-120362"/>
        <s v="US-2016-100566"/>
        <s v="US-2016-108504"/>
        <s v="US-2017-117247"/>
        <s v="US-2016-161396"/>
        <s v="US-2014-118486"/>
        <s v="CA-2016-130407"/>
        <s v="US-2016-122245"/>
        <s v="CA-2016-136329"/>
        <s v="CA-2017-115994"/>
        <s v="CA-2015-126697"/>
        <s v="CA-2014-120768"/>
        <s v="CA-2015-139731"/>
        <s v="CA-2017-102337"/>
        <s v="CA-2017-148474"/>
        <s v="CA-2014-155271"/>
        <s v="US-2016-128902"/>
        <s v="CA-2016-152289"/>
        <s v="CA-2014-151708"/>
        <s v="CA-2017-139199"/>
        <s v="US-2015-105676"/>
        <s v="CA-2015-140410"/>
        <s v="CA-2017-166436"/>
        <s v="CA-2017-139661"/>
        <s v="CA-2016-100468"/>
        <s v="CA-2015-153388"/>
        <s v="CA-2017-103611"/>
        <s v="US-2017-160759"/>
        <s v="CA-2017-148446"/>
        <s v="CA-2015-144806"/>
        <s v="CA-2016-122392"/>
        <s v="CA-2017-124086"/>
        <s v="CA-2017-121888"/>
        <s v="CA-2014-166884"/>
        <s v="CA-2014-150245"/>
        <s v="CA-2015-112116"/>
        <s v="US-2017-102890"/>
        <s v="US-2014-157385"/>
        <s v="CA-2014-101602"/>
        <s v="CA-2015-131338"/>
        <s v="CA-2015-118423"/>
        <s v="CA-2017-149181"/>
        <s v="CA-2017-132234"/>
        <s v="CA-2017-158876"/>
        <s v="CA-2016-164672"/>
        <s v="CA-2014-156349"/>
        <s v="CA-2017-108560"/>
        <s v="CA-2015-143119"/>
        <s v="CA-2017-101049"/>
        <s v="CA-2016-157266"/>
        <s v="CA-2014-127159"/>
        <s v="US-2015-157154"/>
        <s v="CA-2015-143077"/>
        <s v="CA-2014-122882"/>
        <s v="CA-2016-147585"/>
        <s v="CA-2017-143798"/>
        <s v="CA-2014-142839"/>
        <s v="US-2016-154361"/>
        <s v="CA-2014-135657"/>
        <s v="CA-2015-114069"/>
        <s v="CA-2017-123491"/>
        <s v="US-2017-124968"/>
        <s v="CA-2017-104003"/>
        <s v="CA-2016-169943"/>
        <s v="US-2015-123218"/>
        <s v="US-2017-164056"/>
        <s v="CA-2017-152807"/>
        <s v="CA-2015-139094"/>
        <s v="CA-2017-168837"/>
        <s v="CA-2015-130785"/>
        <s v="CA-2016-110254"/>
        <s v="CA-2014-120474"/>
        <s v="CA-2016-100965"/>
        <s v="CA-2016-149461"/>
        <s v="CA-2016-165484"/>
        <s v="CA-2014-132612"/>
        <s v="US-2017-161193"/>
        <s v="CA-2015-131597"/>
        <s v="US-2014-130379"/>
        <s v="CA-2016-168956"/>
        <s v="CA-2016-167507"/>
        <s v="CA-2017-145884"/>
        <s v="CA-2015-131422"/>
        <s v="CA-2014-117345"/>
        <s v="CA-2016-157763"/>
        <s v="CA-2015-135391"/>
        <s v="US-2017-158512"/>
        <s v="CA-2017-128370"/>
        <s v="US-2017-121251"/>
        <s v="US-2016-100839"/>
        <s v="CA-2017-118857"/>
        <s v="CA-2014-116932"/>
        <s v="CA-2017-142888"/>
        <s v="US-2016-112977"/>
        <s v="CA-2017-118885"/>
        <s v="CA-2015-109512"/>
        <s v="CA-2016-147578"/>
        <s v="CA-2014-142587"/>
        <s v="CA-2014-169775"/>
        <s v="CA-2017-167094"/>
        <s v="CA-2015-157959"/>
        <s v="CA-2017-105886"/>
        <s v="US-2017-111423"/>
        <s v="CA-2017-161200"/>
        <s v="CA-2015-141768"/>
        <s v="CA-2016-112109"/>
        <s v="CA-2017-157987"/>
        <s v="CA-2014-110408"/>
        <s v="CA-2016-112669"/>
        <s v="CA-2014-164721"/>
        <s v="CA-2015-127509"/>
        <s v="US-2017-147221"/>
        <s v="CA-2017-163510"/>
        <s v="CA-2017-165386"/>
        <s v="CA-2016-145905"/>
        <s v="CA-2016-168354"/>
        <s v="CA-2015-114237"/>
        <s v="CA-2017-162481"/>
        <s v="CA-2015-122287"/>
        <s v="CA-2015-142237"/>
        <s v="CA-2016-136434"/>
        <s v="CA-2017-120376"/>
        <s v="CA-2014-106439"/>
        <s v="CA-2015-133452"/>
        <s v="US-2017-110996"/>
        <s v="CA-2014-131051"/>
        <s v="CA-2015-120103"/>
        <s v="CA-2017-166142"/>
        <s v="CA-2014-145926"/>
        <s v="CA-2014-123295"/>
        <s v="CA-2015-164882"/>
        <s v="CA-2015-159786"/>
        <s v="CA-2017-158246"/>
        <s v="CA-2017-167381"/>
        <s v="CA-2015-134859"/>
        <s v="US-2014-114188"/>
        <s v="CA-2015-156377"/>
        <s v="CA-2014-159520"/>
        <s v="US-2016-152051"/>
        <s v="CA-2014-141607"/>
        <s v="US-2017-139969"/>
        <s v="US-2016-120460"/>
        <s v="CA-2016-141019"/>
        <s v="CA-2016-154018"/>
        <s v="US-2017-137491"/>
        <s v="CA-2016-128818"/>
        <s v="CA-2017-143063"/>
        <s v="US-2014-165659"/>
        <s v="CA-2015-138002"/>
        <s v="CA-2015-128860"/>
        <s v="CA-2017-107874"/>
        <s v="CA-2017-129378"/>
        <s v="CA-2015-131884"/>
        <s v="CA-2016-106383"/>
        <s v="CA-2016-139157"/>
        <s v="CA-2017-157091"/>
        <s v="CA-2017-166849"/>
        <s v="CA-2016-164091"/>
        <s v="CA-2017-105214"/>
        <s v="CA-2017-122994"/>
        <s v="CA-2015-142944"/>
        <s v="CA-2014-157882"/>
        <s v="CA-2014-104283"/>
        <s v="CA-2017-142622"/>
        <s v="CA-2017-115154"/>
        <s v="CA-2015-149342"/>
        <s v="CA-2017-127929"/>
        <s v="CA-2015-113145"/>
        <s v="CA-2017-157931"/>
        <s v="CA-2016-115574"/>
        <s v="US-2017-120418"/>
        <s v="CA-2017-122035"/>
        <s v="CA-2015-105102"/>
        <s v="US-2015-147739"/>
        <s v="US-2014-143231"/>
        <s v="CA-2016-159373"/>
        <s v="CA-2015-111514"/>
        <s v="US-2014-148838"/>
        <s v="US-2016-108637"/>
        <s v="CA-2014-102295"/>
        <s v="US-2016-129469"/>
        <s v="CA-2016-159940"/>
        <s v="CA-2016-118052"/>
        <s v="US-2015-127040"/>
        <s v="US-2016-110170"/>
        <s v="CA-2017-155985"/>
        <s v="CA-2014-151295"/>
        <s v="CA-2016-156300"/>
        <s v="CA-2015-146087"/>
        <s v="US-2017-147669"/>
        <s v="CA-2016-169922"/>
        <s v="CA-2017-129805"/>
        <s v="CA-2014-148586"/>
        <s v="CA-2017-140053"/>
        <s v="CA-2014-164210"/>
        <s v="CA-2017-139948"/>
        <s v="CA-2016-146934"/>
        <s v="CA-2016-119165"/>
        <s v="US-2016-135923"/>
        <s v="CA-2016-114972"/>
        <s v="CA-2017-102750"/>
        <s v="CA-2017-126067"/>
        <s v="CA-2016-146206"/>
        <s v="CA-2014-136644"/>
        <s v="CA-2014-143917"/>
        <s v="CA-2016-124506"/>
        <s v="CA-2017-123134"/>
        <s v="CA-2015-168746"/>
        <s v="CA-2015-113404"/>
        <s v="CA-2016-144792"/>
        <s v="US-2016-114174"/>
        <s v="CA-2017-108070"/>
        <s v="CA-2017-101042"/>
        <s v="US-2016-126844"/>
        <s v="CA-2015-147788"/>
        <s v="CA-2017-123967"/>
        <s v="CA-2017-145128"/>
        <s v="US-2014-155502"/>
        <s v="CA-2017-131695"/>
        <s v="US-2016-115455"/>
        <s v="CA-2016-165848"/>
        <s v="CA-2014-127446"/>
        <s v="CA-2016-137204"/>
        <s v="CA-2014-147298"/>
        <s v="US-2017-110604"/>
        <s v="CA-2015-116750"/>
        <s v="CA-2017-108441"/>
        <s v="CA-2016-149111"/>
        <s v="CA-2014-131002"/>
        <s v="US-2016-146794"/>
        <s v="CA-2017-112515"/>
        <s v="CA-2015-135538"/>
        <s v="CA-2016-164784"/>
        <s v="US-2015-139759"/>
        <s v="CA-2014-126403"/>
        <s v="CA-2016-138079"/>
        <s v="CA-2014-143182"/>
        <s v="CA-2014-145317"/>
        <s v="CA-2015-121797"/>
        <s v="CA-2017-132430"/>
        <s v="CA-2014-110030"/>
        <s v="CA-2017-149888"/>
        <s v="CA-2017-104801"/>
        <s v="CA-2015-115798"/>
        <s v="CA-2014-149244"/>
        <s v="CA-2015-140144"/>
        <s v="CA-2014-155887"/>
        <s v="US-2014-141257"/>
        <s v="CA-2014-158029"/>
        <s v="CA-2016-146171"/>
        <s v="CA-2017-158967"/>
        <s v="CA-2015-138534"/>
        <s v="CA-2017-108322"/>
        <s v="CA-2015-149972"/>
        <s v="US-2014-117744"/>
        <s v="CA-2014-154599"/>
        <s v="CA-2017-143329"/>
        <s v="CA-2015-122623"/>
        <s v="CA-2015-148635"/>
        <s v="CA-2015-135685"/>
        <s v="CA-2015-104626"/>
        <s v="CA-2016-160500"/>
        <s v="US-2014-112914"/>
        <s v="US-2014-125521"/>
        <s v="US-2016-162852"/>
        <s v="CA-2017-157854"/>
        <s v="CA-2016-136371"/>
        <s v="CA-2016-128594"/>
        <s v="CA-2016-154690"/>
        <s v="CA-2017-138975"/>
        <s v="CA-2017-143861"/>
        <s v="CA-2014-148040"/>
        <s v="US-2016-167339"/>
        <s v="CA-2016-130799"/>
        <s v="US-2016-159856"/>
        <s v="CA-2014-142727"/>
        <s v="CA-2017-139913"/>
        <s v="US-2015-114839"/>
        <s v="CA-2016-153577"/>
        <s v="CA-2016-160129"/>
        <s v="CA-2014-157721"/>
        <s v="CA-2017-128629"/>
        <s v="CA-2017-143434"/>
        <s v="CA-2015-168564"/>
        <s v="CA-2017-155880"/>
        <s v="CA-2017-126242"/>
        <s v="CA-2016-166443"/>
        <s v="CA-2017-169859"/>
        <s v="CA-2017-134915"/>
        <s v="CA-2017-123638"/>
        <s v="CA-2017-137428"/>
        <s v="CA-2014-162866"/>
        <s v="CA-2017-167941"/>
        <s v="CA-2015-137512"/>
        <s v="CA-2017-139773"/>
        <s v="CA-2014-109232"/>
        <s v="CA-2015-139850"/>
        <s v="CA-2014-131310"/>
        <s v="US-2014-112872"/>
        <s v="CA-2016-139269"/>
        <s v="CA-2014-138317"/>
        <s v="CA-2016-124772"/>
        <s v="US-2015-138919"/>
        <s v="US-2016-160528"/>
        <s v="CA-2015-123568"/>
        <s v="CA-2017-124674"/>
        <s v="CA-2017-169054"/>
        <s v="CA-2017-116855"/>
        <s v="CA-2015-168480"/>
        <s v="US-2016-114293"/>
        <s v="US-2015-123960"/>
        <s v="CA-2017-101749"/>
        <s v="US-2016-147991"/>
        <s v="CA-2017-149559"/>
        <s v="CA-2017-121419"/>
        <s v="US-2017-148054"/>
        <s v="CA-2017-131492"/>
        <s v="CA-2014-119375"/>
        <s v="CA-2015-126137"/>
        <s v="CA-2014-143903"/>
        <s v="CA-2017-118773"/>
        <s v="US-2017-159205"/>
        <s v="CA-2017-135692"/>
        <s v="CA-2017-131233"/>
        <s v="CA-2017-119578"/>
        <s v="CA-2016-150350"/>
        <s v="CA-2015-121720"/>
        <s v="CA-2014-136399"/>
        <s v="CA-2014-107916"/>
        <s v="CA-2017-164168"/>
        <s v="US-2016-148110"/>
        <s v="CA-2017-131828"/>
        <s v="CA-2015-147830"/>
        <s v="CA-2015-139584"/>
        <s v="CA-2016-146682"/>
        <s v="CA-2016-138695"/>
        <s v="US-2016-133879"/>
        <s v="US-2017-132059"/>
        <s v="CA-2017-105235"/>
        <s v="CA-2014-164224"/>
        <s v="CA-2014-158372"/>
        <s v="CA-2017-131625"/>
        <s v="CA-2016-140746"/>
        <s v="US-2016-127971"/>
        <s v="CA-2017-113355"/>
        <s v="CA-2016-159730"/>
        <s v="CA-2017-119389"/>
        <s v="US-2016-161844"/>
        <s v="CA-2015-146038"/>
        <s v="CA-2014-159478"/>
        <s v="CA-2014-106264"/>
        <s v="US-2014-159926"/>
        <s v="CA-2016-162747"/>
        <s v="US-2014-133130"/>
        <s v="CA-2017-169978"/>
        <s v="CA-2017-161739"/>
        <s v="CA-2014-134551"/>
        <s v="CA-2015-120810"/>
        <s v="CA-2017-122595"/>
        <s v="US-2017-109253"/>
        <s v="CA-2016-145982"/>
        <s v="US-2014-134733"/>
        <s v="US-2014-150434"/>
        <s v="US-2015-142020"/>
        <s v="CA-2016-130050"/>
        <s v="CA-2014-115161"/>
        <s v="CA-2015-115511"/>
        <s v="CA-2015-161718"/>
        <s v="CA-2017-103156"/>
        <s v="CA-2015-130659"/>
        <s v="CA-2017-148404"/>
        <s v="CA-2015-129700"/>
        <s v="CA-2017-168739"/>
        <s v="US-2014-150119"/>
        <s v="CA-2015-150791"/>
        <s v="CA-2015-153381"/>
        <s v="US-2017-111024"/>
        <s v="CA-2017-148264"/>
        <s v="US-2015-100531"/>
        <s v="CA-2017-152583"/>
        <s v="CA-2017-136448"/>
        <s v="US-2015-147242"/>
        <s v="CA-2016-146143"/>
        <s v="US-2016-150035"/>
        <s v="CA-2017-111815"/>
        <s v="CA-2016-131289"/>
        <s v="CA-2014-124023"/>
        <s v="CA-2014-124688"/>
        <s v="CA-2015-157322"/>
        <s v="CA-2017-142034"/>
        <s v="CA-2016-107328"/>
        <s v="CA-2014-166863"/>
        <s v="CA-2017-140326"/>
        <s v="CA-2015-124975"/>
        <s v="CA-2016-157511"/>
        <s v="CA-2017-155292"/>
        <s v="CA-2016-152555"/>
        <s v="CA-2016-137176"/>
        <s v="CA-2016-104157"/>
        <s v="CA-2015-121650"/>
        <s v="CA-2014-102869"/>
        <s v="CA-2014-159835"/>
        <s v="CA-2017-112956"/>
        <s v="CA-2017-112529"/>
        <s v="CA-2014-159184"/>
        <s v="CA-2017-113530"/>
        <s v="CA-2016-145177"/>
        <s v="CA-2015-128083"/>
        <s v="CA-2017-154109"/>
        <s v="CA-2015-156440"/>
        <s v="CA-2015-132626"/>
        <s v="US-2015-131359"/>
        <s v="CA-2015-151680"/>
        <s v="CA-2017-169411"/>
        <s v="CA-2016-126543"/>
        <s v="CA-2014-120544"/>
        <s v="CA-2017-113670"/>
        <s v="CA-2017-166198"/>
        <s v="CA-2014-135608"/>
        <s v="CA-2016-151155"/>
        <s v="CA-2017-168193"/>
        <s v="CA-2016-149979"/>
        <s v="CA-2017-161956"/>
        <s v="CA-2016-116799"/>
        <s v="CA-2015-167745"/>
        <s v="CA-2016-156251"/>
        <s v="CA-2016-163153"/>
        <s v="CA-2014-153913"/>
        <s v="CA-2016-155530"/>
        <s v="CA-2015-107937"/>
        <s v="US-2014-117163"/>
        <s v="CA-2017-147760"/>
        <s v="CA-2016-156503"/>
        <s v="CA-2015-113628"/>
        <s v="CA-2015-102582"/>
        <s v="CA-2017-141873"/>
        <s v="CA-2017-141733"/>
        <s v="US-2015-111927"/>
        <s v="CA-2014-105984"/>
        <s v="CA-2014-126760"/>
        <s v="US-2014-109162"/>
        <s v="CA-2014-101931"/>
        <s v="CA-2015-127593"/>
        <s v="US-2017-131849"/>
        <s v="CA-2017-154039"/>
        <s v="CA-2015-157133"/>
        <s v="CA-2015-132486"/>
        <s v="CA-2015-129896"/>
        <s v="US-2016-163881"/>
        <s v="CA-2015-167010"/>
        <s v="CA-2017-148068"/>
        <s v="US-2017-142573"/>
        <s v="CA-2014-103940"/>
        <s v="CA-2016-162082"/>
        <s v="CA-2015-118955"/>
        <s v="US-2016-143448"/>
        <s v="CA-2017-117863"/>
        <s v="CA-2016-119963"/>
        <s v="CA-2014-133228"/>
        <s v="CA-2016-114951"/>
        <s v="CA-2016-156573"/>
        <s v="CA-2017-134838"/>
        <s v="CA-2016-167556"/>
        <s v="US-2016-116400"/>
        <s v="CA-2014-114517"/>
        <s v="CA-2017-119564"/>
        <s v="CA-2016-135265"/>
        <s v="CA-2016-108735"/>
        <s v="US-2016-159415"/>
        <s v="CA-2014-122588"/>
        <s v="CA-2015-161998"/>
        <s v="CA-2015-105627"/>
        <s v="US-2015-149629"/>
        <s v="CA-2014-116834"/>
        <s v="CA-2016-145730"/>
        <s v="CA-2017-144463"/>
        <s v="CA-2014-154963"/>
        <s v="CA-2017-130764"/>
        <s v="CA-2017-124296"/>
        <s v="CA-2014-110786"/>
        <s v="CA-2015-137750"/>
        <s v="CA-2017-136350"/>
        <s v="CA-2014-122931"/>
        <s v="CA-2015-124058"/>
        <s v="CA-2016-145303"/>
        <s v="CA-2017-108112"/>
        <s v="US-2014-156559"/>
        <s v="CA-2017-137456"/>
        <s v="CA-2015-105599"/>
        <s v="CA-2015-153717"/>
        <s v="CA-2017-123239"/>
        <s v="CA-2017-127313"/>
        <s v="CA-2017-112725"/>
        <s v="CA-2015-136196"/>
        <s v="CA-2014-157924"/>
        <s v="CA-2016-143749"/>
        <s v="CA-2015-150875"/>
        <s v="CA-2016-124233"/>
        <s v="CA-2014-145387"/>
        <s v="CA-2017-149881"/>
        <s v="CA-2017-134565"/>
        <s v="US-2014-102631"/>
        <s v="CA-2015-154970"/>
        <s v="CA-2017-100223"/>
        <s v="CA-2017-117702"/>
        <s v="CA-2016-157336"/>
        <s v="CA-2014-168130"/>
        <s v="CA-2017-163160"/>
        <s v="CA-2016-124793"/>
        <s v="US-2016-131611"/>
        <s v="US-2017-124821"/>
        <s v="CA-2015-166975"/>
        <s v="CA-2016-123806"/>
        <s v="US-2016-107440"/>
        <s v="CA-2014-166989"/>
        <s v="CA-2015-105690"/>
        <s v="CA-2017-102407"/>
        <s v="CA-2017-101581"/>
        <s v="CA-2017-169124"/>
        <s v="CA-2017-129021"/>
        <s v="CA-2014-162278"/>
        <s v="CA-2014-125829"/>
        <s v="US-2017-136189"/>
        <s v="CA-2015-154795"/>
        <s v="CA-2016-120355"/>
        <s v="CA-2017-162565"/>
        <s v="CA-2014-166954"/>
        <s v="CA-2015-152891"/>
        <s v="US-2015-122784"/>
        <s v="CA-2017-111556"/>
        <s v="US-2014-138758"/>
        <s v="CA-2016-131737"/>
        <s v="CA-2014-160157"/>
        <s v="CA-2017-159464"/>
        <s v="CA-2017-119452"/>
        <s v="CA-2016-168893"/>
        <s v="CA-2015-121965"/>
        <s v="CA-2016-147137"/>
        <s v="US-2015-146745"/>
        <s v="US-2017-125717"/>
        <s v="CA-2017-168641"/>
        <s v="CA-2017-156895"/>
        <s v="CA-2017-121300"/>
        <s v="CA-2017-130211"/>
        <s v="CA-2017-105921"/>
        <s v="CA-2014-150798"/>
        <s v="CA-2017-112753"/>
        <s v="US-2014-138247"/>
        <s v="CA-2017-167003"/>
        <s v="CA-2016-119935"/>
        <s v="CA-2016-120873"/>
        <s v="CA-2014-109491"/>
        <s v="CA-2014-107454"/>
        <s v="US-2017-105046"/>
        <s v="CA-2016-118759"/>
        <s v="CA-2014-140403"/>
        <s v="CA-2017-138464"/>
        <s v="CA-2015-104129"/>
        <s v="CA-2015-126557"/>
        <s v="US-2014-165862"/>
        <s v="US-2014-106334"/>
        <s v="CA-2014-110219"/>
        <s v="CA-2015-118871"/>
        <s v="CA-2017-129490"/>
        <s v="CA-2014-169460"/>
        <s v="CA-2016-139395"/>
        <s v="CA-2016-120250"/>
        <s v="US-2017-163790"/>
        <s v="CA-2016-129868"/>
        <s v="CA-2015-146948"/>
        <s v="US-2017-141852"/>
        <s v="CA-2015-117800"/>
        <s v="CA-2017-147228"/>
        <s v="US-2015-126235"/>
        <s v="CA-2017-168396"/>
        <s v="CA-2015-130456"/>
        <s v="CA-2017-130141"/>
        <s v="CA-2016-143910"/>
        <s v="CA-2016-139556"/>
        <s v="CA-2015-112130"/>
        <s v="CA-2016-116547"/>
        <s v="US-2017-133200"/>
        <s v="CA-2016-133550"/>
        <s v="CA-2017-139416"/>
        <s v="CA-2016-159912"/>
        <s v="CA-2014-138681"/>
        <s v="US-2015-138121"/>
        <s v="CA-2017-140298"/>
        <s v="CA-2016-158435"/>
        <s v="CA-2014-108273"/>
        <s v="CA-2017-143126"/>
        <s v="CA-2014-106229"/>
        <s v="CA-2014-119151"/>
        <s v="US-2015-103996"/>
        <s v="CA-2016-120530"/>
        <s v="CA-2015-105725"/>
        <s v="CA-2016-120005"/>
        <s v="CA-2017-103499"/>
        <s v="CA-2017-119746"/>
        <s v="CA-2014-150301"/>
        <s v="CA-2014-159310"/>
        <s v="CA-2015-104346"/>
        <s v="CA-2015-144722"/>
        <s v="US-2016-148901"/>
        <s v="CA-2017-136364"/>
        <s v="CA-2016-121370"/>
        <s v="CA-2016-140018"/>
        <s v="CA-2017-154123"/>
        <s v="CA-2014-107818"/>
        <s v="CA-2014-113320"/>
        <s v="CA-2015-137526"/>
        <s v="CA-2017-122490"/>
        <s v="CA-2017-143567"/>
        <s v="CA-2016-163167"/>
        <s v="US-2014-122021"/>
        <s v="US-2014-161613"/>
        <s v="CA-2017-163125"/>
        <s v="CA-2016-160304"/>
        <s v="CA-2017-117653"/>
        <s v="CA-2017-143245"/>
        <s v="CA-2014-157147"/>
        <s v="CA-2015-156482"/>
        <s v="CA-2017-107125"/>
        <s v="CA-2014-160262"/>
        <s v="CA-2014-156587"/>
        <s v="CA-2015-122406"/>
        <s v="US-2016-153815"/>
        <s v="CA-2016-149279"/>
        <s v="CA-2015-153038"/>
        <s v="US-2017-139647"/>
        <s v="CA-2014-153850"/>
        <s v="CA-2014-127558"/>
        <s v="CA-2016-133795"/>
        <s v="US-2017-130953"/>
        <s v="CA-2016-155166"/>
        <s v="CA-2015-103954"/>
        <s v="CA-2014-169803"/>
        <s v="CA-2015-136469"/>
        <s v="CA-2016-158694"/>
        <s v="CA-2015-141243"/>
        <s v="CA-2015-136798"/>
        <s v="CA-2017-142090"/>
        <s v="CA-2014-124478"/>
        <s v="CA-2014-134572"/>
        <s v="US-2017-133312"/>
        <s v="US-2014-140452"/>
        <s v="CA-2014-116568"/>
        <s v="CA-2015-153073"/>
        <s v="CA-2014-160766"/>
        <s v="CA-2017-146626"/>
        <s v="CA-2016-128972"/>
        <s v="CA-2016-111213"/>
        <s v="CA-2017-161333"/>
        <s v="CA-2017-128734"/>
        <s v="US-2015-124219"/>
        <s v="CA-2017-163006"/>
        <s v="CA-2014-111192"/>
        <s v="CA-2016-115378"/>
        <s v="CA-2015-161627"/>
        <s v="CA-2014-121006"/>
        <s v="CA-2016-122903"/>
        <s v="CA-2017-106432"/>
        <s v="US-2015-120502"/>
        <s v="CA-2015-115567"/>
        <s v="CA-2014-101560"/>
        <s v="CA-2015-142454"/>
        <s v="CA-2017-145653"/>
        <s v="CA-2014-140487"/>
        <s v="CA-2016-119865"/>
        <s v="CA-2017-124436"/>
        <s v="CA-2014-115084"/>
        <s v="CA-2017-131037"/>
        <s v="CA-2014-166744"/>
        <s v="CA-2016-156265"/>
        <s v="CA-2015-125185"/>
        <s v="CA-2014-105165"/>
        <s v="CA-2017-144484"/>
        <s v="CA-2017-125913"/>
        <s v="CA-2015-162887"/>
        <s v="CA-2014-113859"/>
        <s v="CA-2015-105158"/>
        <s v="CA-2017-105991"/>
        <s v="CA-2014-146283"/>
        <s v="CA-2015-111073"/>
        <s v="CA-2017-108791"/>
        <s v="CA-2016-113831"/>
        <s v="US-2014-139500"/>
        <s v="US-2014-166310"/>
        <s v="US-2016-168410"/>
        <s v="CA-2017-131254"/>
        <s v="CA-2017-137876"/>
        <s v="CA-2016-154060"/>
        <s v="US-2017-162558"/>
        <s v="CA-2015-119508"/>
        <s v="CA-2016-123120"/>
        <s v="CA-2014-103331"/>
        <s v="CA-2014-113768"/>
        <s v="US-2017-126060"/>
        <s v="CA-2016-122017"/>
        <s v="US-2017-136721"/>
        <s v="CA-2015-118738"/>
        <s v="US-2014-123183"/>
        <s v="US-2016-147340"/>
        <s v="CA-2016-117681"/>
        <s v="CA-2016-153598"/>
        <s v="US-2016-108497"/>
        <s v="CA-2014-136861"/>
        <s v="CA-2014-103317"/>
        <s v="US-2014-119081"/>
        <s v="CA-2017-130631"/>
        <s v="CA-2017-116680"/>
        <s v="CA-2017-101574"/>
        <s v="CA-2014-146591"/>
        <s v="CA-2016-122448"/>
        <s v="CA-2014-132451"/>
        <s v="CA-2017-116946"/>
        <s v="CA-2017-148999"/>
        <s v="CA-2017-134495"/>
        <s v="CA-2014-105249"/>
        <s v="CA-2017-164378"/>
        <s v="CA-2017-127782"/>
        <s v="CA-2015-168529"/>
        <s v="CA-2017-117667"/>
        <s v="US-2017-150595"/>
        <s v="CA-2016-134936"/>
        <s v="CA-2017-151008"/>
        <s v="US-2014-159618"/>
        <s v="CA-2017-116113"/>
        <s v="CA-2015-125066"/>
        <s v="CA-2017-157966"/>
        <s v="CA-2016-136686"/>
        <s v="CA-2017-137498"/>
        <s v="CA-2017-163818"/>
        <s v="CA-2014-116673"/>
        <s v="CA-2014-164742"/>
        <s v="CA-2016-134516"/>
        <s v="CA-2017-125745"/>
        <s v="US-2016-124163"/>
        <s v="CA-2014-126683"/>
        <s v="CA-2017-148810"/>
        <s v="US-2016-146066"/>
        <s v="CA-2014-127614"/>
        <s v="CA-2017-113208"/>
        <s v="CA-2014-154893"/>
        <s v="CA-2016-127985"/>
        <s v="CA-2017-127117"/>
        <s v="CA-2015-104241"/>
        <s v="CA-2017-142342"/>
        <s v="CA-2016-145261"/>
        <s v="CA-2016-108875"/>
        <s v="CA-2015-141012"/>
        <s v="CA-2014-126802"/>
        <s v="CA-2014-131541"/>
        <s v="CA-2015-119550"/>
        <s v="US-2015-138093"/>
        <s v="CA-2016-126165"/>
        <s v="US-2014-123519"/>
        <s v="US-2015-160857"/>
        <s v="CA-2017-117324"/>
        <s v="CA-2017-143574"/>
        <s v="CA-2014-148614"/>
        <s v="US-2017-147886"/>
        <s v="CA-2014-145800"/>
        <s v="CA-2016-118514"/>
        <s v="CA-2015-119634"/>
        <s v="CA-2017-158169"/>
        <s v="CA-2015-162047"/>
        <s v="CA-2015-103835"/>
        <s v="CA-2016-142398"/>
        <s v="CA-2014-105270"/>
        <s v="CA-2017-141117"/>
        <s v="CA-2017-115070"/>
        <s v="CA-2017-140186"/>
        <s v="CA-2014-124856"/>
        <s v="CA-2014-166716"/>
        <s v="CA-2017-113873"/>
        <s v="CA-2016-125017"/>
        <s v="US-2015-163279"/>
        <s v="CA-2017-117632"/>
        <s v="CA-2017-161067"/>
        <s v="CA-2016-122063"/>
        <s v="CA-2016-142895"/>
        <s v="CA-2015-134992"/>
        <s v="CA-2015-126725"/>
        <s v="CA-2015-121783"/>
        <s v="CA-2015-112214"/>
        <s v="US-2017-153255"/>
        <s v="CA-2015-108119"/>
        <s v="US-2014-117968"/>
        <s v="CA-2016-152247"/>
        <s v="CA-2016-128223"/>
        <s v="CA-2016-154235"/>
        <s v="CA-2016-133935"/>
        <s v="CA-2016-136301"/>
        <s v="CA-2016-167682"/>
        <s v="CA-2016-159639"/>
        <s v="US-2016-113985"/>
        <s v="US-2015-126977"/>
        <s v="CA-2016-130288"/>
        <s v="US-2014-118997"/>
        <s v="CA-2014-114314"/>
        <s v="US-2017-169551"/>
        <s v="CA-2016-103107"/>
        <s v="CA-2014-104178"/>
        <s v="CA-2014-155796"/>
        <s v="CA-2016-127138"/>
        <s v="CA-2017-150602"/>
        <s v="CA-2014-141726"/>
        <s v="CA-2017-115105"/>
        <s v="CA-2014-117765"/>
        <s v="CA-2016-163776"/>
        <s v="US-2017-163300"/>
        <s v="CA-2016-162187"/>
        <s v="US-2014-112991"/>
        <s v="CA-2014-124079"/>
        <s v="CA-2017-107244"/>
        <s v="CA-2015-100657"/>
        <s v="CA-2017-129028"/>
        <s v="CA-2014-102652"/>
        <s v="US-2017-152492"/>
        <s v="CA-2016-101168"/>
        <s v="CA-2015-130253"/>
        <s v="CA-2016-131205"/>
        <s v="CA-2016-117912"/>
        <s v="CA-2017-145702"/>
        <s v="CA-2015-113215"/>
        <s v="CA-2016-154662"/>
        <s v="CA-2016-124016"/>
        <s v="CA-2017-166695"/>
        <s v="CA-2016-151561"/>
        <s v="US-2014-165589"/>
        <s v="CA-2015-114048"/>
        <s v="CA-2017-100111"/>
        <s v="US-2017-132381"/>
        <s v="CA-2016-124590"/>
        <s v="CA-2017-143378"/>
        <s v="CA-2016-124100"/>
        <s v="CA-2014-163447"/>
        <s v="CA-2016-148096"/>
        <s v="CA-2014-131247"/>
        <s v="CA-2017-101322"/>
        <s v="US-2016-106600"/>
        <s v="CA-2014-111871"/>
        <s v="CA-2017-151484"/>
        <s v="CA-2014-103989"/>
        <s v="CA-2015-158421"/>
        <s v="CA-2016-143609"/>
        <s v="CA-2016-157259"/>
        <s v="CA-2016-118332"/>
        <s v="CA-2017-145660"/>
        <s v="CA-2016-133697"/>
        <s v="CA-2017-119809"/>
        <s v="CA-2015-161711"/>
        <s v="CA-2017-140627"/>
        <s v="CA-2015-133445"/>
        <s v="US-2017-142188"/>
        <s v="CA-2015-134075"/>
        <s v="CA-2017-141572"/>
        <s v="CA-2015-112305"/>
        <s v="CA-2017-121580"/>
        <s v="CA-2015-151624"/>
        <s v="CA-2017-102379"/>
        <s v="US-2016-139087"/>
        <s v="CA-2015-116484"/>
        <s v="CA-2016-100944"/>
        <s v="CA-2016-125080"/>
        <s v="CA-2014-100090"/>
        <s v="US-2015-139675"/>
        <s v="CA-2017-143756"/>
        <s v="CA-2017-107314"/>
        <s v="CA-2016-163328"/>
        <s v="CA-2014-112837"/>
        <s v="CA-2014-167927"/>
        <s v="CA-2016-165995"/>
        <s v="CA-2017-143112"/>
        <s v="CA-2017-161557"/>
        <s v="CA-2016-103919"/>
        <s v="CA-2016-113425"/>
        <s v="CA-2017-143035"/>
        <s v="CA-2014-107811"/>
        <s v="US-2016-116442"/>
        <s v="CA-2016-127236"/>
        <s v="CA-2016-129126"/>
        <s v="CA-2017-125472"/>
        <s v="CA-2017-154074"/>
        <s v="CA-2017-161774"/>
        <s v="CA-2016-140130"/>
        <s v="CA-2015-149650"/>
        <s v="CA-2014-165764"/>
        <s v="US-2017-116897"/>
        <s v="US-2017-113992"/>
        <s v="CA-2014-166891"/>
        <s v="CA-2016-101161"/>
        <s v="US-2017-119816"/>
        <s v="CA-2017-161102"/>
        <s v="US-2017-133361"/>
        <s v="US-2016-155404"/>
        <s v="CA-2016-163804"/>
        <s v="CA-2014-149524"/>
        <s v="CA-2017-140872"/>
        <s v="CA-2017-113908"/>
        <s v="CA-2014-149594"/>
        <s v="CA-2016-113845"/>
        <s v="CA-2015-103135"/>
        <s v="US-2016-128909"/>
        <s v="US-2017-116652"/>
        <s v="CA-2017-138289"/>
        <s v="CA-2014-128209"/>
        <s v="CA-2014-169684"/>
        <s v="CA-2015-109862"/>
        <s v="US-2017-107888"/>
        <s v="CA-2014-113880"/>
        <s v="US-2015-164966"/>
        <s v="CA-2015-126739"/>
        <s v="CA-2015-166947"/>
        <s v="CA-2014-166086"/>
        <s v="CA-2014-100678"/>
        <s v="CA-2017-123085"/>
        <s v="CA-2016-169887"/>
        <s v="CA-2017-104731"/>
        <s v="CA-2014-154095"/>
        <s v="CA-2016-148852"/>
        <s v="CA-2015-107678"/>
        <s v="CA-2016-123512"/>
        <s v="US-2017-167402"/>
        <s v="CA-2014-130449"/>
        <s v="CA-2015-141250"/>
        <s v="CA-2016-105081"/>
        <s v="CA-2014-108609"/>
        <s v="US-2016-127334"/>
        <s v="US-2017-124779"/>
        <s v="CA-2017-135937"/>
        <s v="CA-2017-162173"/>
        <s v="CA-2017-122175"/>
        <s v="CA-2015-135510"/>
        <s v="CA-2014-150329"/>
        <s v="CA-2014-109134"/>
        <s v="US-2015-129637"/>
        <s v="CA-2017-145429"/>
        <s v="CA-2015-153535"/>
        <s v="CA-2015-123141"/>
        <s v="CA-2017-107629"/>
        <s v="CA-2016-134789"/>
        <s v="CA-2016-165827"/>
        <s v="CA-2015-156734"/>
        <s v="CA-2014-144029"/>
        <s v="US-2017-101784"/>
        <s v="CA-2016-154767"/>
        <s v="CA-2017-124205"/>
        <s v="CA-2016-162943"/>
        <s v="CA-2017-100615"/>
        <s v="US-2016-147711"/>
        <s v="CA-2017-121293"/>
        <s v="CA-2015-118843"/>
        <s v="CA-2016-162348"/>
        <s v="CA-2015-145394"/>
        <s v="CA-2015-168809"/>
        <s v="CA-2016-109827"/>
        <s v="CA-2015-128125"/>
        <s v="CA-2017-156237"/>
        <s v="CA-2014-144414"/>
        <s v="CA-2017-163860"/>
        <s v="CA-2015-154291"/>
        <s v="CA-2016-153101"/>
        <s v="CA-2017-142643"/>
        <s v="CA-2016-123946"/>
        <s v="CA-2014-147543"/>
        <s v="CA-2014-101462"/>
        <s v="US-2016-100461"/>
        <s v="CA-2017-128965"/>
        <s v="US-2016-126452"/>
        <s v="US-2016-121013"/>
        <s v="US-2015-123918"/>
        <s v="CA-2015-137113"/>
        <s v="CA-2015-120677"/>
        <s v="CA-2017-164756"/>
        <s v="US-2015-165512"/>
        <s v="US-2017-135503"/>
        <s v="US-2017-115301"/>
        <s v="CA-2014-124247"/>
        <s v="CA-2015-137925"/>
        <s v="CA-2014-164182"/>
        <s v="CA-2016-129847"/>
        <s v="CA-2016-106243"/>
        <s v="CA-2015-130365"/>
        <s v="CA-2017-143021"/>
        <s v="CA-2016-157588"/>
        <s v="CA-2016-163937"/>
        <s v="CA-2015-112144"/>
        <s v="CA-2015-109386"/>
        <s v="CA-2015-104871"/>
        <s v="CA-2014-133158"/>
        <s v="CA-2015-141740"/>
        <s v="CA-2014-119466"/>
        <s v="CA-2015-154823"/>
        <s v="CA-2017-141201"/>
        <s v="CA-2014-124737"/>
        <s v="CA-2016-145548"/>
        <s v="CA-2017-119494"/>
        <s v="CA-2017-103443"/>
        <s v="US-2017-165358"/>
        <s v="CA-2014-150581"/>
        <s v="CA-2016-165330"/>
        <s v="CA-2016-106950"/>
        <s v="CA-2017-128944"/>
        <s v="US-2016-102239"/>
        <s v="CA-2017-166926"/>
        <s v="CA-2015-128013"/>
        <s v="US-2016-117541"/>
        <s v="CA-2017-141439"/>
        <s v="CA-2015-163965"/>
        <s v="CA-2017-128783"/>
        <s v="CA-2014-122217"/>
        <s v="US-2017-141558"/>
        <s v="CA-2017-100412"/>
        <s v="CA-2017-142909"/>
        <s v="US-2015-136749"/>
        <s v="CA-2014-117464"/>
        <s v="US-2017-168613"/>
        <s v="CA-2017-128853"/>
        <s v="CA-2017-133102"/>
        <s v="CA-2016-164399"/>
        <s v="CA-2016-147683"/>
        <s v="CA-2016-104276"/>
        <s v="CA-2016-120369"/>
        <s v="CA-2014-118276"/>
        <s v="CA-2017-137414"/>
        <s v="CA-2016-109953"/>
        <s v="CA-2016-137337"/>
        <s v="CA-2016-101651"/>
        <s v="CA-2017-136651"/>
        <s v="CA-2017-118892"/>
        <s v="US-2014-127978"/>
        <s v="CA-2016-152730"/>
        <s v="US-2014-143721"/>
        <s v="CA-2016-133368"/>
        <s v="CA-2016-123337"/>
        <s v="CA-2015-144519"/>
        <s v="CA-2017-169439"/>
        <s v="CA-2016-149965"/>
        <s v="CA-2016-113656"/>
        <s v="CA-2015-148964"/>
        <s v="CA-2014-163468"/>
        <s v="US-2017-117450"/>
        <s v="CA-2014-137274"/>
        <s v="CA-2016-144092"/>
        <s v="CA-2016-132066"/>
        <s v="CA-2017-100097"/>
        <s v="US-2017-126053"/>
        <s v="US-2014-131275"/>
        <s v="CA-2016-149349"/>
        <s v="CA-2015-125563"/>
        <s v="CA-2015-113152"/>
        <s v="CA-2014-163412"/>
        <s v="CA-2014-116190"/>
        <s v="CA-2017-168389"/>
        <s v="CA-2016-114748"/>
        <s v="US-2014-115189"/>
        <s v="CA-2016-163594"/>
        <s v="CA-2016-127243"/>
        <s v="CA-2016-105732"/>
        <s v="CA-2017-108035"/>
        <s v="CA-2016-110975"/>
        <s v="CA-2016-110009"/>
        <s v="CA-2015-100146"/>
        <s v="CA-2016-129728"/>
        <s v="CA-2014-121769"/>
        <s v="CA-2017-121125"/>
        <s v="US-2016-114013"/>
        <s v="CA-2017-135069"/>
        <s v="CA-2016-101693"/>
        <s v="CA-2015-145457"/>
        <s v="US-2017-163657"/>
        <s v="CA-2017-127474"/>
        <s v="CA-2017-115448"/>
        <s v="CA-2017-105669"/>
        <s v="CA-2015-137974"/>
        <s v="CA-2017-148985"/>
        <s v="CA-2014-138100"/>
        <s v="CA-2014-167199"/>
        <s v="CA-2014-129938"/>
        <s v="US-2015-134558"/>
        <s v="CA-2015-108672"/>
        <s v="US-2017-160836"/>
        <s v="CA-2017-121048"/>
        <s v="US-2017-161935"/>
        <s v="CA-2016-162383"/>
        <s v="CA-2014-125731"/>
        <s v="US-2017-106145"/>
        <s v="CA-2016-107146"/>
        <s v="US-2017-134642"/>
        <s v="CA-2017-103415"/>
        <s v="US-2017-112347"/>
        <s v="CA-2016-136595"/>
        <s v="CA-2014-114181"/>
        <s v="US-2014-137155"/>
        <s v="CA-2016-105746"/>
        <s v="US-2016-104815"/>
        <s v="US-2016-166660"/>
        <s v="CA-2014-100916"/>
        <s v="CA-2016-138597"/>
        <s v="CA-2015-142734"/>
        <s v="CA-2017-122945"/>
        <s v="CA-2016-158778"/>
        <s v="CA-2016-101791"/>
        <s v="CA-2015-113740"/>
        <s v="CA-2017-151225"/>
        <s v="US-2014-144078"/>
        <s v="CA-2015-136805"/>
        <s v="CA-2014-162089"/>
        <s v="US-2017-158526"/>
        <s v="CA-2017-104885"/>
        <s v="CA-2015-161452"/>
        <s v="CA-2016-138968"/>
        <s v="CA-2015-101889"/>
        <s v="CA-2015-107685"/>
        <s v="US-2014-120740"/>
        <s v="CA-2014-105417"/>
        <s v="CA-2014-151967"/>
        <s v="CA-2015-130974"/>
        <s v="CA-2014-133592"/>
        <s v="CA-2016-169838"/>
        <s v="US-2017-128951"/>
        <s v="CA-2016-118899"/>
        <s v="CA-2017-151799"/>
        <s v="CA-2016-114601"/>
        <s v="CA-2017-139353"/>
        <s v="CA-2015-139374"/>
        <s v="CA-2017-104850"/>
        <s v="CA-2015-133242"/>
        <s v="CA-2015-158323"/>
        <s v="CA-2017-112844"/>
        <s v="US-2017-118941"/>
        <s v="CA-2016-162236"/>
        <s v="US-2016-117037"/>
        <s v="CA-2017-166184"/>
        <s v="CA-2014-143637"/>
        <s v="CA-2016-134334"/>
        <s v="US-2017-109316"/>
        <s v="CA-2014-125150"/>
        <s v="CA-2015-127327"/>
        <s v="CA-2015-137302"/>
        <s v="CA-2015-106257"/>
        <s v="CA-2015-149083"/>
        <s v="US-2014-137869"/>
        <s v="US-2017-123834"/>
        <s v="CA-2016-128706"/>
        <s v="CA-2015-143364"/>
        <s v="CA-2016-101672"/>
        <s v="CA-2016-160241"/>
        <s v="CA-2016-155747"/>
        <s v="CA-2017-118017"/>
        <s v="CA-2016-148684"/>
        <s v="CA-2017-128363"/>
        <s v="CA-2016-149762"/>
        <s v="CA-2016-167605"/>
        <s v="CA-2015-110891"/>
        <s v="CA-2017-120404"/>
        <s v="CA-2017-167549"/>
        <s v="US-2016-168095"/>
        <s v="CA-2016-146325"/>
        <s v="CA-2014-131009"/>
        <s v="CA-2017-131807"/>
        <s v="CA-2016-157707"/>
        <s v="US-2015-126753"/>
        <s v="CA-2014-113383"/>
        <s v="US-2015-165743"/>
        <s v="US-2017-105998"/>
        <s v="US-2014-148194"/>
        <s v="CA-2014-143210"/>
        <s v="CA-2015-110863"/>
        <s v="CA-2017-120168"/>
        <s v="US-2014-131870"/>
        <s v="CA-2014-129189"/>
        <s v="CA-2015-132465"/>
        <s v="CA-2016-158806"/>
        <s v="CA-2015-119690"/>
        <s v="CA-2017-109393"/>
        <s v="CA-2017-121489"/>
        <s v="US-2017-133081"/>
        <s v="CA-2014-144974"/>
        <s v="CA-2015-121188"/>
        <s v="US-2015-160563"/>
        <s v="CA-2017-151750"/>
        <s v="CA-2015-106187"/>
        <s v="CA-2016-105753"/>
        <s v="CA-2017-133046"/>
        <s v="CA-2017-159149"/>
        <s v="US-2017-167570"/>
        <s v="CA-2017-160122"/>
        <s v="CA-2016-130393"/>
        <s v="CA-2017-101014"/>
        <s v="US-2017-106551"/>
        <s v="CA-2016-116722"/>
        <s v="US-2017-150070"/>
        <s v="CA-2017-157350"/>
        <s v="CA-2015-131352"/>
        <s v="CA-2016-118073"/>
        <s v="CA-2014-103219"/>
        <s v="CA-2016-100993"/>
        <s v="CA-2014-167997"/>
        <s v="CA-2016-131296"/>
        <s v="CA-2016-134138"/>
        <s v="CA-2015-168207"/>
        <s v="CA-2016-144148"/>
        <s v="CA-2017-107174"/>
        <s v="CA-2015-112767"/>
        <s v="CA-2015-119879"/>
        <s v="CA-2017-155642"/>
        <s v="CA-2015-136728"/>
        <s v="US-2017-155866"/>
        <s v="CA-2015-141327"/>
        <s v="CA-2015-114811"/>
        <s v="CA-2015-122266"/>
        <s v="CA-2016-116337"/>
        <s v="CA-2014-120775"/>
        <s v="CA-2016-123050"/>
        <s v="CA-2016-162355"/>
        <s v="CA-2017-102204"/>
        <s v="CA-2017-103065"/>
        <s v="CA-2014-109897"/>
        <s v="CA-2015-140221"/>
        <s v="CA-2017-121790"/>
        <s v="CA-2016-169670"/>
        <s v="CA-2016-139549"/>
        <s v="CA-2017-134810"/>
        <s v="CA-2015-154284"/>
        <s v="US-2015-158911"/>
        <s v="US-2017-167318"/>
        <s v="CA-2017-135419"/>
        <s v="CA-2014-168312"/>
        <s v="US-2017-105935"/>
        <s v="CA-2014-161508"/>
        <s v="CA-2016-153269"/>
        <s v="CA-2017-135076"/>
        <s v="US-2014-155544"/>
        <s v="US-2015-115238"/>
        <s v="CA-2017-132199"/>
        <s v="CA-2016-163174"/>
        <s v="CA-2017-147207"/>
        <s v="CA-2016-118745"/>
        <s v="CA-2016-163972"/>
        <s v="CA-2016-113726"/>
        <s v="CA-2016-163048"/>
        <s v="CA-2017-110625"/>
        <s v="CA-2016-142594"/>
        <s v="CA-2017-120061"/>
        <s v="CA-2015-110814"/>
        <s v="CA-2017-140480"/>
        <s v="CA-2016-130820"/>
        <s v="CA-2017-132290"/>
        <s v="CA-2017-118199"/>
        <s v="CA-2017-150091"/>
        <s v="CA-2016-118129"/>
        <s v="CA-2017-155621"/>
        <s v="US-2014-127635"/>
        <s v="CA-2017-125451"/>
        <s v="CA-2016-125087"/>
        <s v="US-2017-118556"/>
        <s v="US-2016-164196"/>
        <s v="US-2017-132031"/>
        <s v="CA-2017-142391"/>
        <s v="CA-2016-158841"/>
        <s v="CA-2015-102316"/>
        <s v="CA-2016-109400"/>
        <s v="CA-2016-144645"/>
        <s v="CA-2017-149720"/>
        <s v="CA-2017-118003"/>
        <s v="CA-2016-141887"/>
        <s v="CA-2017-161172"/>
        <s v="CA-2017-137624"/>
        <s v="CA-2016-156748"/>
        <s v="CA-2015-157287"/>
        <s v="CA-2016-119074"/>
        <s v="CA-2015-126186"/>
        <s v="CA-2016-102092"/>
        <s v="CA-2016-132829"/>
        <s v="CA-2016-123540"/>
        <s v="US-2017-108315"/>
        <s v="CA-2017-106747"/>
        <s v="CA-2017-146164"/>
        <s v="CA-2014-130673"/>
        <s v="CA-2017-101700"/>
        <s v="CA-2014-151946"/>
        <s v="CA-2017-117513"/>
        <s v="US-2017-119319"/>
        <s v="CA-2015-164084"/>
        <s v="CA-2016-107783"/>
        <s v="CA-2017-159793"/>
        <s v="CA-2017-151281"/>
        <s v="CA-2015-108259"/>
        <s v="CA-2016-113341"/>
        <s v="US-2015-131842"/>
        <s v="CA-2014-142769"/>
        <s v="CA-2017-124765"/>
        <s v="CA-2015-131856"/>
        <s v="CA-2017-126634"/>
        <s v="US-2014-159611"/>
        <s v="CA-2017-163265"/>
        <s v="CA-2017-141705"/>
        <s v="CA-2017-127096"/>
        <s v="CA-2017-119284"/>
        <s v="CA-2014-146815"/>
        <s v="CA-2014-119144"/>
        <s v="CA-2014-105648"/>
        <s v="US-2015-145422"/>
        <s v="CA-2016-120824"/>
        <s v="CA-2015-103870"/>
        <s v="CA-2017-116988"/>
        <s v="US-2015-144771"/>
        <s v="CA-2017-128076"/>
        <s v="CA-2016-114307"/>
        <s v="CA-2016-151148"/>
        <s v="CA-2016-102813"/>
        <s v="CA-2017-135377"/>
        <s v="CA-2015-133585"/>
        <s v="CA-2016-116911"/>
        <s v="CA-2017-126914"/>
        <s v="CA-2016-140935"/>
        <s v="CA-2016-113082"/>
        <s v="CA-2015-127754"/>
        <s v="CA-2015-145324"/>
        <s v="CA-2015-140718"/>
        <s v="CA-2015-125934"/>
        <s v="CA-2014-120411"/>
        <s v="CA-2017-101805"/>
        <s v="CA-2017-103968"/>
        <s v="CA-2016-162159"/>
        <s v="CA-2015-111038"/>
        <s v="CA-2014-124723"/>
        <s v="CA-2016-167241"/>
        <s v="CA-2016-150483"/>
        <s v="CA-2014-160276"/>
        <s v="CA-2016-145709"/>
        <s v="CA-2016-168032"/>
        <s v="US-2015-168704"/>
        <s v="CA-2017-143252"/>
        <s v="CA-2016-102134"/>
        <s v="CA-2017-111717"/>
        <s v="CA-2017-150910"/>
        <s v="CA-2014-156790"/>
        <s v="CA-2017-105620"/>
        <s v="CA-2017-150266"/>
        <s v="CA-2016-157280"/>
        <s v="CA-2016-134180"/>
        <s v="CA-2017-122308"/>
        <s v="CA-2017-159226"/>
        <s v="CA-2017-156622"/>
        <s v="CA-2016-110898"/>
        <s v="CA-2015-123092"/>
        <s v="US-2015-128587"/>
        <s v="CA-2017-159100"/>
        <s v="CA-2017-137785"/>
        <s v="CA-2017-107825"/>
        <s v="CA-2016-121447"/>
        <s v="CA-2014-100706"/>
        <s v="US-2016-141880"/>
        <s v="CA-2015-165799"/>
        <s v="CA-2016-102127"/>
        <s v="US-2016-152415"/>
        <s v="CA-2017-128041"/>
        <s v="CA-2017-105823"/>
        <s v="CA-2014-138177"/>
        <s v="CA-2014-114335"/>
        <s v="CA-2015-160227"/>
        <s v="CA-2015-149097"/>
        <s v="CA-2016-132304"/>
        <s v="CA-2016-106278"/>
        <s v="CA-2017-147550"/>
        <s v="CA-2016-108105"/>
        <s v="CA-2016-143406"/>
        <s v="CA-2015-162950"/>
        <s v="CA-2015-163181"/>
        <s v="CA-2017-153045"/>
        <s v="CA-2016-128916"/>
        <s v="CA-2016-130911"/>
        <s v="CA-2017-100055"/>
        <s v="CA-2016-132990"/>
        <s v="CA-2016-160108"/>
        <s v="US-2016-155768"/>
        <s v="CA-2017-156776"/>
        <s v="CA-2014-103310"/>
        <s v="CA-2016-152688"/>
        <s v="CA-2014-144071"/>
        <s v="US-2015-164238"/>
        <s v="CA-2017-103212"/>
        <s v="CA-2016-126732"/>
        <s v="CA-2017-138156"/>
        <s v="CA-2014-113271"/>
        <s v="CA-2014-168368"/>
        <s v="CA-2017-111388"/>
        <s v="CA-2015-124499"/>
        <s v="CA-2014-125759"/>
        <s v="CA-2015-151869"/>
        <s v="CA-2016-100510"/>
        <s v="CA-2017-122539"/>
        <s v="CA-2016-166772"/>
        <s v="CA-2014-161032"/>
        <s v="CA-2015-102778"/>
        <s v="CA-2017-154011"/>
        <s v="US-2017-165456"/>
        <s v="CA-2017-161340"/>
        <s v="US-2015-163433"/>
        <s v="US-2017-108343"/>
        <s v="US-2016-111563"/>
        <s v="CA-2017-121853"/>
        <s v="US-2017-130687"/>
        <s v="CA-2017-110198"/>
        <s v="CA-2017-109085"/>
        <s v="CA-2016-114860"/>
        <s v="CA-2016-159009"/>
        <s v="CA-2017-148411"/>
        <s v="CA-2016-168046"/>
        <s v="CA-2017-111591"/>
        <s v="CA-2017-113460"/>
        <s v="CA-2015-111339"/>
        <s v="CA-2014-154158"/>
        <s v="CA-2017-163097"/>
        <s v="CA-2015-130848"/>
        <s v="CA-2014-125997"/>
        <s v="CA-2014-159814"/>
        <s v="CA-2016-105459"/>
        <s v="CA-2017-162789"/>
        <s v="US-2017-110149"/>
        <s v="CA-2015-164777"/>
        <s v="CA-2015-127824"/>
        <s v="CA-2014-116246"/>
        <s v="CA-2014-167486"/>
        <s v="CA-2014-152100"/>
        <s v="CA-2015-166219"/>
        <s v="CA-2017-136882"/>
        <s v="US-2017-109610"/>
        <s v="CA-2016-126858"/>
        <s v="CA-2017-102925"/>
        <s v="CA-2015-100818"/>
        <s v="CA-2016-164770"/>
        <s v="CA-2017-130505"/>
        <s v="CA-2016-105207"/>
        <s v="CA-2016-149237"/>
        <s v="US-2015-158589"/>
        <s v="CA-2017-142461"/>
        <s v="CA-2017-156958"/>
        <s v="CA-2016-116596"/>
        <s v="CA-2017-124191"/>
        <s v="CA-2016-148747"/>
        <s v="CA-2015-135727"/>
        <s v="CA-2015-135251"/>
        <s v="CA-2016-125724"/>
        <s v="CA-2015-111612"/>
        <s v="CA-2014-103086"/>
        <s v="CA-2016-129280"/>
        <s v="CA-2014-130428"/>
        <s v="CA-2015-148495"/>
        <s v="CA-2015-143147"/>
        <s v="CA-2017-152975"/>
        <s v="CA-2017-116127"/>
        <s v="US-2016-105452"/>
        <s v="CA-2015-149517"/>
        <s v="CA-2016-129861"/>
        <s v="CA-2016-130638"/>
        <s v="CA-2017-137449"/>
        <s v="CA-2014-151330"/>
        <s v="CA-2014-124702"/>
        <s v="CA-2015-116638"/>
        <s v="CA-2014-104563"/>
        <s v="CA-2016-107104"/>
        <s v="CA-2014-156160"/>
        <s v="CA-2017-157448"/>
        <s v="CA-2016-137393"/>
        <s v="CA-2017-122770"/>
        <s v="CA-2015-130183"/>
        <s v="CA-2016-122511"/>
        <s v="CA-2016-161746"/>
        <s v="CA-2014-114251"/>
        <s v="CA-2016-119641"/>
        <s v="CA-2016-105781"/>
        <s v="CA-2014-114321"/>
        <s v="CA-2015-117086"/>
        <s v="CA-2017-137505"/>
        <s v="US-2014-140914"/>
        <s v="CA-2017-113705"/>
        <s v="CA-2016-146913"/>
        <s v="CA-2016-123533"/>
        <s v="CA-2014-169019"/>
        <s v="CA-2015-149748"/>
        <s v="US-2014-114377"/>
        <s v="CA-2017-144491"/>
        <s v="CA-2014-127166"/>
        <s v="CA-2015-122973"/>
        <s v="CA-2016-136322"/>
        <s v="CA-2017-107209"/>
        <s v="CA-2015-162201"/>
        <s v="US-2014-164406"/>
        <s v="US-2017-152842"/>
        <s v="CA-2014-113257"/>
        <s v="CA-2016-126627"/>
        <s v="US-2016-125402"/>
        <s v="CA-2014-163867"/>
        <s v="CA-2017-169327"/>
        <s v="CA-2016-158155"/>
        <s v="CA-2017-138870"/>
        <s v="CA-2015-164301"/>
        <s v="CA-2017-113278"/>
        <s v="CA-2014-114195"/>
        <s v="CA-2016-122581"/>
        <s v="US-2016-115441"/>
        <s v="CA-2016-112830"/>
        <s v="US-2014-117380"/>
        <s v="CA-2017-117646"/>
        <s v="CA-2014-122609"/>
        <s v="US-2015-129007"/>
        <s v="CA-2015-132388"/>
        <s v="CA-2017-160927"/>
        <s v="CA-2016-149272"/>
        <s v="CA-2016-129630"/>
        <s v="CA-2015-104948"/>
        <s v="CA-2016-164889"/>
        <s v="CA-2016-169824"/>
        <s v="CA-2017-121559"/>
        <s v="CA-2015-141593"/>
        <s v="CA-2015-168088"/>
        <s v="CA-2016-146374"/>
        <s v="US-2015-151435"/>
        <s v="CA-2014-110422"/>
        <s v="CA-2017-121258"/>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3"/>
    </cacheField>
    <cacheField name="Year" numFmtId="0">
      <sharedItems containsNonDate="0" containsString="0" containsBlank="1"/>
    </cacheField>
    <cacheField name="Ship Date" numFmtId="0">
      <sharedItems containsSemiMixedTypes="0" containsString="0" containsNumber="1" containsInteger="1" minValue="41649" maxValue="43105"/>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ount="12">
        <s v="Nov"/>
        <s v="Oct"/>
        <s v="Jun"/>
        <s v="Jul"/>
        <s v="Sep"/>
        <s v="Dec"/>
        <s v="Apr"/>
        <s v="May"/>
        <s v="Jan"/>
        <s v="Mar"/>
        <s v="Aug"/>
        <s v="Feb"/>
      </sharedItems>
    </cacheField>
    <cacheField name="Months (Order Date)" numFmtId="0" databaseField="0">
      <fieldGroup base="1">
        <rangePr groupBy="months" startDate="2014-01-06T00:00:00" endDate="2017-12-31T00:00:00"/>
        <groupItems count="14">
          <s v="&lt;06/01/2014"/>
          <s v="Jan"/>
          <s v="Feb"/>
          <s v="Mar"/>
          <s v="Apr"/>
          <s v="May"/>
          <s v="Jun"/>
          <s v="Jul"/>
          <s v="Aug"/>
          <s v="Sep"/>
          <s v="Oct"/>
          <s v="Nov"/>
          <s v="Dec"/>
          <s v="&gt;31/12/2017"/>
        </groupItems>
      </fieldGroup>
    </cacheField>
    <cacheField name="Quarters (Order Date)" numFmtId="0" databaseField="0">
      <fieldGroup base="1">
        <rangePr groupBy="quarters" startDate="2014-01-06T00:00:00" endDate="2017-12-31T00:00:00"/>
        <groupItems count="6">
          <s v="&lt;06/01/2014"/>
          <s v="Qtr1"/>
          <s v="Qtr2"/>
          <s v="Qtr3"/>
          <s v="Qtr4"/>
          <s v="&gt;31/12/2017"/>
        </groupItems>
      </fieldGroup>
    </cacheField>
    <cacheField name="Years (Order Date)" numFmtId="0" databaseField="0">
      <fieldGroup base="1">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786252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x v="0"/>
    <x v="0"/>
    <m/>
    <n v="42685"/>
    <x v="0"/>
    <s v="CG-12520"/>
    <s v="Claire Gute"/>
    <x v="0"/>
    <s v="United States"/>
    <x v="0"/>
    <x v="0"/>
    <x v="0"/>
    <s v="FUR-BO-10001798"/>
    <s v="Furniture"/>
    <x v="0"/>
    <s v="Bush Somerset Collection Bookcase"/>
    <n v="261.95999999999998"/>
    <n v="2"/>
    <n v="41.913600000000002"/>
    <x v="0"/>
    <x v="0"/>
  </r>
  <r>
    <x v="0"/>
    <x v="0"/>
    <m/>
    <n v="42685"/>
    <x v="0"/>
    <s v="CG-12520"/>
    <s v="Claire Gute"/>
    <x v="0"/>
    <s v="United States"/>
    <x v="0"/>
    <x v="0"/>
    <x v="0"/>
    <s v="FUR-CH-10000454"/>
    <s v="Furniture"/>
    <x v="1"/>
    <s v="Hon Deluxe Fabric Upholstered Stacking Chairs, Rounded Back"/>
    <n v="731.94"/>
    <n v="3"/>
    <n v="219.58199999999999"/>
    <x v="0"/>
    <x v="0"/>
  </r>
  <r>
    <x v="1"/>
    <x v="1"/>
    <m/>
    <n v="42295"/>
    <x v="1"/>
    <s v="SO-20335"/>
    <s v="Sean O'Donnell"/>
    <x v="0"/>
    <s v="United States"/>
    <x v="1"/>
    <x v="1"/>
    <x v="0"/>
    <s v="FUR-TA-10000577"/>
    <s v="Furniture"/>
    <x v="2"/>
    <s v="Bretford CR4500 Series Slim Rectangular Table"/>
    <n v="957.57749999999999"/>
    <n v="5"/>
    <n v="-383.03100000000001"/>
    <x v="1"/>
    <x v="1"/>
  </r>
  <r>
    <x v="2"/>
    <x v="2"/>
    <m/>
    <n v="41804"/>
    <x v="1"/>
    <s v="BH-11710"/>
    <s v="Brosina Hoffman"/>
    <x v="0"/>
    <s v="United States"/>
    <x v="2"/>
    <x v="2"/>
    <x v="1"/>
    <s v="FUR-FU-10001487"/>
    <s v="Furniture"/>
    <x v="3"/>
    <s v="Eldon Expressions Wood and Plastic Desk Accessories, Cherry Wood"/>
    <n v="48.86"/>
    <n v="7"/>
    <n v="14.1694"/>
    <x v="2"/>
    <x v="2"/>
  </r>
  <r>
    <x v="2"/>
    <x v="2"/>
    <m/>
    <n v="41804"/>
    <x v="1"/>
    <s v="BH-11710"/>
    <s v="Brosina Hoffman"/>
    <x v="0"/>
    <s v="United States"/>
    <x v="2"/>
    <x v="2"/>
    <x v="1"/>
    <s v="FUR-TA-10001539"/>
    <s v="Furniture"/>
    <x v="2"/>
    <s v="Chromcraft Rectangular Conference Tables"/>
    <n v="1706.184"/>
    <n v="9"/>
    <n v="85.309200000000004"/>
    <x v="2"/>
    <x v="2"/>
  </r>
  <r>
    <x v="3"/>
    <x v="3"/>
    <m/>
    <n v="42934"/>
    <x v="0"/>
    <s v="SF-20065"/>
    <s v="Sandra Flanagan"/>
    <x v="0"/>
    <s v="United States"/>
    <x v="3"/>
    <x v="3"/>
    <x v="2"/>
    <s v="FUR-CH-10002774"/>
    <s v="Furniture"/>
    <x v="1"/>
    <s v="Global Deluxe Stacking Chair, Gray"/>
    <n v="71.372"/>
    <n v="2"/>
    <n v="-1.0196000000000001"/>
    <x v="3"/>
    <x v="3"/>
  </r>
  <r>
    <x v="4"/>
    <x v="4"/>
    <m/>
    <n v="42277"/>
    <x v="1"/>
    <s v="EB-13870"/>
    <s v="Emily Burns"/>
    <x v="0"/>
    <s v="United States"/>
    <x v="4"/>
    <x v="4"/>
    <x v="1"/>
    <s v="FUR-TA-10000577"/>
    <s v="Furniture"/>
    <x v="2"/>
    <s v="Bretford CR4500 Series Slim Rectangular Table"/>
    <n v="1044.6300000000001"/>
    <n v="3"/>
    <n v="240.26490000000001"/>
    <x v="2"/>
    <x v="4"/>
  </r>
  <r>
    <x v="5"/>
    <x v="5"/>
    <m/>
    <n v="42268"/>
    <x v="1"/>
    <s v="TB-21520"/>
    <s v="Tracy Blumstein"/>
    <x v="0"/>
    <s v="United States"/>
    <x v="3"/>
    <x v="3"/>
    <x v="2"/>
    <s v="FUR-BO-10004834"/>
    <s v="Furniture"/>
    <x v="0"/>
    <s v="Riverside Palais Royal Lawyers Bookcase, Royale Cherry Finish"/>
    <n v="3083.43"/>
    <n v="7"/>
    <n v="-1665.0522000000001"/>
    <x v="4"/>
    <x v="4"/>
  </r>
  <r>
    <x v="5"/>
    <x v="5"/>
    <m/>
    <n v="42268"/>
    <x v="1"/>
    <s v="TB-21520"/>
    <s v="Tracy Blumstein"/>
    <x v="0"/>
    <s v="United States"/>
    <x v="3"/>
    <x v="3"/>
    <x v="2"/>
    <s v="FUR-FU-10004848"/>
    <s v="Furniture"/>
    <x v="3"/>
    <s v="Howard Miller 13-3/4&quot; Diameter Brushed Chrome Round Wall Clock"/>
    <n v="124.2"/>
    <n v="3"/>
    <n v="15.525"/>
    <x v="4"/>
    <x v="4"/>
  </r>
  <r>
    <x v="6"/>
    <x v="6"/>
    <m/>
    <n v="42714"/>
    <x v="2"/>
    <s v="GH-14485"/>
    <s v="Gene Hale"/>
    <x v="1"/>
    <s v="United States"/>
    <x v="5"/>
    <x v="5"/>
    <x v="3"/>
    <s v="FUR-FU-10003664"/>
    <s v="Furniture"/>
    <x v="3"/>
    <s v="Electrix Architect's Clamp-On Swing Arm Lamp, Black"/>
    <n v="190.92"/>
    <n v="5"/>
    <n v="-147.96299999999999"/>
    <x v="3"/>
    <x v="5"/>
  </r>
  <r>
    <x v="7"/>
    <x v="7"/>
    <m/>
    <n v="42369"/>
    <x v="1"/>
    <s v="SN-20710"/>
    <s v="Steve Nguyen"/>
    <x v="2"/>
    <s v="United States"/>
    <x v="6"/>
    <x v="5"/>
    <x v="3"/>
    <s v="FUR-BO-10002545"/>
    <s v="Furniture"/>
    <x v="0"/>
    <s v="Atlantic Metals Mobile 3-Shelf Bookcases, Custom Colors"/>
    <n v="532.39919999999995"/>
    <n v="3"/>
    <n v="-46.976399999999998"/>
    <x v="4"/>
    <x v="5"/>
  </r>
  <r>
    <x v="7"/>
    <x v="7"/>
    <m/>
    <n v="42369"/>
    <x v="1"/>
    <s v="SN-20710"/>
    <s v="Steve Nguyen"/>
    <x v="2"/>
    <s v="United States"/>
    <x v="6"/>
    <x v="5"/>
    <x v="3"/>
    <s v="FUR-CH-10004218"/>
    <s v="Furniture"/>
    <x v="1"/>
    <s v="Global Fabric Manager's Chair, Dark Gray"/>
    <n v="212.05799999999999"/>
    <n v="3"/>
    <n v="-15.147"/>
    <x v="4"/>
    <x v="5"/>
  </r>
  <r>
    <x v="8"/>
    <x v="8"/>
    <m/>
    <n v="42116"/>
    <x v="1"/>
    <s v="DP-13000"/>
    <s v="Darren Powers"/>
    <x v="0"/>
    <s v="United States"/>
    <x v="7"/>
    <x v="6"/>
    <x v="3"/>
    <s v="FUR-FU-10001706"/>
    <s v="Furniture"/>
    <x v="3"/>
    <s v="Longer-Life Soft White Bulbs"/>
    <n v="6.16"/>
    <n v="2"/>
    <n v="2.9567999999999999"/>
    <x v="4"/>
    <x v="6"/>
  </r>
  <r>
    <x v="8"/>
    <x v="8"/>
    <m/>
    <n v="42116"/>
    <x v="1"/>
    <s v="DP-13000"/>
    <s v="Darren Powers"/>
    <x v="0"/>
    <s v="United States"/>
    <x v="7"/>
    <x v="6"/>
    <x v="3"/>
    <s v="FUR-CH-10003061"/>
    <s v="Furniture"/>
    <x v="1"/>
    <s v="Global Leather Task Chair, Black"/>
    <n v="89.99"/>
    <n v="1"/>
    <n v="17.098099999999999"/>
    <x v="4"/>
    <x v="6"/>
  </r>
  <r>
    <x v="9"/>
    <x v="9"/>
    <m/>
    <n v="42539"/>
    <x v="2"/>
    <s v="TB-21055"/>
    <s v="Ted Butterfield"/>
    <x v="0"/>
    <s v="United States"/>
    <x v="8"/>
    <x v="7"/>
    <x v="2"/>
    <s v="FUR-CH-10003968"/>
    <s v="Furniture"/>
    <x v="1"/>
    <s v="Novimex Turbo Task Chair"/>
    <n v="319.41000000000003"/>
    <n v="5"/>
    <n v="7.0979999999999999"/>
    <x v="5"/>
    <x v="2"/>
  </r>
  <r>
    <x v="10"/>
    <x v="10"/>
    <m/>
    <n v="42338"/>
    <x v="1"/>
    <s v="KM-16720"/>
    <s v="Kunst Miller"/>
    <x v="0"/>
    <s v="United States"/>
    <x v="2"/>
    <x v="2"/>
    <x v="1"/>
    <s v="FUR-FU-10000397"/>
    <s v="Furniture"/>
    <x v="3"/>
    <s v="Luxo Economy Swing Arm Lamp"/>
    <n v="79.760000000000005"/>
    <n v="4"/>
    <n v="22.332799999999999"/>
    <x v="6"/>
    <x v="0"/>
  </r>
  <r>
    <x v="11"/>
    <x v="11"/>
    <m/>
    <n v="42129"/>
    <x v="1"/>
    <s v="PS-18970"/>
    <s v="Paul Stevenson"/>
    <x v="2"/>
    <s v="United States"/>
    <x v="9"/>
    <x v="8"/>
    <x v="3"/>
    <s v="FUR-CH-10001146"/>
    <s v="Furniture"/>
    <x v="1"/>
    <s v="Global Value Mid-Back Manager's Chair, Gray"/>
    <n v="213.11500000000001"/>
    <n v="5"/>
    <n v="-15.2225"/>
    <x v="2"/>
    <x v="6"/>
  </r>
  <r>
    <x v="12"/>
    <x v="12"/>
    <m/>
    <n v="42126"/>
    <x v="1"/>
    <s v="JE-15745"/>
    <s v="Joel Eaton"/>
    <x v="0"/>
    <s v="United States"/>
    <x v="10"/>
    <x v="9"/>
    <x v="0"/>
    <s v="FUR-CH-10000513"/>
    <s v="Furniture"/>
    <x v="1"/>
    <s v="High-Back Leather Manager's Chair"/>
    <n v="831.93600000000004"/>
    <n v="8"/>
    <n v="-114.3912"/>
    <x v="6"/>
    <x v="6"/>
  </r>
  <r>
    <x v="12"/>
    <x v="12"/>
    <m/>
    <n v="42126"/>
    <x v="1"/>
    <s v="JE-15745"/>
    <s v="Joel Eaton"/>
    <x v="0"/>
    <s v="United States"/>
    <x v="10"/>
    <x v="9"/>
    <x v="0"/>
    <s v="FUR-FU-10003708"/>
    <s v="Furniture"/>
    <x v="3"/>
    <s v="Tenex Traditional Chairmats for Medium Pile Carpet, Standard Lip, 36&quot; x 48&quot;"/>
    <n v="97.04"/>
    <n v="2"/>
    <n v="1.2130000000000001"/>
    <x v="6"/>
    <x v="6"/>
  </r>
  <r>
    <x v="13"/>
    <x v="13"/>
    <m/>
    <n v="43080"/>
    <x v="2"/>
    <s v="KB-16600"/>
    <s v="Ken Brennan"/>
    <x v="1"/>
    <s v="United States"/>
    <x v="6"/>
    <x v="5"/>
    <x v="3"/>
    <s v="FUR-FU-10000260"/>
    <s v="Furniture"/>
    <x v="3"/>
    <s v="6&quot; Cubicle Wall Clock, Black"/>
    <n v="9.7080000000000002"/>
    <n v="3"/>
    <n v="-5.8247999999999998"/>
    <x v="3"/>
    <x v="5"/>
  </r>
  <r>
    <x v="14"/>
    <x v="14"/>
    <m/>
    <n v="41974"/>
    <x v="0"/>
    <s v="JE-15745"/>
    <s v="Joel Eaton"/>
    <x v="0"/>
    <s v="United States"/>
    <x v="6"/>
    <x v="5"/>
    <x v="3"/>
    <s v="FUR-FU-10003194"/>
    <s v="Furniture"/>
    <x v="3"/>
    <s v="Eldon Expressions Desk Accessory, Wood Pencil Holder, Oak"/>
    <n v="19.3"/>
    <n v="5"/>
    <n v="-14.475"/>
    <x v="2"/>
    <x v="0"/>
  </r>
  <r>
    <x v="15"/>
    <x v="15"/>
    <m/>
    <n v="42885"/>
    <x v="0"/>
    <s v="PO-18865"/>
    <s v="Patrick O'Donnell"/>
    <x v="0"/>
    <s v="United States"/>
    <x v="11"/>
    <x v="10"/>
    <x v="0"/>
    <s v="FUR-CH-10000863"/>
    <s v="Furniture"/>
    <x v="1"/>
    <s v="Novimex Swivel Fabric Task Chair"/>
    <n v="301.95999999999998"/>
    <n v="2"/>
    <n v="33.215600000000002"/>
    <x v="3"/>
    <x v="7"/>
  </r>
  <r>
    <x v="16"/>
    <x v="16"/>
    <m/>
    <n v="42040"/>
    <x v="0"/>
    <s v="KB-16315"/>
    <s v="Karl Braun"/>
    <x v="0"/>
    <s v="United States"/>
    <x v="12"/>
    <x v="11"/>
    <x v="3"/>
    <s v="FUR-FU-10003799"/>
    <s v="Furniture"/>
    <x v="3"/>
    <s v="Seth Thomas 13 1/2&quot; Wall Clock"/>
    <n v="53.34"/>
    <n v="3"/>
    <n v="16.535399999999999"/>
    <x v="2"/>
    <x v="8"/>
  </r>
  <r>
    <x v="17"/>
    <x v="17"/>
    <m/>
    <n v="43050"/>
    <x v="0"/>
    <s v="PN-18775"/>
    <s v="Parhena Norris"/>
    <x v="2"/>
    <s v="United States"/>
    <x v="13"/>
    <x v="7"/>
    <x v="2"/>
    <s v="FUR-FU-10000629"/>
    <s v="Furniture"/>
    <x v="3"/>
    <s v="9-3/4 Diameter Round Wall Clock"/>
    <n v="96.53"/>
    <n v="7"/>
    <n v="40.5426"/>
    <x v="3"/>
    <x v="0"/>
  </r>
  <r>
    <x v="18"/>
    <x v="18"/>
    <m/>
    <n v="42325"/>
    <x v="1"/>
    <s v="LC-16870"/>
    <s v="Lena Cacioppo"/>
    <x v="0"/>
    <s v="United States"/>
    <x v="14"/>
    <x v="12"/>
    <x v="1"/>
    <s v="FUR-FU-10004006"/>
    <s v="Furniture"/>
    <x v="3"/>
    <s v="Deflect-o DuraMat Lighweight, Studded, Beveled Mat for Low Pile Carpeting"/>
    <n v="102.36"/>
    <n v="3"/>
    <n v="-3.8384999999999998"/>
    <x v="4"/>
    <x v="0"/>
  </r>
  <r>
    <x v="19"/>
    <x v="19"/>
    <m/>
    <n v="43099"/>
    <x v="1"/>
    <s v="CV-12805"/>
    <s v="Cynthia Voltz"/>
    <x v="1"/>
    <s v="United States"/>
    <x v="13"/>
    <x v="7"/>
    <x v="2"/>
    <s v="FUR-FU-10001934"/>
    <s v="Furniture"/>
    <x v="3"/>
    <s v="Magnifier Swing Arm Lamp"/>
    <n v="41.96"/>
    <n v="2"/>
    <n v="10.909599999999999"/>
    <x v="2"/>
    <x v="5"/>
  </r>
  <r>
    <x v="20"/>
    <x v="20"/>
    <m/>
    <n v="42069"/>
    <x v="1"/>
    <s v="DK-13090"/>
    <s v="Dave Kipp"/>
    <x v="0"/>
    <s v="United States"/>
    <x v="15"/>
    <x v="13"/>
    <x v="1"/>
    <s v="FUR-TA-10001768"/>
    <s v="Furniture"/>
    <x v="2"/>
    <s v="Hon Racetrack Conference Tables"/>
    <n v="787.53"/>
    <n v="3"/>
    <n v="165.38130000000001"/>
    <x v="4"/>
    <x v="9"/>
  </r>
  <r>
    <x v="21"/>
    <x v="21"/>
    <m/>
    <n v="42536"/>
    <x v="2"/>
    <s v="SC-20725"/>
    <s v="Steven Cartwright"/>
    <x v="0"/>
    <s v="United States"/>
    <x v="16"/>
    <x v="14"/>
    <x v="2"/>
    <s v="FUR-FU-10002157"/>
    <s v="Furniture"/>
    <x v="3"/>
    <s v="Artistic Insta-Plaque"/>
    <n v="47.04"/>
    <n v="3"/>
    <n v="18.345600000000001"/>
    <x v="0"/>
    <x v="2"/>
  </r>
  <r>
    <x v="22"/>
    <x v="22"/>
    <m/>
    <n v="42001"/>
    <x v="0"/>
    <s v="AD-10180"/>
    <s v="Alan Dominguez"/>
    <x v="2"/>
    <s v="United States"/>
    <x v="6"/>
    <x v="5"/>
    <x v="3"/>
    <s v="FUR-CH-10004063"/>
    <s v="Furniture"/>
    <x v="1"/>
    <s v="Global Deluxe High-Back Manager's Chair"/>
    <n v="600.55799999999999"/>
    <n v="3"/>
    <n v="-8.5793999999999997"/>
    <x v="3"/>
    <x v="5"/>
  </r>
  <r>
    <x v="23"/>
    <x v="23"/>
    <m/>
    <n v="41907"/>
    <x v="1"/>
    <s v="PF-19165"/>
    <s v="Philip Fox"/>
    <x v="0"/>
    <s v="United States"/>
    <x v="17"/>
    <x v="8"/>
    <x v="3"/>
    <s v="FUR-TA-10004534"/>
    <s v="Furniture"/>
    <x v="2"/>
    <s v="Bevis 44 x 96 Conference Tables"/>
    <n v="617.70000000000005"/>
    <n v="6"/>
    <n v="-407.68200000000002"/>
    <x v="2"/>
    <x v="4"/>
  </r>
  <r>
    <x v="24"/>
    <x v="24"/>
    <m/>
    <n v="42684"/>
    <x v="0"/>
    <s v="LS-16975"/>
    <s v="Lindsay Shagiari"/>
    <x v="2"/>
    <s v="United States"/>
    <x v="2"/>
    <x v="2"/>
    <x v="1"/>
    <s v="FUR-CH-10001146"/>
    <s v="Furniture"/>
    <x v="1"/>
    <s v="Global Task Chair, Black"/>
    <n v="81.424000000000007"/>
    <n v="2"/>
    <n v="-9.1601999999999997"/>
    <x v="4"/>
    <x v="0"/>
  </r>
  <r>
    <x v="24"/>
    <x v="24"/>
    <m/>
    <n v="42684"/>
    <x v="0"/>
    <s v="LS-16975"/>
    <s v="Lindsay Shagiari"/>
    <x v="2"/>
    <s v="United States"/>
    <x v="2"/>
    <x v="2"/>
    <x v="1"/>
    <s v="FUR-FU-10003773"/>
    <s v="Furniture"/>
    <x v="3"/>
    <s v="Eldon Cleatmat Plus Chair Mats for High Pile Carpets"/>
    <n v="238.56"/>
    <n v="3"/>
    <n v="26.241599999999998"/>
    <x v="4"/>
    <x v="0"/>
  </r>
  <r>
    <x v="25"/>
    <x v="25"/>
    <m/>
    <n v="42662"/>
    <x v="1"/>
    <s v="LC-16885"/>
    <s v="Lena Creighton"/>
    <x v="0"/>
    <s v="United States"/>
    <x v="18"/>
    <x v="2"/>
    <x v="1"/>
    <s v="FUR-FU-10001706"/>
    <s v="Furniture"/>
    <x v="3"/>
    <s v="Longer-Life Soft White Bulbs"/>
    <n v="43.12"/>
    <n v="14"/>
    <n v="20.697600000000001"/>
    <x v="6"/>
    <x v="1"/>
  </r>
  <r>
    <x v="26"/>
    <x v="26"/>
    <m/>
    <n v="42620"/>
    <x v="0"/>
    <s v="JD-15895"/>
    <s v="Jonathan Doherty"/>
    <x v="1"/>
    <s v="United States"/>
    <x v="3"/>
    <x v="3"/>
    <x v="2"/>
    <s v="FUR-FU-10004848"/>
    <s v="Furniture"/>
    <x v="3"/>
    <s v="Howard Miller 13-3/4&quot; Diameter Brushed Chrome Round Wall Clock"/>
    <n v="82.8"/>
    <n v="2"/>
    <n v="10.35"/>
    <x v="3"/>
    <x v="4"/>
  </r>
  <r>
    <x v="27"/>
    <x v="27"/>
    <m/>
    <n v="41940"/>
    <x v="1"/>
    <s v="MG-17680"/>
    <s v="Maureen Gastineau"/>
    <x v="2"/>
    <s v="United States"/>
    <x v="19"/>
    <x v="15"/>
    <x v="2"/>
    <s v="FUR-FU-10000521"/>
    <s v="Furniture"/>
    <x v="3"/>
    <s v="Seth Thomas 14&quot; Putty-Colored Wall Clock"/>
    <n v="93.888000000000005"/>
    <n v="4"/>
    <n v="12.909599999999999"/>
    <x v="6"/>
    <x v="1"/>
  </r>
  <r>
    <x v="28"/>
    <x v="28"/>
    <m/>
    <n v="42713"/>
    <x v="1"/>
    <s v="JE-16165"/>
    <s v="Justin Ellison"/>
    <x v="1"/>
    <s v="United States"/>
    <x v="20"/>
    <x v="16"/>
    <x v="3"/>
    <s v="FUR-CH-10000454"/>
    <s v="Furniture"/>
    <x v="1"/>
    <s v="Hon Deluxe Fabric Upholstered Stacking Chairs, Rounded Back"/>
    <n v="1951.84"/>
    <n v="8"/>
    <n v="585.55200000000002"/>
    <x v="4"/>
    <x v="5"/>
  </r>
  <r>
    <x v="29"/>
    <x v="29"/>
    <m/>
    <n v="41704"/>
    <x v="0"/>
    <s v="DB-13060"/>
    <s v="Dave Brooks"/>
    <x v="0"/>
    <s v="United States"/>
    <x v="15"/>
    <x v="13"/>
    <x v="1"/>
    <s v="FUR-CH-10004063"/>
    <s v="Furniture"/>
    <x v="1"/>
    <s v="Global Deluxe High-Back Manager's Chair"/>
    <n v="457.56799999999998"/>
    <n v="2"/>
    <n v="51.476399999999998"/>
    <x v="2"/>
    <x v="9"/>
  </r>
  <r>
    <x v="30"/>
    <x v="30"/>
    <m/>
    <n v="41894"/>
    <x v="1"/>
    <s v="BM-11140"/>
    <s v="Becky Martin"/>
    <x v="0"/>
    <s v="United States"/>
    <x v="21"/>
    <x v="5"/>
    <x v="3"/>
    <s v="FUR-CH-10004287"/>
    <s v="Furniture"/>
    <x v="1"/>
    <s v="SAFCO Arco Folding Chair"/>
    <n v="1740.06"/>
    <n v="9"/>
    <n v="-24.858000000000001"/>
    <x v="4"/>
    <x v="4"/>
  </r>
  <r>
    <x v="31"/>
    <x v="31"/>
    <m/>
    <n v="41860"/>
    <x v="1"/>
    <s v="CS-12130"/>
    <s v="Chad Sievert"/>
    <x v="0"/>
    <s v="United States"/>
    <x v="2"/>
    <x v="2"/>
    <x v="1"/>
    <s v="FUR-CH-10003817"/>
    <s v="Furniture"/>
    <x v="1"/>
    <s v="Global Value Steno Chair, Gray"/>
    <n v="340.14400000000001"/>
    <n v="7"/>
    <n v="21.259"/>
    <x v="4"/>
    <x v="10"/>
  </r>
  <r>
    <x v="32"/>
    <x v="32"/>
    <m/>
    <n v="42331"/>
    <x v="0"/>
    <s v="JE-15745"/>
    <s v="Joel Eaton"/>
    <x v="0"/>
    <s v="United States"/>
    <x v="19"/>
    <x v="15"/>
    <x v="2"/>
    <s v="FUR-CH-10004698"/>
    <s v="Furniture"/>
    <x v="1"/>
    <s v="Padded Folding Chairs, Black, 4/Carton"/>
    <n v="396.80200000000002"/>
    <n v="7"/>
    <n v="-11.337199999999999"/>
    <x v="3"/>
    <x v="0"/>
  </r>
  <r>
    <x v="33"/>
    <x v="33"/>
    <m/>
    <n v="42291"/>
    <x v="2"/>
    <s v="MP-17470"/>
    <s v="Mark Packer"/>
    <x v="2"/>
    <s v="United States"/>
    <x v="13"/>
    <x v="7"/>
    <x v="2"/>
    <s v="FUR-BO-10002613"/>
    <s v="Furniture"/>
    <x v="0"/>
    <s v="Atlantic Metals Mobile 4-Shelf Bookcases, Custom Colors"/>
    <n v="899.13599999999997"/>
    <n v="4"/>
    <n v="112.392"/>
    <x v="3"/>
    <x v="1"/>
  </r>
  <r>
    <x v="33"/>
    <x v="33"/>
    <m/>
    <n v="42291"/>
    <x v="2"/>
    <s v="MP-17470"/>
    <s v="Mark Packer"/>
    <x v="2"/>
    <s v="United States"/>
    <x v="13"/>
    <x v="7"/>
    <x v="2"/>
    <s v="FUR-BO-10002545"/>
    <s v="Furniture"/>
    <x v="0"/>
    <s v="Atlantic Metals Mobile 3-Shelf Bookcases, Custom Colors"/>
    <n v="626.35199999999998"/>
    <n v="3"/>
    <n v="46.976399999999998"/>
    <x v="3"/>
    <x v="1"/>
  </r>
  <r>
    <x v="34"/>
    <x v="34"/>
    <m/>
    <n v="41856"/>
    <x v="2"/>
    <s v="BS-11755"/>
    <s v="Bruce Stewart"/>
    <x v="0"/>
    <s v="United States"/>
    <x v="22"/>
    <x v="12"/>
    <x v="1"/>
    <s v="FUR-TA-10004289"/>
    <s v="Furniture"/>
    <x v="2"/>
    <s v="BoxOffice By Design Rectangular and Half-Moon Meeting Room Tables"/>
    <n v="218.75"/>
    <n v="2"/>
    <n v="-161.875"/>
    <x v="3"/>
    <x v="10"/>
  </r>
  <r>
    <x v="35"/>
    <x v="35"/>
    <m/>
    <n v="42893"/>
    <x v="1"/>
    <s v="HK-14890"/>
    <s v="Heather Kirkland"/>
    <x v="1"/>
    <s v="United States"/>
    <x v="20"/>
    <x v="9"/>
    <x v="0"/>
    <s v="FUR-FU-10002960"/>
    <s v="Furniture"/>
    <x v="3"/>
    <s v="Eldon 200 Class Desk Accessories, Burgundy"/>
    <n v="35.167999999999999"/>
    <n v="7"/>
    <n v="9.6712000000000007"/>
    <x v="4"/>
    <x v="2"/>
  </r>
  <r>
    <x v="36"/>
    <x v="36"/>
    <m/>
    <n v="42013"/>
    <x v="1"/>
    <s v="VW-21775"/>
    <s v="Victoria Wilson"/>
    <x v="1"/>
    <s v="United States"/>
    <x v="23"/>
    <x v="15"/>
    <x v="2"/>
    <s v="FUR-BO-10004695"/>
    <s v="Furniture"/>
    <x v="0"/>
    <s v="O'Sullivan 2-Door Barrister Bookcase in Odessa Pine"/>
    <n v="452.45"/>
    <n v="5"/>
    <n v="-244.32300000000001"/>
    <x v="1"/>
    <x v="8"/>
  </r>
  <r>
    <x v="37"/>
    <x v="37"/>
    <m/>
    <n v="42365"/>
    <x v="2"/>
    <s v="JB-15925"/>
    <s v="Joni Blumstein"/>
    <x v="0"/>
    <s v="United States"/>
    <x v="24"/>
    <x v="15"/>
    <x v="2"/>
    <s v="FUR-FU-10000087"/>
    <s v="Furniture"/>
    <x v="3"/>
    <s v="Executive Impressions 14&quot; Two-Color Numerals Wall Clock"/>
    <n v="72.703999999999994"/>
    <n v="4"/>
    <n v="19.084800000000001"/>
    <x v="0"/>
    <x v="5"/>
  </r>
  <r>
    <x v="38"/>
    <x v="38"/>
    <m/>
    <n v="42232"/>
    <x v="1"/>
    <s v="DS-13180"/>
    <s v="David Smith"/>
    <x v="1"/>
    <s v="United States"/>
    <x v="25"/>
    <x v="17"/>
    <x v="3"/>
    <s v="FUR-TA-10003748"/>
    <s v="Furniture"/>
    <x v="2"/>
    <s v="Bevis 36 x 72 Conference Tables"/>
    <n v="622.45000000000005"/>
    <n v="5"/>
    <n v="136.93899999999999"/>
    <x v="1"/>
    <x v="10"/>
  </r>
  <r>
    <x v="39"/>
    <x v="39"/>
    <m/>
    <n v="42067"/>
    <x v="1"/>
    <s v="VD-21670"/>
    <s v="Valerie Dominguez"/>
    <x v="0"/>
    <s v="United States"/>
    <x v="11"/>
    <x v="9"/>
    <x v="0"/>
    <s v="FUR-CH-10004860"/>
    <s v="Furniture"/>
    <x v="1"/>
    <s v="Global Low Back Tilter Chair"/>
    <n v="161.56800000000001"/>
    <n v="2"/>
    <n v="-28.2744"/>
    <x v="4"/>
    <x v="11"/>
  </r>
  <r>
    <x v="39"/>
    <x v="39"/>
    <m/>
    <n v="42067"/>
    <x v="1"/>
    <s v="VD-21670"/>
    <s v="Valerie Dominguez"/>
    <x v="0"/>
    <s v="United States"/>
    <x v="11"/>
    <x v="9"/>
    <x v="0"/>
    <s v="FUR-CH-10004477"/>
    <s v="Furniture"/>
    <x v="1"/>
    <s v="Global Push Button Manager's Chair, Indigo"/>
    <n v="389.69600000000003"/>
    <n v="8"/>
    <n v="43.840800000000002"/>
    <x v="4"/>
    <x v="11"/>
  </r>
  <r>
    <x v="40"/>
    <x v="40"/>
    <m/>
    <n v="42837"/>
    <x v="1"/>
    <s v="CS-12400"/>
    <s v="Christopher Schild"/>
    <x v="2"/>
    <s v="United States"/>
    <x v="26"/>
    <x v="1"/>
    <x v="0"/>
    <s v="FUR-TA-10001705"/>
    <s v="Furniture"/>
    <x v="2"/>
    <s v="Bush Advantage Collection Round Conference Table"/>
    <n v="233.86"/>
    <n v="2"/>
    <n v="-102.048"/>
    <x v="2"/>
    <x v="6"/>
  </r>
  <r>
    <x v="40"/>
    <x v="40"/>
    <m/>
    <n v="42837"/>
    <x v="1"/>
    <s v="CS-12400"/>
    <s v="Christopher Schild"/>
    <x v="2"/>
    <s v="United States"/>
    <x v="26"/>
    <x v="1"/>
    <x v="0"/>
    <s v="FUR-TA-10003473"/>
    <s v="Furniture"/>
    <x v="2"/>
    <s v="Bretford Rectangular Conference Table Tops"/>
    <n v="620.61450000000002"/>
    <n v="3"/>
    <n v="-248.2458"/>
    <x v="2"/>
    <x v="6"/>
  </r>
  <r>
    <x v="40"/>
    <x v="40"/>
    <m/>
    <n v="42837"/>
    <x v="1"/>
    <s v="CS-12400"/>
    <s v="Christopher Schild"/>
    <x v="2"/>
    <s v="United States"/>
    <x v="26"/>
    <x v="1"/>
    <x v="0"/>
    <s v="FUR-FU-10004017"/>
    <s v="Furniture"/>
    <x v="3"/>
    <s v="Tenex Contemporary Contur Chairmats for Low and Medium Pile Carpet, Computer, 39&quot; x 49&quot;"/>
    <n v="258.072"/>
    <n v="3"/>
    <n v="0"/>
    <x v="2"/>
    <x v="6"/>
  </r>
  <r>
    <x v="41"/>
    <x v="41"/>
    <m/>
    <n v="42530"/>
    <x v="0"/>
    <s v="KL-16645"/>
    <s v="Ken Lonsdale"/>
    <x v="0"/>
    <s v="United States"/>
    <x v="9"/>
    <x v="8"/>
    <x v="3"/>
    <s v="FUR-FU-10000576"/>
    <s v="Furniture"/>
    <x v="3"/>
    <s v="Luxo Professional Fluorescent Magnifier Lamp with Clamp-Mount Base"/>
    <n v="419.68"/>
    <n v="5"/>
    <n v="-356.72800000000001"/>
    <x v="2"/>
    <x v="2"/>
  </r>
  <r>
    <x v="41"/>
    <x v="41"/>
    <m/>
    <n v="42530"/>
    <x v="0"/>
    <s v="KL-16645"/>
    <s v="Ken Lonsdale"/>
    <x v="0"/>
    <s v="United States"/>
    <x v="9"/>
    <x v="8"/>
    <x v="3"/>
    <s v="FUR-FU-10004351"/>
    <s v="Furniture"/>
    <x v="3"/>
    <s v="Staple-based wall hangings"/>
    <n v="11.688000000000001"/>
    <n v="3"/>
    <n v="-4.6752000000000002"/>
    <x v="2"/>
    <x v="2"/>
  </r>
  <r>
    <x v="41"/>
    <x v="41"/>
    <m/>
    <n v="42530"/>
    <x v="0"/>
    <s v="KL-16645"/>
    <s v="Ken Lonsdale"/>
    <x v="0"/>
    <s v="United States"/>
    <x v="9"/>
    <x v="8"/>
    <x v="3"/>
    <s v="FUR-TA-10002607"/>
    <s v="Furniture"/>
    <x v="2"/>
    <s v="KI Conference Tables"/>
    <n v="177.22499999999999"/>
    <n v="5"/>
    <n v="-120.51300000000001"/>
    <x v="2"/>
    <x v="2"/>
  </r>
  <r>
    <x v="41"/>
    <x v="41"/>
    <m/>
    <n v="42530"/>
    <x v="0"/>
    <s v="KL-16645"/>
    <s v="Ken Lonsdale"/>
    <x v="0"/>
    <s v="United States"/>
    <x v="9"/>
    <x v="8"/>
    <x v="3"/>
    <s v="FUR-FU-10002505"/>
    <s v="Furniture"/>
    <x v="3"/>
    <s v="Eldon 100 Class Desk Accessories"/>
    <n v="4.0439999999999996"/>
    <n v="3"/>
    <n v="-2.8308"/>
    <x v="2"/>
    <x v="2"/>
  </r>
  <r>
    <x v="42"/>
    <x v="42"/>
    <m/>
    <n v="41796"/>
    <x v="0"/>
    <s v="DW-13480"/>
    <s v="Dianna Wilson"/>
    <x v="2"/>
    <s v="United States"/>
    <x v="27"/>
    <x v="11"/>
    <x v="3"/>
    <s v="FUR-CH-10004063"/>
    <s v="Furniture"/>
    <x v="1"/>
    <s v="Global Deluxe High-Back Manager's Chair"/>
    <n v="2001.86"/>
    <n v="7"/>
    <n v="580.5394"/>
    <x v="2"/>
    <x v="2"/>
  </r>
  <r>
    <x v="43"/>
    <x v="43"/>
    <m/>
    <n v="42719"/>
    <x v="0"/>
    <s v="LH-17155"/>
    <s v="Logan Haushalter"/>
    <x v="0"/>
    <s v="United States"/>
    <x v="28"/>
    <x v="2"/>
    <x v="1"/>
    <s v="FUR-CH-10002965"/>
    <s v="Furniture"/>
    <x v="1"/>
    <s v="Global Leather Highback Executive Chair with Pneumatic Height Adjustment, Black"/>
    <n v="321.56799999999998"/>
    <n v="2"/>
    <n v="28.1372"/>
    <x v="2"/>
    <x v="5"/>
  </r>
  <r>
    <x v="44"/>
    <x v="44"/>
    <m/>
    <n v="42342"/>
    <x v="1"/>
    <s v="DR-12880"/>
    <s v="Dan Reichenbach"/>
    <x v="1"/>
    <s v="United States"/>
    <x v="9"/>
    <x v="8"/>
    <x v="3"/>
    <s v="FUR-FU-10002505"/>
    <s v="Furniture"/>
    <x v="3"/>
    <s v="Eldon 100 Class Desk Accessories"/>
    <n v="12.132"/>
    <n v="9"/>
    <n v="-8.4923999999999999"/>
    <x v="6"/>
    <x v="0"/>
  </r>
  <r>
    <x v="45"/>
    <x v="45"/>
    <m/>
    <n v="42216"/>
    <x v="2"/>
    <s v="HA-14920"/>
    <s v="Helen Andreada"/>
    <x v="0"/>
    <s v="United States"/>
    <x v="28"/>
    <x v="2"/>
    <x v="1"/>
    <s v="FUR-FU-10003274"/>
    <s v="Furniture"/>
    <x v="3"/>
    <s v="Regeneration Desk Collection"/>
    <n v="5.28"/>
    <n v="3"/>
    <n v="2.3231999999999999"/>
    <x v="5"/>
    <x v="3"/>
  </r>
  <r>
    <x v="46"/>
    <x v="46"/>
    <m/>
    <n v="42314"/>
    <x v="1"/>
    <s v="JO-15280"/>
    <s v="Jas O'Carroll"/>
    <x v="0"/>
    <s v="United States"/>
    <x v="2"/>
    <x v="2"/>
    <x v="1"/>
    <s v="FUR-TA-10002903"/>
    <s v="Furniture"/>
    <x v="2"/>
    <s v="Bevis Round Bullnose 29&quot; High Table Top"/>
    <n v="1038.8399999999999"/>
    <n v="5"/>
    <n v="51.942"/>
    <x v="4"/>
    <x v="0"/>
  </r>
  <r>
    <x v="47"/>
    <x v="47"/>
    <m/>
    <n v="42698"/>
    <x v="0"/>
    <s v="NZ-18565"/>
    <s v="Nick Zandusky"/>
    <x v="2"/>
    <s v="United States"/>
    <x v="29"/>
    <x v="15"/>
    <x v="2"/>
    <s v="FUR-BO-10004709"/>
    <s v="Furniture"/>
    <x v="0"/>
    <s v="Bush Westfield Collection Bookcases, Medium Cherry Finish"/>
    <n v="86.97"/>
    <n v="3"/>
    <n v="-48.703200000000002"/>
    <x v="4"/>
    <x v="0"/>
  </r>
  <r>
    <x v="48"/>
    <x v="22"/>
    <m/>
    <n v="42001"/>
    <x v="2"/>
    <s v="KL-16555"/>
    <s v="Kelly Lampkin"/>
    <x v="1"/>
    <s v="United States"/>
    <x v="30"/>
    <x v="12"/>
    <x v="1"/>
    <s v="FUR-FU-10004091"/>
    <s v="Furniture"/>
    <x v="3"/>
    <s v="Howard Miller 13&quot; Diameter Goldtone Round Wall Clock"/>
    <n v="300.416"/>
    <n v="8"/>
    <n v="78.859200000000001"/>
    <x v="3"/>
    <x v="5"/>
  </r>
  <r>
    <x v="48"/>
    <x v="22"/>
    <m/>
    <n v="42001"/>
    <x v="2"/>
    <s v="KL-16555"/>
    <s v="Kelly Lampkin"/>
    <x v="1"/>
    <s v="United States"/>
    <x v="30"/>
    <x v="12"/>
    <x v="1"/>
    <s v="FUR-CH-10001891"/>
    <s v="Furniture"/>
    <x v="1"/>
    <s v="Global Deluxe Office Fabric Chairs"/>
    <n v="230.352"/>
    <n v="3"/>
    <n v="20.155799999999999"/>
    <x v="3"/>
    <x v="5"/>
  </r>
  <r>
    <x v="48"/>
    <x v="22"/>
    <m/>
    <n v="42001"/>
    <x v="2"/>
    <s v="KL-16555"/>
    <s v="Kelly Lampkin"/>
    <x v="1"/>
    <s v="United States"/>
    <x v="30"/>
    <x v="12"/>
    <x v="1"/>
    <s v="FUR-FU-10002918"/>
    <s v="Furniture"/>
    <x v="3"/>
    <s v="Eldon ClusterMat Chair Mat with Cordless Antistatic Protection"/>
    <n v="218.352"/>
    <n v="3"/>
    <n v="-24.564599999999999"/>
    <x v="3"/>
    <x v="5"/>
  </r>
  <r>
    <x v="49"/>
    <x v="48"/>
    <m/>
    <n v="42677"/>
    <x v="1"/>
    <s v="JD-15895"/>
    <s v="Jonathan Doherty"/>
    <x v="1"/>
    <s v="United States"/>
    <x v="31"/>
    <x v="18"/>
    <x v="2"/>
    <s v="FUR-FU-10001861"/>
    <s v="Furniture"/>
    <x v="3"/>
    <s v="Floodlight Indoor Halogen Bulbs, 1 Bulb per Pack, 60 Watts"/>
    <n v="77.599999999999994"/>
    <n v="4"/>
    <n v="38.024000000000001"/>
    <x v="6"/>
    <x v="1"/>
  </r>
  <r>
    <x v="50"/>
    <x v="49"/>
    <m/>
    <n v="43062"/>
    <x v="1"/>
    <s v="JH-15910"/>
    <s v="Jonathan Howell"/>
    <x v="0"/>
    <s v="United States"/>
    <x v="9"/>
    <x v="8"/>
    <x v="3"/>
    <s v="FUR-TA-10002533"/>
    <s v="Furniture"/>
    <x v="2"/>
    <s v="BPI Conference Tables"/>
    <n v="219.07499999999999"/>
    <n v="3"/>
    <n v="-131.44499999999999"/>
    <x v="4"/>
    <x v="0"/>
  </r>
  <r>
    <x v="51"/>
    <x v="50"/>
    <m/>
    <n v="42133"/>
    <x v="0"/>
    <s v="AS-10225"/>
    <s v="Alan Schoenberger"/>
    <x v="1"/>
    <s v="United States"/>
    <x v="13"/>
    <x v="7"/>
    <x v="2"/>
    <s v="FUR-FU-10002671"/>
    <s v="Furniture"/>
    <x v="3"/>
    <s v="Electrix 20W Halogen Replacement Bulb for Zoom-In Desk Lamp"/>
    <n v="26.8"/>
    <n v="2"/>
    <n v="12.864000000000001"/>
    <x v="2"/>
    <x v="7"/>
  </r>
  <r>
    <x v="52"/>
    <x v="51"/>
    <m/>
    <n v="42627"/>
    <x v="0"/>
    <s v="BP-11185"/>
    <s v="Ben Peterman"/>
    <x v="1"/>
    <s v="United States"/>
    <x v="32"/>
    <x v="12"/>
    <x v="1"/>
    <s v="FUR-FU-10001918"/>
    <s v="Furniture"/>
    <x v="3"/>
    <s v="C-Line Cubicle Keepers Polyproplyene Holder With Velcro Backings"/>
    <n v="15.135999999999999"/>
    <n v="4"/>
    <n v="3.5948000000000002"/>
    <x v="3"/>
    <x v="4"/>
  </r>
  <r>
    <x v="52"/>
    <x v="51"/>
    <m/>
    <n v="42627"/>
    <x v="0"/>
    <s v="BP-11185"/>
    <s v="Ben Peterman"/>
    <x v="1"/>
    <s v="United States"/>
    <x v="32"/>
    <x v="12"/>
    <x v="1"/>
    <s v="FUR-CH-10004086"/>
    <s v="Furniture"/>
    <x v="1"/>
    <s v="Hon 4070 Series Pagoda Armless Upholstered Stacking Chairs"/>
    <n v="466.76799999999997"/>
    <n v="2"/>
    <n v="52.511400000000002"/>
    <x v="3"/>
    <x v="4"/>
  </r>
  <r>
    <x v="52"/>
    <x v="51"/>
    <m/>
    <n v="42627"/>
    <x v="0"/>
    <s v="BP-11185"/>
    <s v="Ben Peterman"/>
    <x v="1"/>
    <s v="United States"/>
    <x v="32"/>
    <x v="12"/>
    <x v="1"/>
    <s v="FUR-FU-10001756"/>
    <s v="Furniture"/>
    <x v="3"/>
    <s v="Eldon Expressions Desk Accessory, Wood Photo Frame, Mahogany"/>
    <n v="15.231999999999999"/>
    <n v="1"/>
    <n v="1.7136"/>
    <x v="3"/>
    <x v="4"/>
  </r>
  <r>
    <x v="53"/>
    <x v="52"/>
    <m/>
    <n v="41915"/>
    <x v="1"/>
    <s v="TS-21205"/>
    <s v="Thomas Seio"/>
    <x v="1"/>
    <s v="United States"/>
    <x v="33"/>
    <x v="18"/>
    <x v="2"/>
    <s v="FUR-FU-10001588"/>
    <s v="Furniture"/>
    <x v="3"/>
    <s v="Deflect-o SuperTray Unbreakable Stackable Tray, Letter, Black"/>
    <n v="87.54"/>
    <n v="3"/>
    <n v="37.642200000000003"/>
    <x v="6"/>
    <x v="4"/>
  </r>
  <r>
    <x v="54"/>
    <x v="53"/>
    <m/>
    <n v="41952"/>
    <x v="1"/>
    <s v="NM-18445"/>
    <s v="Nathan Mautz"/>
    <x v="2"/>
    <s v="United States"/>
    <x v="13"/>
    <x v="7"/>
    <x v="2"/>
    <s v="FUR-CH-10002602"/>
    <s v="Furniture"/>
    <x v="1"/>
    <s v="DMI Arturo Collection Mission-style Design Wood Chair"/>
    <n v="135.88200000000001"/>
    <n v="1"/>
    <n v="24.1568"/>
    <x v="2"/>
    <x v="0"/>
  </r>
  <r>
    <x v="55"/>
    <x v="54"/>
    <m/>
    <n v="43044"/>
    <x v="0"/>
    <s v="DJ-13510"/>
    <s v="Don Jones"/>
    <x v="1"/>
    <s v="United States"/>
    <x v="34"/>
    <x v="9"/>
    <x v="0"/>
    <s v="FUR-FU-10001967"/>
    <s v="Furniture"/>
    <x v="3"/>
    <s v="Telescoping Adjustable Floor Lamp"/>
    <n v="15.992000000000001"/>
    <n v="1"/>
    <n v="0.99950000000000006"/>
    <x v="3"/>
    <x v="0"/>
  </r>
  <r>
    <x v="56"/>
    <x v="55"/>
    <m/>
    <n v="42614"/>
    <x v="2"/>
    <s v="PO-18850"/>
    <s v="Patrick O'Brill"/>
    <x v="0"/>
    <s v="United States"/>
    <x v="3"/>
    <x v="3"/>
    <x v="2"/>
    <s v="FUR-CH-10003312"/>
    <s v="Furniture"/>
    <x v="1"/>
    <s v="Hon 2090 Ã’Pillow SoftÃ“ Series Mid Back Swivel/Tilt Chairs"/>
    <n v="786.74400000000003"/>
    <n v="4"/>
    <n v="-258.5016"/>
    <x v="3"/>
    <x v="10"/>
  </r>
  <r>
    <x v="57"/>
    <x v="56"/>
    <m/>
    <n v="41837"/>
    <x v="1"/>
    <s v="AC-10420"/>
    <s v="Alyssa Crouse"/>
    <x v="1"/>
    <s v="United States"/>
    <x v="28"/>
    <x v="2"/>
    <x v="1"/>
    <s v="FUR-TA-10004575"/>
    <s v="Furniture"/>
    <x v="2"/>
    <s v="Hon 5100 Series Wood Tables"/>
    <n v="698.35199999999998"/>
    <n v="3"/>
    <n v="-17.4588"/>
    <x v="2"/>
    <x v="3"/>
  </r>
  <r>
    <x v="58"/>
    <x v="57"/>
    <m/>
    <n v="42473"/>
    <x v="1"/>
    <s v="JL-15505"/>
    <s v="Jeremy Lonsdale"/>
    <x v="0"/>
    <s v="United States"/>
    <x v="13"/>
    <x v="7"/>
    <x v="2"/>
    <s v="FUR-BO-10002268"/>
    <s v="Furniture"/>
    <x v="0"/>
    <s v="Sauder Barrister Bookcases"/>
    <n v="388.70400000000001"/>
    <n v="6"/>
    <n v="-4.8587999999999996"/>
    <x v="2"/>
    <x v="6"/>
  </r>
  <r>
    <x v="59"/>
    <x v="58"/>
    <m/>
    <n v="43009"/>
    <x v="1"/>
    <s v="KW-16435"/>
    <s v="Katrina Willman"/>
    <x v="0"/>
    <s v="United States"/>
    <x v="13"/>
    <x v="7"/>
    <x v="2"/>
    <s v="FUR-CH-10000785"/>
    <s v="Furniture"/>
    <x v="1"/>
    <s v="Global Ergonomic Managers Chair"/>
    <n v="488.64600000000002"/>
    <n v="3"/>
    <n v="86.870400000000004"/>
    <x v="6"/>
    <x v="4"/>
  </r>
  <r>
    <x v="59"/>
    <x v="58"/>
    <m/>
    <n v="43009"/>
    <x v="1"/>
    <s v="KW-16435"/>
    <s v="Katrina Willman"/>
    <x v="0"/>
    <s v="United States"/>
    <x v="13"/>
    <x v="7"/>
    <x v="2"/>
    <s v="FUR-FU-10000023"/>
    <s v="Furniture"/>
    <x v="3"/>
    <s v="Eldon Wave Desk Accessories"/>
    <n v="47.12"/>
    <n v="8"/>
    <n v="20.732800000000001"/>
    <x v="6"/>
    <x v="4"/>
  </r>
  <r>
    <x v="60"/>
    <x v="59"/>
    <m/>
    <n v="42664"/>
    <x v="3"/>
    <s v="MK-17905"/>
    <s v="Michael Kennedy"/>
    <x v="1"/>
    <s v="United States"/>
    <x v="35"/>
    <x v="19"/>
    <x v="2"/>
    <s v="FUR-BO-10002545"/>
    <s v="Furniture"/>
    <x v="0"/>
    <s v="Atlantic Metals Mobile 3-Shelf Bookcases, Custom Colors"/>
    <n v="1043.92"/>
    <n v="4"/>
    <n v="271.41919999999999"/>
    <x v="7"/>
    <x v="1"/>
  </r>
  <r>
    <x v="61"/>
    <x v="60"/>
    <m/>
    <n v="42979"/>
    <x v="1"/>
    <s v="AR-10405"/>
    <s v="Allen Rosenblatt"/>
    <x v="1"/>
    <s v="United States"/>
    <x v="20"/>
    <x v="20"/>
    <x v="2"/>
    <s v="FUR-TA-10004915"/>
    <s v="Furniture"/>
    <x v="2"/>
    <s v="Office Impressions End Table, 20-1/2&quot;H x 24&quot;W x 20&quot;D"/>
    <n v="1488.424"/>
    <n v="7"/>
    <n v="-297.6848"/>
    <x v="2"/>
    <x v="10"/>
  </r>
  <r>
    <x v="62"/>
    <x v="61"/>
    <m/>
    <n v="42340"/>
    <x v="1"/>
    <s v="DO-13435"/>
    <s v="Denny Ordway"/>
    <x v="0"/>
    <s v="United States"/>
    <x v="36"/>
    <x v="1"/>
    <x v="0"/>
    <s v="FUR-TA-10000617"/>
    <s v="Furniture"/>
    <x v="2"/>
    <s v="Hon Practical Foundations 30 x 60 Training Table, Light Gray/Charcoal"/>
    <n v="375.45749999999998"/>
    <n v="3"/>
    <n v="-157.0095"/>
    <x v="2"/>
    <x v="0"/>
  </r>
  <r>
    <x v="63"/>
    <x v="62"/>
    <m/>
    <n v="42345"/>
    <x v="1"/>
    <s v="DK-13225"/>
    <s v="Dean Katz"/>
    <x v="1"/>
    <s v="United States"/>
    <x v="3"/>
    <x v="3"/>
    <x v="2"/>
    <s v="FUR-FU-10001935"/>
    <s v="Furniture"/>
    <x v="3"/>
    <s v="3M Hangers With Command Adhesive"/>
    <n v="2.96"/>
    <n v="1"/>
    <n v="0.77700000000000002"/>
    <x v="4"/>
    <x v="5"/>
  </r>
  <r>
    <x v="64"/>
    <x v="63"/>
    <m/>
    <n v="42623"/>
    <x v="0"/>
    <s v="AG-10675"/>
    <s v="Anna Gayman"/>
    <x v="0"/>
    <s v="United States"/>
    <x v="6"/>
    <x v="5"/>
    <x v="3"/>
    <s v="FUR-BO-10004834"/>
    <s v="Furniture"/>
    <x v="0"/>
    <s v="Riverside Palais Royal Lawyers Bookcase, Royale Cherry Finish"/>
    <n v="2396.2656000000002"/>
    <n v="4"/>
    <n v="-317.15280000000001"/>
    <x v="3"/>
    <x v="4"/>
  </r>
  <r>
    <x v="65"/>
    <x v="64"/>
    <m/>
    <n v="43081"/>
    <x v="1"/>
    <s v="KH-16510"/>
    <s v="Keith Herrera"/>
    <x v="0"/>
    <s v="United States"/>
    <x v="28"/>
    <x v="2"/>
    <x v="1"/>
    <s v="FUR-TA-10002041"/>
    <s v="Furniture"/>
    <x v="2"/>
    <s v="Bevis Round Conference Table Top, X-Base"/>
    <n v="1004.024"/>
    <n v="7"/>
    <n v="-112.95269999999999"/>
    <x v="4"/>
    <x v="5"/>
  </r>
  <r>
    <x v="65"/>
    <x v="64"/>
    <m/>
    <n v="43081"/>
    <x v="1"/>
    <s v="KH-16510"/>
    <s v="Keith Herrera"/>
    <x v="0"/>
    <s v="United States"/>
    <x v="28"/>
    <x v="2"/>
    <x v="1"/>
    <s v="FUR-BO-10001972"/>
    <s v="Furniture"/>
    <x v="0"/>
    <s v="O'Sullivan 4-Shelf Bookcase in Odessa Pine"/>
    <n v="1336.829"/>
    <n v="13"/>
    <n v="31.454799999999999"/>
    <x v="4"/>
    <x v="5"/>
  </r>
  <r>
    <x v="65"/>
    <x v="64"/>
    <m/>
    <n v="43081"/>
    <x v="1"/>
    <s v="KH-16510"/>
    <s v="Keith Herrera"/>
    <x v="0"/>
    <s v="United States"/>
    <x v="28"/>
    <x v="2"/>
    <x v="1"/>
    <s v="FUR-CH-10003956"/>
    <s v="Furniture"/>
    <x v="1"/>
    <s v="Novimex High-Tech Fabric Mesh Task Chair"/>
    <n v="113.568"/>
    <n v="2"/>
    <n v="-18.454799999999999"/>
    <x v="4"/>
    <x v="5"/>
  </r>
  <r>
    <x v="66"/>
    <x v="54"/>
    <m/>
    <n v="43046"/>
    <x v="1"/>
    <s v="KC-16675"/>
    <s v="Kimberly Carter"/>
    <x v="1"/>
    <s v="United States"/>
    <x v="15"/>
    <x v="13"/>
    <x v="1"/>
    <s v="FUR-CH-10001891"/>
    <s v="Furniture"/>
    <x v="1"/>
    <s v="Global Deluxe Office Fabric Chairs"/>
    <n v="307.13600000000002"/>
    <n v="4"/>
    <n v="26.874400000000001"/>
    <x v="4"/>
    <x v="0"/>
  </r>
  <r>
    <x v="67"/>
    <x v="65"/>
    <m/>
    <n v="42478"/>
    <x v="1"/>
    <s v="PB-19150"/>
    <s v="Philip Brown"/>
    <x v="0"/>
    <s v="United States"/>
    <x v="2"/>
    <x v="2"/>
    <x v="1"/>
    <s v="FUR-CH-10004886"/>
    <s v="Furniture"/>
    <x v="1"/>
    <s v="Bevis Steel Folding Chairs"/>
    <n v="383.8"/>
    <n v="5"/>
    <n v="38.380000000000003"/>
    <x v="4"/>
    <x v="6"/>
  </r>
  <r>
    <x v="68"/>
    <x v="66"/>
    <m/>
    <n v="43031"/>
    <x v="1"/>
    <s v="MP-17965"/>
    <s v="Michael Paige"/>
    <x v="1"/>
    <s v="United States"/>
    <x v="37"/>
    <x v="20"/>
    <x v="2"/>
    <s v="FUR-FU-10004712"/>
    <s v="Furniture"/>
    <x v="3"/>
    <s v="Westinghouse Mesh Shade Clip-On Gooseneck Lamp, Black"/>
    <n v="56.56"/>
    <n v="4"/>
    <n v="14.7056"/>
    <x v="4"/>
    <x v="1"/>
  </r>
  <r>
    <x v="69"/>
    <x v="67"/>
    <m/>
    <n v="42970"/>
    <x v="0"/>
    <s v="NF-18385"/>
    <s v="Natalie Fritzler"/>
    <x v="0"/>
    <s v="United States"/>
    <x v="38"/>
    <x v="21"/>
    <x v="0"/>
    <s v="FUR-CH-10000015"/>
    <s v="Furniture"/>
    <x v="1"/>
    <s v="Hon Multipurpose Stacking Arm Chairs"/>
    <n v="866.4"/>
    <n v="4"/>
    <n v="225.26400000000001"/>
    <x v="3"/>
    <x v="10"/>
  </r>
  <r>
    <x v="70"/>
    <x v="68"/>
    <m/>
    <n v="43065"/>
    <x v="0"/>
    <s v="JM-15265"/>
    <s v="Janet Molinari"/>
    <x v="1"/>
    <s v="United States"/>
    <x v="39"/>
    <x v="17"/>
    <x v="3"/>
    <s v="FUR-FU-10003347"/>
    <s v="Furniture"/>
    <x v="3"/>
    <s v="Coloredge Poster Frame"/>
    <n v="28.4"/>
    <n v="2"/>
    <n v="11.076000000000001"/>
    <x v="0"/>
    <x v="0"/>
  </r>
  <r>
    <x v="71"/>
    <x v="69"/>
    <m/>
    <n v="42758"/>
    <x v="0"/>
    <s v="CV-12805"/>
    <s v="Cynthia Voltz"/>
    <x v="1"/>
    <s v="United States"/>
    <x v="13"/>
    <x v="7"/>
    <x v="2"/>
    <s v="FUR-CH-10003396"/>
    <s v="Furniture"/>
    <x v="1"/>
    <s v="Global Deluxe Steno Chair"/>
    <n v="207.846"/>
    <n v="3"/>
    <n v="2.3094000000000001"/>
    <x v="0"/>
    <x v="8"/>
  </r>
  <r>
    <x v="72"/>
    <x v="26"/>
    <m/>
    <n v="42620"/>
    <x v="0"/>
    <s v="PK-19075"/>
    <s v="Pete Kriz"/>
    <x v="0"/>
    <s v="United States"/>
    <x v="25"/>
    <x v="17"/>
    <x v="3"/>
    <s v="FUR-FU-10000246"/>
    <s v="Furniture"/>
    <x v="3"/>
    <s v="Aluminum Document Frame"/>
    <n v="12.22"/>
    <n v="1"/>
    <n v="3.6659999999999999"/>
    <x v="3"/>
    <x v="4"/>
  </r>
  <r>
    <x v="72"/>
    <x v="26"/>
    <m/>
    <n v="42620"/>
    <x v="0"/>
    <s v="PK-19075"/>
    <s v="Pete Kriz"/>
    <x v="0"/>
    <s v="United States"/>
    <x v="25"/>
    <x v="17"/>
    <x v="3"/>
    <s v="FUR-CH-10002372"/>
    <s v="Furniture"/>
    <x v="1"/>
    <s v="Office Star - Ergonomically Designed Knee Chair"/>
    <n v="242.94"/>
    <n v="3"/>
    <n v="29.152799999999999"/>
    <x v="3"/>
    <x v="4"/>
  </r>
  <r>
    <x v="73"/>
    <x v="70"/>
    <m/>
    <n v="42819"/>
    <x v="0"/>
    <s v="TB-21595"/>
    <s v="Troy Blackwell"/>
    <x v="0"/>
    <s v="United States"/>
    <x v="29"/>
    <x v="6"/>
    <x v="3"/>
    <s v="FUR-FU-10000206"/>
    <s v="Furniture"/>
    <x v="3"/>
    <s v="GE General Purpose, Extra Long Life, Showcase &amp; Floodlight Incandescent Bulbs"/>
    <n v="2.91"/>
    <n v="1"/>
    <n v="1.3676999999999999"/>
    <x v="2"/>
    <x v="9"/>
  </r>
  <r>
    <x v="74"/>
    <x v="71"/>
    <m/>
    <n v="43032"/>
    <x v="1"/>
    <s v="EB-13705"/>
    <s v="Ed Braxton"/>
    <x v="1"/>
    <s v="United States"/>
    <x v="40"/>
    <x v="15"/>
    <x v="2"/>
    <s v="FUR-TA-10001539"/>
    <s v="Furniture"/>
    <x v="2"/>
    <s v="Chromcraft Rectangular Conference Tables"/>
    <n v="284.36399999999998"/>
    <n v="2"/>
    <n v="-75.830399999999997"/>
    <x v="4"/>
    <x v="1"/>
  </r>
  <r>
    <x v="75"/>
    <x v="72"/>
    <m/>
    <n v="41688"/>
    <x v="1"/>
    <s v="SC-20095"/>
    <s v="Sanjit Chand"/>
    <x v="0"/>
    <s v="United States"/>
    <x v="41"/>
    <x v="2"/>
    <x v="1"/>
    <s v="FUR-CH-10000225"/>
    <s v="Furniture"/>
    <x v="1"/>
    <s v="Global Geo Office Task Chair, Gray"/>
    <n v="129.56800000000001"/>
    <n v="2"/>
    <n v="-24.294"/>
    <x v="6"/>
    <x v="11"/>
  </r>
  <r>
    <x v="76"/>
    <x v="73"/>
    <m/>
    <n v="42644"/>
    <x v="1"/>
    <s v="NF-18385"/>
    <s v="Natalie Fritzler"/>
    <x v="0"/>
    <s v="United States"/>
    <x v="42"/>
    <x v="8"/>
    <x v="3"/>
    <s v="FUR-CH-10002331"/>
    <s v="Furniture"/>
    <x v="1"/>
    <s v="Hon 4700 Series Mobuis Mid-Back Task Chairs with Adjustable Arms"/>
    <n v="747.55799999999999"/>
    <n v="3"/>
    <n v="-96.114599999999996"/>
    <x v="2"/>
    <x v="4"/>
  </r>
  <r>
    <x v="77"/>
    <x v="74"/>
    <m/>
    <n v="42489"/>
    <x v="1"/>
    <s v="TN-21040"/>
    <s v="Tanja Norvell"/>
    <x v="2"/>
    <s v="United States"/>
    <x v="43"/>
    <x v="22"/>
    <x v="1"/>
    <s v="FUR-FU-10000023"/>
    <s v="Furniture"/>
    <x v="3"/>
    <s v="Eldon Wave Desk Accessories"/>
    <n v="23.56"/>
    <n v="5"/>
    <n v="7.0679999999999996"/>
    <x v="1"/>
    <x v="6"/>
  </r>
  <r>
    <x v="77"/>
    <x v="74"/>
    <m/>
    <n v="42489"/>
    <x v="1"/>
    <s v="TN-21040"/>
    <s v="Tanja Norvell"/>
    <x v="2"/>
    <s v="United States"/>
    <x v="43"/>
    <x v="22"/>
    <x v="1"/>
    <s v="FUR-TA-10001889"/>
    <s v="Furniture"/>
    <x v="2"/>
    <s v="Bush Advantage Collection Racetrack Conference Table"/>
    <n v="1272.6300000000001"/>
    <n v="6"/>
    <n v="-814.48320000000001"/>
    <x v="1"/>
    <x v="6"/>
  </r>
  <r>
    <x v="78"/>
    <x v="75"/>
    <m/>
    <n v="42028"/>
    <x v="1"/>
    <s v="JS-15940"/>
    <s v="Joni Sundaresam"/>
    <x v="2"/>
    <s v="United States"/>
    <x v="44"/>
    <x v="8"/>
    <x v="3"/>
    <s v="FUR-FU-10002918"/>
    <s v="Furniture"/>
    <x v="3"/>
    <s v="Eldon ClusterMat Chair Mat with Cordless Antistatic Protection"/>
    <n v="254.744"/>
    <n v="7"/>
    <n v="-312.06139999999999"/>
    <x v="1"/>
    <x v="8"/>
  </r>
  <r>
    <x v="79"/>
    <x v="76"/>
    <m/>
    <n v="42829"/>
    <x v="1"/>
    <s v="DS-13180"/>
    <s v="David Smith"/>
    <x v="1"/>
    <s v="United States"/>
    <x v="45"/>
    <x v="5"/>
    <x v="3"/>
    <s v="FUR-BO-10002824"/>
    <s v="Furniture"/>
    <x v="0"/>
    <s v="Bush Mission Pointe Library"/>
    <n v="205.33279999999999"/>
    <n v="2"/>
    <n v="-36.235199999999999"/>
    <x v="4"/>
    <x v="9"/>
  </r>
  <r>
    <x v="80"/>
    <x v="77"/>
    <m/>
    <n v="41954"/>
    <x v="0"/>
    <s v="JP-15520"/>
    <s v="Jeremy Pistek"/>
    <x v="0"/>
    <s v="United States"/>
    <x v="28"/>
    <x v="2"/>
    <x v="1"/>
    <s v="FUR-BO-10001601"/>
    <s v="Furniture"/>
    <x v="0"/>
    <s v="Sauder Mission Library with Doors, Fruitwood Finish"/>
    <n v="222.666"/>
    <n v="2"/>
    <n v="10.478400000000001"/>
    <x v="3"/>
    <x v="0"/>
  </r>
  <r>
    <x v="81"/>
    <x v="78"/>
    <m/>
    <n v="42676"/>
    <x v="1"/>
    <s v="JE-15475"/>
    <s v="Jeremy Ellison"/>
    <x v="0"/>
    <s v="United States"/>
    <x v="8"/>
    <x v="7"/>
    <x v="2"/>
    <s v="FUR-FU-10002671"/>
    <s v="Furniture"/>
    <x v="3"/>
    <s v="Electrix 20W Halogen Replacement Bulb for Zoom-In Desk Lamp"/>
    <n v="40.200000000000003"/>
    <n v="3"/>
    <n v="19.295999999999999"/>
    <x v="6"/>
    <x v="1"/>
  </r>
  <r>
    <x v="82"/>
    <x v="79"/>
    <m/>
    <n v="42899"/>
    <x v="2"/>
    <s v="MT-18070"/>
    <s v="Michelle Tran"/>
    <x v="2"/>
    <s v="United States"/>
    <x v="2"/>
    <x v="2"/>
    <x v="1"/>
    <s v="FUR-BO-10001337"/>
    <s v="Furniture"/>
    <x v="0"/>
    <s v="O'Sullivan Living Dimensions 2-Shelf Bookcases"/>
    <n v="514.16499999999996"/>
    <n v="5"/>
    <n v="-30.245000000000001"/>
    <x v="0"/>
    <x v="2"/>
  </r>
  <r>
    <x v="83"/>
    <x v="80"/>
    <m/>
    <n v="42450"/>
    <x v="0"/>
    <s v="RO-19780"/>
    <s v="Rose O'Brian"/>
    <x v="0"/>
    <s v="United States"/>
    <x v="10"/>
    <x v="9"/>
    <x v="0"/>
    <s v="FUR-TA-10001857"/>
    <s v="Furniture"/>
    <x v="2"/>
    <s v="Balt Solid Wood Rectangular Table"/>
    <n v="189.88200000000001"/>
    <n v="3"/>
    <n v="-94.941000000000003"/>
    <x v="0"/>
    <x v="9"/>
  </r>
  <r>
    <x v="84"/>
    <x v="81"/>
    <m/>
    <n v="42582"/>
    <x v="1"/>
    <s v="SC-20095"/>
    <s v="Sanjit Chand"/>
    <x v="0"/>
    <s v="United States"/>
    <x v="46"/>
    <x v="2"/>
    <x v="1"/>
    <s v="FUR-FU-10004864"/>
    <s v="Furniture"/>
    <x v="3"/>
    <s v="Howard Miller 14-1/2&quot; Diameter Chrome Round Wall Clock"/>
    <n v="255.76"/>
    <n v="4"/>
    <n v="81.843199999999996"/>
    <x v="6"/>
    <x v="3"/>
  </r>
  <r>
    <x v="84"/>
    <x v="81"/>
    <m/>
    <n v="42582"/>
    <x v="1"/>
    <s v="SC-20095"/>
    <s v="Sanjit Chand"/>
    <x v="0"/>
    <s v="United States"/>
    <x v="46"/>
    <x v="2"/>
    <x v="1"/>
    <s v="FUR-CH-10002602"/>
    <s v="Furniture"/>
    <x v="1"/>
    <s v="DMI Arturo Collection Mission-style Design Wood Chair"/>
    <n v="241.56800000000001"/>
    <n v="2"/>
    <n v="18.117599999999999"/>
    <x v="6"/>
    <x v="3"/>
  </r>
  <r>
    <x v="84"/>
    <x v="81"/>
    <m/>
    <n v="42582"/>
    <x v="1"/>
    <s v="SC-20095"/>
    <s v="Sanjit Chand"/>
    <x v="0"/>
    <s v="United States"/>
    <x v="46"/>
    <x v="2"/>
    <x v="1"/>
    <s v="FUR-FU-10000073"/>
    <s v="Furniture"/>
    <x v="3"/>
    <s v="Deflect-O Glasstique Clear Desk Accessories"/>
    <n v="69.3"/>
    <n v="9"/>
    <n v="22.869"/>
    <x v="6"/>
    <x v="3"/>
  </r>
  <r>
    <x v="85"/>
    <x v="82"/>
    <m/>
    <n v="42525"/>
    <x v="1"/>
    <s v="MY-17380"/>
    <s v="Maribeth Yedwab"/>
    <x v="1"/>
    <s v="United States"/>
    <x v="47"/>
    <x v="12"/>
    <x v="1"/>
    <s v="FUR-CH-10001215"/>
    <s v="Furniture"/>
    <x v="1"/>
    <s v="Global Troy Executive Leather Low-Back Tilter"/>
    <n v="801.56799999999998"/>
    <n v="2"/>
    <n v="50.097999999999999"/>
    <x v="2"/>
    <x v="7"/>
  </r>
  <r>
    <x v="86"/>
    <x v="83"/>
    <m/>
    <n v="43066"/>
    <x v="2"/>
    <s v="LS-17245"/>
    <s v="Lynn Smith"/>
    <x v="0"/>
    <s v="United States"/>
    <x v="48"/>
    <x v="23"/>
    <x v="3"/>
    <s v="FUR-FU-10001290"/>
    <s v="Furniture"/>
    <x v="3"/>
    <s v="Executive Impressions Supervisor Wall Clock"/>
    <n v="126.3"/>
    <n v="3"/>
    <n v="40.415999999999997"/>
    <x v="5"/>
    <x v="0"/>
  </r>
  <r>
    <x v="87"/>
    <x v="84"/>
    <m/>
    <n v="42760"/>
    <x v="2"/>
    <s v="MC-17605"/>
    <s v="Matt Connell"/>
    <x v="1"/>
    <s v="United States"/>
    <x v="25"/>
    <x v="17"/>
    <x v="3"/>
    <s v="FUR-TA-10001857"/>
    <s v="Furniture"/>
    <x v="2"/>
    <s v="Balt Solid Wood Rectangular Table"/>
    <n v="210.98"/>
    <n v="2"/>
    <n v="21.097999999999999"/>
    <x v="3"/>
    <x v="8"/>
  </r>
  <r>
    <x v="88"/>
    <x v="85"/>
    <m/>
    <n v="43034"/>
    <x v="1"/>
    <s v="PH-18790"/>
    <s v="Patricia Hirasaki"/>
    <x v="2"/>
    <s v="United States"/>
    <x v="49"/>
    <x v="1"/>
    <x v="0"/>
    <s v="FUR-CH-10003379"/>
    <s v="Furniture"/>
    <x v="1"/>
    <s v="Global Commerce Series High-Back Swivel/Tilt Chairs"/>
    <n v="683.952"/>
    <n v="3"/>
    <n v="42.747"/>
    <x v="2"/>
    <x v="1"/>
  </r>
  <r>
    <x v="88"/>
    <x v="85"/>
    <m/>
    <n v="43034"/>
    <x v="1"/>
    <s v="PH-18790"/>
    <s v="Patricia Hirasaki"/>
    <x v="2"/>
    <s v="United States"/>
    <x v="49"/>
    <x v="1"/>
    <x v="0"/>
    <s v="FUR-FU-10001756"/>
    <s v="Furniture"/>
    <x v="3"/>
    <s v="Eldon Expressions Desk Accessory, Wood Photo Frame, Mahogany"/>
    <n v="45.695999999999998"/>
    <n v="3"/>
    <n v="5.1407999999999996"/>
    <x v="2"/>
    <x v="1"/>
  </r>
  <r>
    <x v="89"/>
    <x v="86"/>
    <m/>
    <n v="42317"/>
    <x v="0"/>
    <s v="KB-16240"/>
    <s v="Karen Bern"/>
    <x v="1"/>
    <s v="United States"/>
    <x v="2"/>
    <x v="2"/>
    <x v="1"/>
    <s v="FUR-CH-10000595"/>
    <s v="Furniture"/>
    <x v="1"/>
    <s v="Safco Contoured Stacking Chairs"/>
    <n v="190.72"/>
    <n v="1"/>
    <n v="11.92"/>
    <x v="3"/>
    <x v="0"/>
  </r>
  <r>
    <x v="90"/>
    <x v="87"/>
    <m/>
    <n v="42989"/>
    <x v="1"/>
    <s v="JC-15340"/>
    <s v="Jasper Cacioppo"/>
    <x v="0"/>
    <s v="United States"/>
    <x v="2"/>
    <x v="2"/>
    <x v="1"/>
    <s v="FUR-FU-10000448"/>
    <s v="Furniture"/>
    <x v="3"/>
    <s v="Tenex Chairmats For Use With Carpeted Floors"/>
    <n v="47.94"/>
    <n v="3"/>
    <n v="2.3969999999999998"/>
    <x v="4"/>
    <x v="4"/>
  </r>
  <r>
    <x v="91"/>
    <x v="88"/>
    <m/>
    <n v="42349"/>
    <x v="1"/>
    <s v="DK-12985"/>
    <s v="Darren Koutras"/>
    <x v="0"/>
    <s v="United States"/>
    <x v="0"/>
    <x v="0"/>
    <x v="0"/>
    <s v="FUR-CH-10002647"/>
    <s v="Furniture"/>
    <x v="1"/>
    <s v="Situations Contoured Folding Chairs, 4/Set"/>
    <n v="283.92"/>
    <n v="4"/>
    <n v="70.98"/>
    <x v="4"/>
    <x v="5"/>
  </r>
  <r>
    <x v="92"/>
    <x v="89"/>
    <m/>
    <n v="41775"/>
    <x v="1"/>
    <s v="PG-18895"/>
    <s v="Paul Gonzalez"/>
    <x v="0"/>
    <s v="United States"/>
    <x v="50"/>
    <x v="5"/>
    <x v="3"/>
    <s v="FUR-FU-10000723"/>
    <s v="Furniture"/>
    <x v="3"/>
    <s v="Deflect-o EconoMat Studded, No Bevel Mat for Low Pile Carpeting"/>
    <n v="66.111999999999995"/>
    <n v="4"/>
    <n v="-84.2928"/>
    <x v="2"/>
    <x v="7"/>
  </r>
  <r>
    <x v="93"/>
    <x v="90"/>
    <m/>
    <n v="42477"/>
    <x v="0"/>
    <s v="BD-11320"/>
    <s v="Bill Donatelli"/>
    <x v="0"/>
    <s v="United States"/>
    <x v="28"/>
    <x v="2"/>
    <x v="1"/>
    <s v="FUR-CH-10002024"/>
    <s v="Furniture"/>
    <x v="1"/>
    <s v="HON 5400 Series Task Chairs for Big and Tall"/>
    <n v="1121.568"/>
    <n v="2"/>
    <n v="0"/>
    <x v="3"/>
    <x v="6"/>
  </r>
  <r>
    <x v="94"/>
    <x v="91"/>
    <m/>
    <n v="42990"/>
    <x v="2"/>
    <s v="RC-19960"/>
    <s v="Ryan Crowe"/>
    <x v="0"/>
    <s v="United States"/>
    <x v="51"/>
    <x v="1"/>
    <x v="0"/>
    <s v="FUR-FU-10003039"/>
    <s v="Furniture"/>
    <x v="3"/>
    <s v="Howard Miller 11-1/2&quot; Diameter Grantwood Wall Clock"/>
    <n v="34.503999999999998"/>
    <n v="1"/>
    <n v="6.0381999999999998"/>
    <x v="5"/>
    <x v="4"/>
  </r>
  <r>
    <x v="95"/>
    <x v="92"/>
    <m/>
    <n v="42536"/>
    <x v="1"/>
    <s v="OT-18730"/>
    <s v="Olvera Toch"/>
    <x v="0"/>
    <s v="United States"/>
    <x v="2"/>
    <x v="2"/>
    <x v="1"/>
    <s v="FUR-TA-10004256"/>
    <s v="Furniture"/>
    <x v="2"/>
    <s v="Bretford Ã’Just In TimeÃ“ Height-Adjustable Multi-Task Work Tables"/>
    <n v="1335.68"/>
    <n v="4"/>
    <n v="-217.048"/>
    <x v="2"/>
    <x v="2"/>
  </r>
  <r>
    <x v="96"/>
    <x v="93"/>
    <m/>
    <n v="43061"/>
    <x v="0"/>
    <s v="LP-17080"/>
    <s v="Liz Pelletier"/>
    <x v="0"/>
    <s v="United States"/>
    <x v="28"/>
    <x v="2"/>
    <x v="1"/>
    <s v="FUR-FU-10003347"/>
    <s v="Furniture"/>
    <x v="3"/>
    <s v="Coloredge Poster Frame"/>
    <n v="42.6"/>
    <n v="3"/>
    <n v="16.614000000000001"/>
    <x v="3"/>
    <x v="0"/>
  </r>
  <r>
    <x v="97"/>
    <x v="94"/>
    <m/>
    <n v="41900"/>
    <x v="0"/>
    <s v="CA-12775"/>
    <s v="Cynthia Arntzen"/>
    <x v="0"/>
    <s v="United States"/>
    <x v="26"/>
    <x v="1"/>
    <x v="0"/>
    <s v="FUR-FU-10004020"/>
    <s v="Furniture"/>
    <x v="3"/>
    <s v="Advantus Panel Wall Acrylic Frame"/>
    <n v="13.128"/>
    <n v="3"/>
    <n v="3.7743000000000002"/>
    <x v="4"/>
    <x v="4"/>
  </r>
  <r>
    <x v="98"/>
    <x v="95"/>
    <m/>
    <n v="43016"/>
    <x v="1"/>
    <s v="EB-13840"/>
    <s v="Ellis Ballard"/>
    <x v="1"/>
    <s v="United States"/>
    <x v="15"/>
    <x v="13"/>
    <x v="1"/>
    <s v="FUR-CH-10004997"/>
    <s v="Furniture"/>
    <x v="1"/>
    <s v="Hon Every-Day Series Multi-Task Chairs"/>
    <n v="451.15199999999999"/>
    <n v="3"/>
    <n v="0"/>
    <x v="1"/>
    <x v="1"/>
  </r>
  <r>
    <x v="99"/>
    <x v="96"/>
    <m/>
    <n v="42942"/>
    <x v="1"/>
    <s v="CS-11950"/>
    <s v="Carlos Soltero"/>
    <x v="0"/>
    <s v="United States"/>
    <x v="9"/>
    <x v="8"/>
    <x v="3"/>
    <s v="FUR-FU-10001475"/>
    <s v="Furniture"/>
    <x v="3"/>
    <s v="Contract Clock, 14&quot;, Brown"/>
    <n v="8.7919999999999998"/>
    <n v="1"/>
    <n v="-5.7148000000000003"/>
    <x v="6"/>
    <x v="3"/>
  </r>
  <r>
    <x v="100"/>
    <x v="97"/>
    <m/>
    <n v="42194"/>
    <x v="1"/>
    <s v="BD-11725"/>
    <s v="Bruce Degenhardt"/>
    <x v="0"/>
    <s v="United States"/>
    <x v="52"/>
    <x v="0"/>
    <x v="0"/>
    <s v="FUR-CH-10003956"/>
    <s v="Furniture"/>
    <x v="1"/>
    <s v="Novimex High-Tech Fabric Mesh Task Chair"/>
    <n v="70.98"/>
    <n v="1"/>
    <n v="4.9686000000000003"/>
    <x v="6"/>
    <x v="3"/>
  </r>
  <r>
    <x v="101"/>
    <x v="98"/>
    <m/>
    <n v="41866"/>
    <x v="1"/>
    <s v="LR-16915"/>
    <s v="Lena Radford"/>
    <x v="0"/>
    <s v="United States"/>
    <x v="53"/>
    <x v="2"/>
    <x v="1"/>
    <s v="FUR-FU-10001979"/>
    <s v="Furniture"/>
    <x v="3"/>
    <s v="Dana Halogen Swing-Arm Architect Lamp"/>
    <n v="327.76"/>
    <n v="8"/>
    <n v="91.772800000000004"/>
    <x v="1"/>
    <x v="10"/>
  </r>
  <r>
    <x v="102"/>
    <x v="99"/>
    <m/>
    <n v="41717"/>
    <x v="1"/>
    <s v="AS-10240"/>
    <s v="Alan Shonely"/>
    <x v="0"/>
    <s v="United States"/>
    <x v="26"/>
    <x v="1"/>
    <x v="0"/>
    <s v="FUR-FU-10001756"/>
    <s v="Furniture"/>
    <x v="3"/>
    <s v="Eldon Expressions Desk Accessory, Wood Photo Frame, Mahogany"/>
    <n v="45.695999999999998"/>
    <n v="3"/>
    <n v="5.1407999999999996"/>
    <x v="4"/>
    <x v="9"/>
  </r>
  <r>
    <x v="103"/>
    <x v="100"/>
    <m/>
    <n v="42970"/>
    <x v="0"/>
    <s v="NG-18355"/>
    <s v="Nat Gilpin"/>
    <x v="1"/>
    <s v="United States"/>
    <x v="13"/>
    <x v="7"/>
    <x v="2"/>
    <s v="FUR-FU-10003849"/>
    <s v="Furniture"/>
    <x v="3"/>
    <s v="DAX Metal Frame, Desktop, Stepped-Edge"/>
    <n v="40.479999999999997"/>
    <n v="2"/>
    <n v="15.7872"/>
    <x v="2"/>
    <x v="10"/>
  </r>
  <r>
    <x v="103"/>
    <x v="100"/>
    <m/>
    <n v="42970"/>
    <x v="0"/>
    <s v="NG-18355"/>
    <s v="Nat Gilpin"/>
    <x v="1"/>
    <s v="United States"/>
    <x v="13"/>
    <x v="7"/>
    <x v="2"/>
    <s v="FUR-FU-10000010"/>
    <s v="Furniture"/>
    <x v="3"/>
    <s v="DAX Value U-Channel Document Frames, Easel Back"/>
    <n v="9.94"/>
    <n v="2"/>
    <n v="3.0813999999999999"/>
    <x v="2"/>
    <x v="10"/>
  </r>
  <r>
    <x v="103"/>
    <x v="100"/>
    <m/>
    <n v="42970"/>
    <x v="0"/>
    <s v="NG-18355"/>
    <s v="Nat Gilpin"/>
    <x v="1"/>
    <s v="United States"/>
    <x v="13"/>
    <x v="7"/>
    <x v="2"/>
    <s v="FUR-FU-10000521"/>
    <s v="Furniture"/>
    <x v="3"/>
    <s v="Seth Thomas 14&quot; Putty-Colored Wall Clock"/>
    <n v="88.02"/>
    <n v="3"/>
    <n v="27.286200000000001"/>
    <x v="2"/>
    <x v="10"/>
  </r>
  <r>
    <x v="104"/>
    <x v="101"/>
    <m/>
    <n v="42341"/>
    <x v="1"/>
    <s v="SF-20965"/>
    <s v="Sylvia Foulston"/>
    <x v="1"/>
    <s v="United States"/>
    <x v="54"/>
    <x v="17"/>
    <x v="3"/>
    <s v="FUR-CH-10004853"/>
    <s v="Furniture"/>
    <x v="1"/>
    <s v="Global Manager's Adjustable Task Chair, Storm"/>
    <n v="301.95999999999998"/>
    <n v="2"/>
    <n v="87.568399999999997"/>
    <x v="4"/>
    <x v="0"/>
  </r>
  <r>
    <x v="105"/>
    <x v="102"/>
    <m/>
    <n v="42997"/>
    <x v="1"/>
    <s v="MO-17800"/>
    <s v="Meg O'Connel"/>
    <x v="2"/>
    <s v="United States"/>
    <x v="13"/>
    <x v="7"/>
    <x v="2"/>
    <s v="FUR-FU-10000221"/>
    <s v="Furniture"/>
    <x v="3"/>
    <s v="Master Caster Door Stop, Brown"/>
    <n v="35.56"/>
    <n v="7"/>
    <n v="12.090400000000001"/>
    <x v="4"/>
    <x v="4"/>
  </r>
  <r>
    <x v="106"/>
    <x v="103"/>
    <m/>
    <n v="42286"/>
    <x v="0"/>
    <s v="DJ-13420"/>
    <s v="Denny Joy"/>
    <x v="1"/>
    <s v="United States"/>
    <x v="55"/>
    <x v="24"/>
    <x v="0"/>
    <s v="FUR-CH-10001482"/>
    <s v="Furniture"/>
    <x v="1"/>
    <s v="Office Star - Mesh Screen back chair with Vinyl seat"/>
    <n v="392.94"/>
    <n v="3"/>
    <n v="43.223399999999998"/>
    <x v="2"/>
    <x v="1"/>
  </r>
  <r>
    <x v="107"/>
    <x v="104"/>
    <m/>
    <n v="42515"/>
    <x v="1"/>
    <s v="RB-19465"/>
    <s v="Rick Bensley"/>
    <x v="2"/>
    <s v="United States"/>
    <x v="56"/>
    <x v="2"/>
    <x v="1"/>
    <s v="FUR-FU-10000576"/>
    <s v="Furniture"/>
    <x v="3"/>
    <s v="Luxo Professional Fluorescent Magnifier Lamp with Clamp-Mount Base"/>
    <n v="1049.2"/>
    <n v="5"/>
    <n v="272.79199999999997"/>
    <x v="2"/>
    <x v="7"/>
  </r>
  <r>
    <x v="108"/>
    <x v="105"/>
    <m/>
    <n v="42726"/>
    <x v="1"/>
    <s v="JD-16150"/>
    <s v="Justin Deggeller"/>
    <x v="1"/>
    <s v="United States"/>
    <x v="12"/>
    <x v="11"/>
    <x v="3"/>
    <s v="FUR-FU-10000732"/>
    <s v="Furniture"/>
    <x v="3"/>
    <s v="Eldon 200 Class Desk Accessories"/>
    <n v="18.84"/>
    <n v="3"/>
    <n v="6.0288000000000004"/>
    <x v="4"/>
    <x v="5"/>
  </r>
  <r>
    <x v="109"/>
    <x v="106"/>
    <m/>
    <n v="42720"/>
    <x v="0"/>
    <s v="AR-10825"/>
    <s v="Anthony Rawles"/>
    <x v="1"/>
    <s v="United States"/>
    <x v="57"/>
    <x v="13"/>
    <x v="1"/>
    <s v="FUR-FU-10001935"/>
    <s v="Furniture"/>
    <x v="3"/>
    <s v="3M Hangers With Command Adhesive"/>
    <n v="14.8"/>
    <n v="4"/>
    <n v="6.0679999999999996"/>
    <x v="2"/>
    <x v="5"/>
  </r>
  <r>
    <x v="110"/>
    <x v="107"/>
    <m/>
    <n v="42632"/>
    <x v="3"/>
    <s v="EH-14125"/>
    <s v="Eugene Hildebrand"/>
    <x v="2"/>
    <s v="United States"/>
    <x v="14"/>
    <x v="8"/>
    <x v="3"/>
    <s v="FUR-CH-10001215"/>
    <s v="Furniture"/>
    <x v="1"/>
    <s v="Global Troy Executive Leather Low-Back Tilter"/>
    <n v="701.37199999999996"/>
    <n v="2"/>
    <n v="-50.097999999999999"/>
    <x v="7"/>
    <x v="4"/>
  </r>
  <r>
    <x v="111"/>
    <x v="108"/>
    <m/>
    <n v="42244"/>
    <x v="1"/>
    <s v="CB-12025"/>
    <s v="Cassandra Brandow"/>
    <x v="0"/>
    <s v="United States"/>
    <x v="58"/>
    <x v="5"/>
    <x v="3"/>
    <s v="FUR-TA-10001768"/>
    <s v="Furniture"/>
    <x v="2"/>
    <s v="Hon Racetrack Conference Tables"/>
    <n v="918.78499999999997"/>
    <n v="5"/>
    <n v="-118.12949999999999"/>
    <x v="4"/>
    <x v="10"/>
  </r>
  <r>
    <x v="112"/>
    <x v="109"/>
    <m/>
    <n v="41999"/>
    <x v="2"/>
    <s v="RP-19390"/>
    <s v="Resi PÅ¡lking"/>
    <x v="0"/>
    <s v="United States"/>
    <x v="59"/>
    <x v="15"/>
    <x v="2"/>
    <s v="FUR-FU-10003096"/>
    <s v="Furniture"/>
    <x v="3"/>
    <s v="Master Giant Foot Doorstop, Safety Yellow"/>
    <n v="30.36"/>
    <n v="5"/>
    <n v="8.7285000000000004"/>
    <x v="3"/>
    <x v="5"/>
  </r>
  <r>
    <x v="113"/>
    <x v="110"/>
    <m/>
    <n v="42899"/>
    <x v="1"/>
    <s v="MO-17800"/>
    <s v="Meg O'Connel"/>
    <x v="2"/>
    <s v="United States"/>
    <x v="9"/>
    <x v="8"/>
    <x v="3"/>
    <s v="FUR-FU-10002759"/>
    <s v="Furniture"/>
    <x v="3"/>
    <s v="12-1/2 Diameter Round Wall Clock"/>
    <n v="23.975999999999999"/>
    <n v="3"/>
    <n v="-14.3856"/>
    <x v="4"/>
    <x v="2"/>
  </r>
  <r>
    <x v="113"/>
    <x v="110"/>
    <m/>
    <n v="42899"/>
    <x v="1"/>
    <s v="MO-17800"/>
    <s v="Meg O'Connel"/>
    <x v="2"/>
    <s v="United States"/>
    <x v="9"/>
    <x v="8"/>
    <x v="3"/>
    <s v="FUR-TA-10000688"/>
    <s v="Furniture"/>
    <x v="2"/>
    <s v="Chromcraft Bull-Nose Wood Round Conference Table Top, Wood Base"/>
    <n v="108.925"/>
    <n v="1"/>
    <n v="-71.890500000000003"/>
    <x v="4"/>
    <x v="2"/>
  </r>
  <r>
    <x v="114"/>
    <x v="111"/>
    <m/>
    <n v="42817"/>
    <x v="1"/>
    <s v="CD-11980"/>
    <s v="Carol Darley"/>
    <x v="0"/>
    <s v="United States"/>
    <x v="60"/>
    <x v="5"/>
    <x v="3"/>
    <s v="FUR-FU-10003553"/>
    <s v="Furniture"/>
    <x v="3"/>
    <s v="Howard Miller 13-1/2&quot; Diameter Rosebrook Wall Clock"/>
    <n v="82.524000000000001"/>
    <n v="3"/>
    <n v="-41.262"/>
    <x v="2"/>
    <x v="9"/>
  </r>
  <r>
    <x v="115"/>
    <x v="19"/>
    <m/>
    <n v="43098"/>
    <x v="1"/>
    <s v="RA-19285"/>
    <s v="Ralph Arnett"/>
    <x v="0"/>
    <s v="United States"/>
    <x v="13"/>
    <x v="7"/>
    <x v="2"/>
    <s v="FUR-BO-10004015"/>
    <s v="Furniture"/>
    <x v="0"/>
    <s v="Bush Andora Bookcase, Maple/Graphite Gray Finish"/>
    <n v="191.98400000000001"/>
    <n v="2"/>
    <n v="4.7995999999999999"/>
    <x v="4"/>
    <x v="5"/>
  </r>
  <r>
    <x v="116"/>
    <x v="112"/>
    <m/>
    <n v="41813"/>
    <x v="0"/>
    <s v="NP-18325"/>
    <s v="Naresj Patel"/>
    <x v="0"/>
    <s v="United States"/>
    <x v="61"/>
    <x v="25"/>
    <x v="0"/>
    <s v="FUR-FU-10004071"/>
    <s v="Furniture"/>
    <x v="3"/>
    <s v="Luxo Professional Magnifying Clamp-On Fluorescent Lamps"/>
    <n v="104.01"/>
    <n v="1"/>
    <n v="14.561400000000001"/>
    <x v="3"/>
    <x v="2"/>
  </r>
  <r>
    <x v="117"/>
    <x v="113"/>
    <m/>
    <n v="42986"/>
    <x v="1"/>
    <s v="Dl-13600"/>
    <s v="Dorris liebe"/>
    <x v="1"/>
    <s v="United States"/>
    <x v="59"/>
    <x v="15"/>
    <x v="2"/>
    <s v="FUR-FU-10002960"/>
    <s v="Furniture"/>
    <x v="3"/>
    <s v="Eldon 200 Class Desk Accessories, Burgundy"/>
    <n v="15.071999999999999"/>
    <n v="3"/>
    <n v="4.1448"/>
    <x v="6"/>
    <x v="4"/>
  </r>
  <r>
    <x v="118"/>
    <x v="114"/>
    <m/>
    <n v="42682"/>
    <x v="0"/>
    <s v="AS-10285"/>
    <s v="Alejandro Savely"/>
    <x v="1"/>
    <s v="United States"/>
    <x v="15"/>
    <x v="13"/>
    <x v="1"/>
    <s v="FUR-FU-10003394"/>
    <s v="Furniture"/>
    <x v="3"/>
    <s v="Tenex &quot;The Solids&quot; Textured Chair Mats"/>
    <n v="209.88"/>
    <n v="3"/>
    <n v="35.679600000000001"/>
    <x v="4"/>
    <x v="0"/>
  </r>
  <r>
    <x v="119"/>
    <x v="115"/>
    <m/>
    <n v="42108"/>
    <x v="1"/>
    <s v="JK-15370"/>
    <s v="Jay Kimmel"/>
    <x v="0"/>
    <s v="United States"/>
    <x v="62"/>
    <x v="2"/>
    <x v="1"/>
    <s v="FUR-TA-10002774"/>
    <s v="Furniture"/>
    <x v="2"/>
    <s v="Laminate Occasional Tables"/>
    <n v="369.91199999999998"/>
    <n v="3"/>
    <n v="-13.871700000000001"/>
    <x v="2"/>
    <x v="6"/>
  </r>
  <r>
    <x v="120"/>
    <x v="116"/>
    <m/>
    <n v="41977"/>
    <x v="2"/>
    <s v="DP-13165"/>
    <s v="David Philippe"/>
    <x v="0"/>
    <s v="United States"/>
    <x v="13"/>
    <x v="7"/>
    <x v="2"/>
    <s v="FUR-BO-10003272"/>
    <s v="Furniture"/>
    <x v="0"/>
    <s v="O'Sullivan Living Dimensions 5-Shelf Bookcases"/>
    <n v="883.92"/>
    <n v="5"/>
    <n v="-110.49"/>
    <x v="3"/>
    <x v="5"/>
  </r>
  <r>
    <x v="121"/>
    <x v="117"/>
    <m/>
    <n v="41653"/>
    <x v="2"/>
    <s v="SV-20365"/>
    <s v="Seth Vernon"/>
    <x v="0"/>
    <s v="United States"/>
    <x v="63"/>
    <x v="14"/>
    <x v="2"/>
    <s v="FUR-FU-10000010"/>
    <s v="Furniture"/>
    <x v="3"/>
    <s v="DAX Value U-Channel Document Frames, Easel Back"/>
    <n v="9.94"/>
    <n v="2"/>
    <n v="3.0813999999999999"/>
    <x v="0"/>
    <x v="8"/>
  </r>
  <r>
    <x v="122"/>
    <x v="118"/>
    <m/>
    <n v="43007"/>
    <x v="1"/>
    <s v="KC-16540"/>
    <s v="Kelly Collister"/>
    <x v="0"/>
    <s v="United States"/>
    <x v="19"/>
    <x v="15"/>
    <x v="2"/>
    <s v="FUR-FU-10002253"/>
    <s v="Furniture"/>
    <x v="3"/>
    <s v="Howard Miller 13&quot; Diameter Pewter Finish Round Wall Clock"/>
    <n v="103.056"/>
    <n v="3"/>
    <n v="24.4758"/>
    <x v="2"/>
    <x v="4"/>
  </r>
  <r>
    <x v="123"/>
    <x v="119"/>
    <m/>
    <n v="41797"/>
    <x v="1"/>
    <s v="CK-12325"/>
    <s v="Christine Kargatis"/>
    <x v="2"/>
    <s v="United States"/>
    <x v="4"/>
    <x v="4"/>
    <x v="1"/>
    <s v="FUR-FU-10000246"/>
    <s v="Furniture"/>
    <x v="3"/>
    <s v="Aluminum Document Frame"/>
    <n v="73.319999999999993"/>
    <n v="6"/>
    <n v="21.995999999999999"/>
    <x v="2"/>
    <x v="2"/>
  </r>
  <r>
    <x v="124"/>
    <x v="120"/>
    <m/>
    <n v="42723"/>
    <x v="1"/>
    <s v="MP-17965"/>
    <s v="Michael Paige"/>
    <x v="1"/>
    <s v="United States"/>
    <x v="25"/>
    <x v="17"/>
    <x v="3"/>
    <s v="FUR-TA-10000198"/>
    <s v="Furniture"/>
    <x v="2"/>
    <s v="Chromcraft Bull-Nose Wood Oval Conference Tables &amp; Bases"/>
    <n v="1652.94"/>
    <n v="3"/>
    <n v="231.41159999999999"/>
    <x v="4"/>
    <x v="5"/>
  </r>
  <r>
    <x v="125"/>
    <x v="121"/>
    <m/>
    <n v="41925"/>
    <x v="1"/>
    <s v="MR-17545"/>
    <s v="Mathew Reese"/>
    <x v="2"/>
    <s v="United States"/>
    <x v="3"/>
    <x v="3"/>
    <x v="2"/>
    <s v="FUR-FU-10000222"/>
    <s v="Furniture"/>
    <x v="3"/>
    <s v="Seth Thomas 16&quot; Steel Case Clock"/>
    <n v="129.91999999999999"/>
    <n v="5"/>
    <n v="21.111999999999998"/>
    <x v="6"/>
    <x v="1"/>
  </r>
  <r>
    <x v="126"/>
    <x v="122"/>
    <m/>
    <n v="42710"/>
    <x v="2"/>
    <s v="EG-13900"/>
    <s v="Emily Grady"/>
    <x v="0"/>
    <s v="United States"/>
    <x v="64"/>
    <x v="7"/>
    <x v="2"/>
    <s v="FUR-TA-10002228"/>
    <s v="Furniture"/>
    <x v="2"/>
    <s v="Bevis Traditional Conference Table Top, Plinth Base"/>
    <n v="400.03199999999998"/>
    <n v="2"/>
    <n v="-153.34559999999999"/>
    <x v="0"/>
    <x v="5"/>
  </r>
  <r>
    <x v="126"/>
    <x v="122"/>
    <m/>
    <n v="42710"/>
    <x v="2"/>
    <s v="EG-13900"/>
    <s v="Emily Grady"/>
    <x v="0"/>
    <s v="United States"/>
    <x v="64"/>
    <x v="7"/>
    <x v="2"/>
    <s v="FUR-CH-10002965"/>
    <s v="Furniture"/>
    <x v="1"/>
    <s v="Global Leather Highback Executive Chair with Pneumatic Height Adjustment, Black"/>
    <n v="542.64599999999996"/>
    <n v="3"/>
    <n v="102.49979999999999"/>
    <x v="0"/>
    <x v="5"/>
  </r>
  <r>
    <x v="127"/>
    <x v="123"/>
    <m/>
    <n v="42760"/>
    <x v="1"/>
    <s v="DS-13030"/>
    <s v="Darrin Sayre"/>
    <x v="2"/>
    <s v="United States"/>
    <x v="15"/>
    <x v="13"/>
    <x v="1"/>
    <s v="FUR-BO-10001619"/>
    <s v="Furniture"/>
    <x v="0"/>
    <s v="O'Sullivan Cherrywood Estates Traditional Bookcase"/>
    <n v="84.98"/>
    <n v="1"/>
    <n v="18.695599999999999"/>
    <x v="4"/>
    <x v="8"/>
  </r>
  <r>
    <x v="128"/>
    <x v="124"/>
    <m/>
    <n v="41786"/>
    <x v="3"/>
    <s v="MH-17785"/>
    <s v="Maya Herman"/>
    <x v="1"/>
    <s v="United States"/>
    <x v="53"/>
    <x v="2"/>
    <x v="1"/>
    <s v="FUR-TA-10002607"/>
    <s v="Furniture"/>
    <x v="2"/>
    <s v="KI Conference Tables"/>
    <n v="567.12"/>
    <n v="10"/>
    <n v="-28.356000000000002"/>
    <x v="7"/>
    <x v="7"/>
  </r>
  <r>
    <x v="129"/>
    <x v="125"/>
    <m/>
    <n v="43014"/>
    <x v="1"/>
    <s v="RF-19735"/>
    <s v="Roland Fjeld"/>
    <x v="0"/>
    <s v="United States"/>
    <x v="65"/>
    <x v="17"/>
    <x v="3"/>
    <s v="FUR-FU-10003577"/>
    <s v="Furniture"/>
    <x v="3"/>
    <s v="Nu-Dell Leatherette Frames"/>
    <n v="157.74"/>
    <n v="11"/>
    <n v="56.7864"/>
    <x v="4"/>
    <x v="1"/>
  </r>
  <r>
    <x v="130"/>
    <x v="88"/>
    <m/>
    <n v="42350"/>
    <x v="1"/>
    <s v="MS-17830"/>
    <s v="Melanie Seite"/>
    <x v="0"/>
    <s v="United States"/>
    <x v="2"/>
    <x v="2"/>
    <x v="1"/>
    <s v="FUR-FU-10002759"/>
    <s v="Furniture"/>
    <x v="3"/>
    <s v="12-1/2 Diameter Round Wall Clock"/>
    <n v="79.92"/>
    <n v="4"/>
    <n v="28.7712"/>
    <x v="2"/>
    <x v="5"/>
  </r>
  <r>
    <x v="131"/>
    <x v="126"/>
    <m/>
    <n v="42635"/>
    <x v="1"/>
    <s v="NB-18655"/>
    <s v="Nona Balk"/>
    <x v="1"/>
    <s v="United States"/>
    <x v="51"/>
    <x v="1"/>
    <x v="0"/>
    <s v="FUR-TA-10001095"/>
    <s v="Furniture"/>
    <x v="2"/>
    <s v="Chromcraft Round Conference Tables"/>
    <n v="383.43799999999999"/>
    <n v="4"/>
    <n v="-167.3184"/>
    <x v="4"/>
    <x v="4"/>
  </r>
  <r>
    <x v="132"/>
    <x v="127"/>
    <m/>
    <n v="41779"/>
    <x v="1"/>
    <s v="AJ-10795"/>
    <s v="Anthony Johnson"/>
    <x v="1"/>
    <s v="United States"/>
    <x v="66"/>
    <x v="1"/>
    <x v="0"/>
    <s v="FUR-FU-10004306"/>
    <s v="Furniture"/>
    <x v="3"/>
    <s v="Electrix Halogen Magnifier Lamp"/>
    <n v="310.88"/>
    <n v="2"/>
    <n v="23.315999999999999"/>
    <x v="6"/>
    <x v="7"/>
  </r>
  <r>
    <x v="133"/>
    <x v="128"/>
    <m/>
    <n v="42514"/>
    <x v="1"/>
    <s v="LE-16810"/>
    <s v="Laurel Elliston"/>
    <x v="0"/>
    <s v="United States"/>
    <x v="58"/>
    <x v="25"/>
    <x v="0"/>
    <s v="FUR-CH-10003746"/>
    <s v="Furniture"/>
    <x v="1"/>
    <s v="Hon 4070 Series Pagoda Round Back Stacking Chairs"/>
    <n v="641.96"/>
    <n v="2"/>
    <n v="179.74879999999999"/>
    <x v="2"/>
    <x v="7"/>
  </r>
  <r>
    <x v="134"/>
    <x v="129"/>
    <m/>
    <n v="42771"/>
    <x v="1"/>
    <s v="BV-11245"/>
    <s v="Benjamin Venier"/>
    <x v="1"/>
    <s v="United States"/>
    <x v="67"/>
    <x v="26"/>
    <x v="3"/>
    <s v="FUR-FU-10002597"/>
    <s v="Furniture"/>
    <x v="3"/>
    <s v="C-Line Magnetic Cubicle Keepers, Clear Polypropylene"/>
    <n v="34.58"/>
    <n v="7"/>
    <n v="14.5236"/>
    <x v="6"/>
    <x v="8"/>
  </r>
  <r>
    <x v="135"/>
    <x v="130"/>
    <m/>
    <n v="42239"/>
    <x v="2"/>
    <s v="NZ-18565"/>
    <s v="Nick Zandusky"/>
    <x v="2"/>
    <s v="United States"/>
    <x v="28"/>
    <x v="2"/>
    <x v="1"/>
    <s v="FUR-CH-10002335"/>
    <s v="Furniture"/>
    <x v="1"/>
    <s v="Hon GuestStacker Chair"/>
    <n v="544.00800000000004"/>
    <n v="3"/>
    <n v="40.800600000000003"/>
    <x v="3"/>
    <x v="10"/>
  </r>
  <r>
    <x v="136"/>
    <x v="131"/>
    <m/>
    <n v="42283"/>
    <x v="0"/>
    <s v="BM-11785"/>
    <s v="Bryan Mills"/>
    <x v="0"/>
    <s v="United States"/>
    <x v="29"/>
    <x v="15"/>
    <x v="2"/>
    <s v="FUR-BO-10004409"/>
    <s v="Furniture"/>
    <x v="0"/>
    <s v="Safco Value Mate Series Steel Bookcases, Baked Enamel Finish on Steel, Gray"/>
    <n v="35.49"/>
    <n v="1"/>
    <n v="-15.615600000000001"/>
    <x v="0"/>
    <x v="1"/>
  </r>
  <r>
    <x v="137"/>
    <x v="132"/>
    <m/>
    <n v="42354"/>
    <x v="1"/>
    <s v="LT-17110"/>
    <s v="Liz Thompson"/>
    <x v="0"/>
    <s v="United States"/>
    <x v="68"/>
    <x v="2"/>
    <x v="1"/>
    <s v="FUR-CH-10004675"/>
    <s v="Furniture"/>
    <x v="1"/>
    <s v="Lifetime Advantage Folding Chairs, 4/Carton"/>
    <n v="348.928"/>
    <n v="2"/>
    <n v="34.892800000000001"/>
    <x v="4"/>
    <x v="5"/>
  </r>
  <r>
    <x v="138"/>
    <x v="133"/>
    <m/>
    <n v="42185"/>
    <x v="1"/>
    <s v="SA-20830"/>
    <s v="Sue Ann Reed"/>
    <x v="0"/>
    <s v="United States"/>
    <x v="52"/>
    <x v="25"/>
    <x v="0"/>
    <s v="FUR-CH-10003199"/>
    <s v="Furniture"/>
    <x v="1"/>
    <s v="Office Star - Contemporary Task Swivel Chair"/>
    <n v="332.94"/>
    <n v="3"/>
    <n v="79.905600000000007"/>
    <x v="4"/>
    <x v="2"/>
  </r>
  <r>
    <x v="139"/>
    <x v="61"/>
    <m/>
    <n v="42341"/>
    <x v="1"/>
    <s v="CD-11920"/>
    <s v="Carlos Daly"/>
    <x v="0"/>
    <s v="United States"/>
    <x v="69"/>
    <x v="2"/>
    <x v="1"/>
    <s v="FUR-CH-10002647"/>
    <s v="Furniture"/>
    <x v="1"/>
    <s v="Situations Contoured Folding Chairs, 4/Set"/>
    <n v="283.92"/>
    <n v="5"/>
    <n v="17.745000000000001"/>
    <x v="6"/>
    <x v="0"/>
  </r>
  <r>
    <x v="140"/>
    <x v="134"/>
    <m/>
    <n v="42789"/>
    <x v="2"/>
    <s v="HW-14935"/>
    <s v="Helen Wasserman"/>
    <x v="1"/>
    <s v="United States"/>
    <x v="53"/>
    <x v="2"/>
    <x v="1"/>
    <s v="FUR-FU-10004090"/>
    <s v="Furniture"/>
    <x v="3"/>
    <s v="Executive Impressions 14&quot; Contract Wall Clock"/>
    <n v="22.23"/>
    <n v="1"/>
    <n v="7.3358999999999996"/>
    <x v="0"/>
    <x v="11"/>
  </r>
  <r>
    <x v="141"/>
    <x v="135"/>
    <m/>
    <n v="42849"/>
    <x v="2"/>
    <s v="GM-14440"/>
    <s v="Gary McGarr"/>
    <x v="0"/>
    <s v="United States"/>
    <x v="28"/>
    <x v="2"/>
    <x v="1"/>
    <s v="FUR-FU-10000794"/>
    <s v="Furniture"/>
    <x v="3"/>
    <s v="Eldon Stackable Tray, Side-Load, Legal, Smoke"/>
    <n v="18.28"/>
    <n v="2"/>
    <n v="6.2152000000000003"/>
    <x v="3"/>
    <x v="6"/>
  </r>
  <r>
    <x v="142"/>
    <x v="136"/>
    <m/>
    <n v="42040"/>
    <x v="2"/>
    <s v="AA-10375"/>
    <s v="Allen Armold"/>
    <x v="0"/>
    <s v="United States"/>
    <x v="70"/>
    <x v="27"/>
    <x v="3"/>
    <s v="FUR-FU-10003347"/>
    <s v="Furniture"/>
    <x v="3"/>
    <s v="Coloredge Poster Frame"/>
    <n v="28.4"/>
    <n v="2"/>
    <n v="11.076000000000001"/>
    <x v="3"/>
    <x v="11"/>
  </r>
  <r>
    <x v="143"/>
    <x v="137"/>
    <m/>
    <n v="41927"/>
    <x v="2"/>
    <s v="ZC-21910"/>
    <s v="Zuschuss Carroll"/>
    <x v="0"/>
    <s v="United States"/>
    <x v="71"/>
    <x v="13"/>
    <x v="1"/>
    <s v="FUR-TA-10002903"/>
    <s v="Furniture"/>
    <x v="2"/>
    <s v="Bevis Round Bullnose 29&quot; High Table Top"/>
    <n v="1298.55"/>
    <n v="5"/>
    <n v="311.65199999999999"/>
    <x v="3"/>
    <x v="1"/>
  </r>
  <r>
    <x v="144"/>
    <x v="138"/>
    <m/>
    <n v="42869"/>
    <x v="3"/>
    <s v="PJ-19015"/>
    <s v="Pauline Johnson"/>
    <x v="0"/>
    <s v="United States"/>
    <x v="72"/>
    <x v="2"/>
    <x v="1"/>
    <s v="FUR-FU-10000794"/>
    <s v="Furniture"/>
    <x v="3"/>
    <s v="Eldon Stackable Tray, Side-Load, Legal, Smoke"/>
    <n v="18.28"/>
    <n v="2"/>
    <n v="6.2152000000000003"/>
    <x v="7"/>
    <x v="7"/>
  </r>
  <r>
    <x v="145"/>
    <x v="139"/>
    <m/>
    <n v="41822"/>
    <x v="1"/>
    <s v="CA-12775"/>
    <s v="Cynthia Arntzen"/>
    <x v="0"/>
    <s v="United States"/>
    <x v="3"/>
    <x v="3"/>
    <x v="2"/>
    <s v="FUR-CH-10001394"/>
    <s v="Furniture"/>
    <x v="1"/>
    <s v="Global Leather Executive Chair"/>
    <n v="1228.4649999999999"/>
    <n v="5"/>
    <n v="0"/>
    <x v="4"/>
    <x v="2"/>
  </r>
  <r>
    <x v="146"/>
    <x v="140"/>
    <m/>
    <n v="42907"/>
    <x v="0"/>
    <s v="JE-15745"/>
    <s v="Joel Eaton"/>
    <x v="0"/>
    <s v="United States"/>
    <x v="73"/>
    <x v="0"/>
    <x v="0"/>
    <s v="FUR-CH-10000665"/>
    <s v="Furniture"/>
    <x v="1"/>
    <s v="Global Airflow Leather Mesh Back Chair, Black"/>
    <n v="301.95999999999998"/>
    <n v="2"/>
    <n v="90.587999999999994"/>
    <x v="2"/>
    <x v="2"/>
  </r>
  <r>
    <x v="147"/>
    <x v="141"/>
    <m/>
    <n v="42333"/>
    <x v="1"/>
    <s v="BM-11650"/>
    <s v="Brian Moss"/>
    <x v="1"/>
    <s v="United States"/>
    <x v="13"/>
    <x v="7"/>
    <x v="2"/>
    <s v="FUR-BO-10001519"/>
    <s v="Furniture"/>
    <x v="0"/>
    <s v="O'Sullivan 3-Shelf Heavy-Duty Bookcases"/>
    <n v="186.048"/>
    <n v="4"/>
    <n v="9.3024000000000004"/>
    <x v="2"/>
    <x v="0"/>
  </r>
  <r>
    <x v="148"/>
    <x v="142"/>
    <m/>
    <n v="42294"/>
    <x v="1"/>
    <s v="AF-10885"/>
    <s v="Art Foster"/>
    <x v="0"/>
    <s v="United States"/>
    <x v="74"/>
    <x v="0"/>
    <x v="0"/>
    <s v="FUR-CH-10001891"/>
    <s v="Furniture"/>
    <x v="1"/>
    <s v="Global Deluxe Office Fabric Chairs"/>
    <n v="287.94"/>
    <n v="3"/>
    <n v="77.743799999999993"/>
    <x v="4"/>
    <x v="1"/>
  </r>
  <r>
    <x v="149"/>
    <x v="143"/>
    <m/>
    <n v="42741"/>
    <x v="1"/>
    <s v="GA-14725"/>
    <s v="Guy Armstrong"/>
    <x v="0"/>
    <s v="United States"/>
    <x v="75"/>
    <x v="15"/>
    <x v="2"/>
    <s v="FUR-FU-10003878"/>
    <s v="Furniture"/>
    <x v="3"/>
    <s v="Linden 10&quot; Round Wall Clock, Black"/>
    <n v="48.896000000000001"/>
    <n v="4"/>
    <n v="8.5568000000000008"/>
    <x v="2"/>
    <x v="8"/>
  </r>
  <r>
    <x v="150"/>
    <x v="144"/>
    <m/>
    <n v="42424"/>
    <x v="1"/>
    <s v="GT-14710"/>
    <s v="Greg Tran"/>
    <x v="0"/>
    <s v="United States"/>
    <x v="13"/>
    <x v="7"/>
    <x v="2"/>
    <s v="FUR-FU-10004090"/>
    <s v="Furniture"/>
    <x v="3"/>
    <s v="Executive Impressions 14&quot; Contract Wall Clock"/>
    <n v="44.46"/>
    <n v="2"/>
    <n v="14.671799999999999"/>
    <x v="2"/>
    <x v="11"/>
  </r>
  <r>
    <x v="151"/>
    <x v="145"/>
    <m/>
    <n v="41654"/>
    <x v="1"/>
    <s v="AJ-10780"/>
    <s v="Anthony Jacobs"/>
    <x v="1"/>
    <s v="United States"/>
    <x v="76"/>
    <x v="25"/>
    <x v="0"/>
    <s v="FUR-FU-10000965"/>
    <s v="Furniture"/>
    <x v="3"/>
    <s v="Howard Miller 11-1/2&quot; Diameter Ridgewood Wall Clock"/>
    <n v="51.94"/>
    <n v="1"/>
    <n v="21.295400000000001"/>
    <x v="2"/>
    <x v="8"/>
  </r>
  <r>
    <x v="152"/>
    <x v="146"/>
    <m/>
    <n v="42390"/>
    <x v="1"/>
    <s v="CC-12430"/>
    <s v="Chuck Clark"/>
    <x v="2"/>
    <s v="United States"/>
    <x v="41"/>
    <x v="28"/>
    <x v="2"/>
    <s v="FUR-FU-10004017"/>
    <s v="Furniture"/>
    <x v="3"/>
    <s v="Tenex Contemporary Contur Chairmats for Low and Medium Pile Carpet, Computer, 39&quot; x 49&quot;"/>
    <n v="322.58999999999997"/>
    <n v="3"/>
    <n v="64.518000000000001"/>
    <x v="4"/>
    <x v="8"/>
  </r>
  <r>
    <x v="153"/>
    <x v="147"/>
    <m/>
    <n v="43071"/>
    <x v="0"/>
    <s v="HP-14815"/>
    <s v="Harold Pawlan"/>
    <x v="2"/>
    <s v="United States"/>
    <x v="13"/>
    <x v="7"/>
    <x v="2"/>
    <s v="FUR-CH-10004287"/>
    <s v="Furniture"/>
    <x v="1"/>
    <s v="SAFCO Arco Folding Chair"/>
    <n v="1242.9000000000001"/>
    <n v="5"/>
    <n v="262.39"/>
    <x v="3"/>
    <x v="0"/>
  </r>
  <r>
    <x v="154"/>
    <x v="148"/>
    <m/>
    <n v="42667"/>
    <x v="2"/>
    <s v="PM-19135"/>
    <s v="Peter McVee"/>
    <x v="2"/>
    <s v="United States"/>
    <x v="25"/>
    <x v="17"/>
    <x v="3"/>
    <s v="FUR-FU-10000732"/>
    <s v="Furniture"/>
    <x v="3"/>
    <s v="Eldon 200 Class Desk Accessories"/>
    <n v="31.4"/>
    <n v="5"/>
    <n v="10.048"/>
    <x v="3"/>
    <x v="1"/>
  </r>
  <r>
    <x v="155"/>
    <x v="149"/>
    <m/>
    <n v="41763"/>
    <x v="1"/>
    <s v="LL-16840"/>
    <s v="Lauren Leatherbury"/>
    <x v="0"/>
    <s v="United States"/>
    <x v="77"/>
    <x v="7"/>
    <x v="2"/>
    <s v="FUR-FU-10001424"/>
    <s v="Furniture"/>
    <x v="3"/>
    <s v="Dax Clear Box Frame"/>
    <n v="17.46"/>
    <n v="2"/>
    <n v="5.9363999999999999"/>
    <x v="2"/>
    <x v="6"/>
  </r>
  <r>
    <x v="156"/>
    <x v="150"/>
    <m/>
    <n v="43103"/>
    <x v="1"/>
    <s v="PO-18865"/>
    <s v="Patrick O'Donnell"/>
    <x v="0"/>
    <s v="United States"/>
    <x v="13"/>
    <x v="7"/>
    <x v="2"/>
    <s v="FUR-BO-10003441"/>
    <s v="Furniture"/>
    <x v="0"/>
    <s v="Bush Westfield Collection Bookcases, Fully Assembled"/>
    <n v="323.13600000000002"/>
    <n v="4"/>
    <n v="12.117599999999999"/>
    <x v="4"/>
    <x v="5"/>
  </r>
  <r>
    <x v="157"/>
    <x v="151"/>
    <m/>
    <n v="42162"/>
    <x v="1"/>
    <s v="SC-20050"/>
    <s v="Sample Company A"/>
    <x v="2"/>
    <s v="United States"/>
    <x v="78"/>
    <x v="19"/>
    <x v="2"/>
    <s v="FUR-FU-10001935"/>
    <s v="Furniture"/>
    <x v="3"/>
    <s v="3M Hangers With Command Adhesive"/>
    <n v="22.2"/>
    <n v="6"/>
    <n v="9.1020000000000003"/>
    <x v="1"/>
    <x v="7"/>
  </r>
  <r>
    <x v="158"/>
    <x v="152"/>
    <m/>
    <n v="43068"/>
    <x v="2"/>
    <s v="BM-11650"/>
    <s v="Brian Moss"/>
    <x v="1"/>
    <s v="United States"/>
    <x v="79"/>
    <x v="16"/>
    <x v="3"/>
    <s v="FUR-FU-10004091"/>
    <s v="Furniture"/>
    <x v="3"/>
    <s v="Howard Miller 13&quot; Diameter Goldtone Round Wall Clock"/>
    <n v="46.94"/>
    <n v="1"/>
    <n v="19.2454"/>
    <x v="3"/>
    <x v="0"/>
  </r>
  <r>
    <x v="159"/>
    <x v="153"/>
    <m/>
    <n v="41811"/>
    <x v="1"/>
    <s v="KL-16555"/>
    <s v="Kelly Lampkin"/>
    <x v="1"/>
    <s v="United States"/>
    <x v="21"/>
    <x v="5"/>
    <x v="3"/>
    <s v="FUR-TA-10001520"/>
    <s v="Furniture"/>
    <x v="2"/>
    <s v="Lesro Sheffield Collection Coffee Table, End Table, Center Table, Corner Table"/>
    <n v="99.918000000000006"/>
    <n v="2"/>
    <n v="-18.5562"/>
    <x v="6"/>
    <x v="2"/>
  </r>
  <r>
    <x v="159"/>
    <x v="153"/>
    <m/>
    <n v="41811"/>
    <x v="1"/>
    <s v="KL-16555"/>
    <s v="Kelly Lampkin"/>
    <x v="1"/>
    <s v="United States"/>
    <x v="21"/>
    <x v="5"/>
    <x v="3"/>
    <s v="FUR-CH-10003379"/>
    <s v="Furniture"/>
    <x v="1"/>
    <s v="Global Commerce Series High-Back Swivel/Tilt Chairs"/>
    <n v="797.94399999999996"/>
    <n v="4"/>
    <n v="-56.996000000000002"/>
    <x v="6"/>
    <x v="2"/>
  </r>
  <r>
    <x v="160"/>
    <x v="154"/>
    <m/>
    <n v="42724"/>
    <x v="1"/>
    <s v="RW-19630"/>
    <s v="Rob Williams"/>
    <x v="1"/>
    <s v="United States"/>
    <x v="80"/>
    <x v="2"/>
    <x v="1"/>
    <s v="FUR-TA-10000577"/>
    <s v="Furniture"/>
    <x v="2"/>
    <s v="Bretford CR4500 Series Slim Rectangular Table"/>
    <n v="1114.2719999999999"/>
    <n v="4"/>
    <n v="41.785200000000003"/>
    <x v="1"/>
    <x v="5"/>
  </r>
  <r>
    <x v="161"/>
    <x v="155"/>
    <m/>
    <n v="42213"/>
    <x v="2"/>
    <s v="CA-12775"/>
    <s v="Cynthia Arntzen"/>
    <x v="0"/>
    <s v="United States"/>
    <x v="81"/>
    <x v="22"/>
    <x v="1"/>
    <s v="FUR-TA-10002356"/>
    <s v="Furniture"/>
    <x v="2"/>
    <s v="Bevis Boat-Shaped Conference Table"/>
    <n v="393.16500000000002"/>
    <n v="3"/>
    <n v="-204.44579999999999"/>
    <x v="3"/>
    <x v="3"/>
  </r>
  <r>
    <x v="162"/>
    <x v="156"/>
    <m/>
    <n v="43071"/>
    <x v="1"/>
    <s v="RB-19795"/>
    <s v="Ross Baird"/>
    <x v="2"/>
    <s v="United States"/>
    <x v="3"/>
    <x v="3"/>
    <x v="2"/>
    <s v="FUR-FU-10003601"/>
    <s v="Furniture"/>
    <x v="3"/>
    <s v="Deflect-o RollaMat Studded, Beveled Mat for Medium Pile Carpeting"/>
    <n v="516.48800000000006"/>
    <n v="7"/>
    <n v="-12.9122"/>
    <x v="4"/>
    <x v="0"/>
  </r>
  <r>
    <x v="162"/>
    <x v="156"/>
    <m/>
    <n v="43071"/>
    <x v="1"/>
    <s v="RB-19795"/>
    <s v="Ross Baird"/>
    <x v="2"/>
    <s v="United States"/>
    <x v="3"/>
    <x v="3"/>
    <x v="2"/>
    <s v="FUR-FU-10000576"/>
    <s v="Furniture"/>
    <x v="3"/>
    <s v="Luxo Professional Fluorescent Magnifier Lamp with Clamp-Mount Base"/>
    <n v="1007.232"/>
    <n v="6"/>
    <n v="75.542400000000001"/>
    <x v="4"/>
    <x v="0"/>
  </r>
  <r>
    <x v="162"/>
    <x v="156"/>
    <m/>
    <n v="43071"/>
    <x v="1"/>
    <s v="RB-19795"/>
    <s v="Ross Baird"/>
    <x v="2"/>
    <s v="United States"/>
    <x v="3"/>
    <x v="3"/>
    <x v="2"/>
    <s v="FUR-TA-10004154"/>
    <s v="Furniture"/>
    <x v="2"/>
    <s v="Riverside Furniture Oval Coffee Table, Oval End Table, End Table with Drawer"/>
    <n v="2065.3200000000002"/>
    <n v="12"/>
    <n v="-619.596"/>
    <x v="4"/>
    <x v="0"/>
  </r>
  <r>
    <x v="163"/>
    <x v="157"/>
    <m/>
    <n v="42832"/>
    <x v="1"/>
    <s v="KH-16360"/>
    <s v="Katherine Hughes"/>
    <x v="0"/>
    <s v="United States"/>
    <x v="3"/>
    <x v="3"/>
    <x v="2"/>
    <s v="FUR-FU-10001940"/>
    <s v="Furniture"/>
    <x v="3"/>
    <s v="Staple-based wall hangings"/>
    <n v="25.472000000000001"/>
    <n v="4"/>
    <n v="7.6416000000000004"/>
    <x v="4"/>
    <x v="6"/>
  </r>
  <r>
    <x v="164"/>
    <x v="158"/>
    <m/>
    <n v="43101"/>
    <x v="1"/>
    <s v="GH-14665"/>
    <s v="Greg Hansen"/>
    <x v="0"/>
    <s v="United States"/>
    <x v="82"/>
    <x v="5"/>
    <x v="3"/>
    <s v="FUR-BO-10004709"/>
    <s v="Furniture"/>
    <x v="0"/>
    <s v="Bush Westfield Collection Bookcases, Medium Cherry Finish"/>
    <n v="78.852800000000002"/>
    <n v="2"/>
    <n v="-11.596"/>
    <x v="4"/>
    <x v="5"/>
  </r>
  <r>
    <x v="165"/>
    <x v="159"/>
    <m/>
    <n v="42269"/>
    <x v="3"/>
    <s v="DL-12925"/>
    <s v="Daniel Lacy"/>
    <x v="0"/>
    <s v="United States"/>
    <x v="64"/>
    <x v="2"/>
    <x v="1"/>
    <s v="FUR-FU-10004188"/>
    <s v="Furniture"/>
    <x v="3"/>
    <s v="Luxo Professional Combination Clamp-On Lamps"/>
    <n v="204.6"/>
    <n v="2"/>
    <n v="53.195999999999998"/>
    <x v="7"/>
    <x v="4"/>
  </r>
  <r>
    <x v="166"/>
    <x v="160"/>
    <m/>
    <n v="43058"/>
    <x v="1"/>
    <s v="LW-16990"/>
    <s v="Lindsay Williams"/>
    <x v="1"/>
    <s v="United States"/>
    <x v="28"/>
    <x v="2"/>
    <x v="1"/>
    <s v="FUR-CH-10002965"/>
    <s v="Furniture"/>
    <x v="1"/>
    <s v="Global Leather Highback Executive Chair with Pneumatic Height Adjustment, Black"/>
    <n v="321.56799999999998"/>
    <n v="2"/>
    <n v="28.1372"/>
    <x v="2"/>
    <x v="0"/>
  </r>
  <r>
    <x v="167"/>
    <x v="161"/>
    <m/>
    <n v="41657"/>
    <x v="0"/>
    <s v="DL-13315"/>
    <s v="Delfina Latchford"/>
    <x v="0"/>
    <s v="United States"/>
    <x v="3"/>
    <x v="3"/>
    <x v="2"/>
    <s v="FUR-FU-10001095"/>
    <s v="Furniture"/>
    <x v="3"/>
    <s v="DAX Black Cherry Wood-Tone Poster Frame"/>
    <n v="127.104"/>
    <n v="6"/>
    <n v="28.598400000000002"/>
    <x v="3"/>
    <x v="8"/>
  </r>
  <r>
    <x v="168"/>
    <x v="162"/>
    <m/>
    <n v="42651"/>
    <x v="1"/>
    <s v="EB-13870"/>
    <s v="Emily Burns"/>
    <x v="0"/>
    <s v="United States"/>
    <x v="13"/>
    <x v="7"/>
    <x v="2"/>
    <s v="FUR-CH-10003199"/>
    <s v="Furniture"/>
    <x v="1"/>
    <s v="Office Star - Contemporary Task Swivel Chair"/>
    <n v="599.29200000000003"/>
    <n v="6"/>
    <n v="93.223200000000006"/>
    <x v="2"/>
    <x v="1"/>
  </r>
  <r>
    <x v="169"/>
    <x v="163"/>
    <m/>
    <n v="41957"/>
    <x v="0"/>
    <s v="TZ-21580"/>
    <s v="Tracy Zic"/>
    <x v="0"/>
    <s v="United States"/>
    <x v="74"/>
    <x v="12"/>
    <x v="1"/>
    <s v="FUR-CH-10000665"/>
    <s v="Furniture"/>
    <x v="1"/>
    <s v="Global Airflow Leather Mesh Back Chair, Black"/>
    <n v="603.91999999999996"/>
    <n v="5"/>
    <n v="75.489999999999995"/>
    <x v="0"/>
    <x v="0"/>
  </r>
  <r>
    <x v="170"/>
    <x v="164"/>
    <m/>
    <n v="42881"/>
    <x v="1"/>
    <s v="JG-15805"/>
    <s v="John Grady"/>
    <x v="1"/>
    <s v="United States"/>
    <x v="83"/>
    <x v="7"/>
    <x v="2"/>
    <s v="FUR-FU-10004071"/>
    <s v="Furniture"/>
    <x v="3"/>
    <s v="Luxo Professional Magnifying Clamp-On Fluorescent Lamps"/>
    <n v="520.04999999999995"/>
    <n v="5"/>
    <n v="72.807000000000002"/>
    <x v="2"/>
    <x v="7"/>
  </r>
  <r>
    <x v="171"/>
    <x v="165"/>
    <m/>
    <n v="42094"/>
    <x v="0"/>
    <s v="SL-20155"/>
    <s v="Sara Luxemburg"/>
    <x v="2"/>
    <s v="United States"/>
    <x v="51"/>
    <x v="1"/>
    <x v="0"/>
    <s v="FUR-CH-10004086"/>
    <s v="Furniture"/>
    <x v="1"/>
    <s v="Hon 4070 Series Pagoda Armless Upholstered Stacking Chairs"/>
    <n v="1166.92"/>
    <n v="5"/>
    <n v="131.27850000000001"/>
    <x v="3"/>
    <x v="9"/>
  </r>
  <r>
    <x v="172"/>
    <x v="166"/>
    <m/>
    <n v="42311"/>
    <x v="1"/>
    <s v="RD-19585"/>
    <s v="Rob Dowd"/>
    <x v="0"/>
    <s v="United States"/>
    <x v="0"/>
    <x v="0"/>
    <x v="0"/>
    <s v="FUR-FU-10002885"/>
    <s v="Furniture"/>
    <x v="3"/>
    <s v="Magna Visual Magnetic Picture Hangers"/>
    <n v="24.1"/>
    <n v="5"/>
    <n v="9.1579999999999995"/>
    <x v="6"/>
    <x v="1"/>
  </r>
  <r>
    <x v="172"/>
    <x v="166"/>
    <m/>
    <n v="42311"/>
    <x v="1"/>
    <s v="RD-19585"/>
    <s v="Rob Dowd"/>
    <x v="0"/>
    <s v="United States"/>
    <x v="0"/>
    <x v="0"/>
    <x v="0"/>
    <s v="FUR-FU-10001918"/>
    <s v="Furniture"/>
    <x v="3"/>
    <s v="C-Line Cubicle Keepers Polyproplyene Holder With Velcro Backings"/>
    <n v="33.11"/>
    <n v="7"/>
    <n v="12.9129"/>
    <x v="6"/>
    <x v="1"/>
  </r>
  <r>
    <x v="173"/>
    <x v="167"/>
    <m/>
    <n v="42216"/>
    <x v="3"/>
    <s v="RH-19495"/>
    <s v="Rick Hansen"/>
    <x v="0"/>
    <s v="United States"/>
    <x v="13"/>
    <x v="7"/>
    <x v="2"/>
    <s v="FUR-TA-10002903"/>
    <s v="Furniture"/>
    <x v="2"/>
    <s v="Bevis Round Bullnose 29&quot; High Table Top"/>
    <n v="1090.7819999999999"/>
    <n v="7"/>
    <n v="-290.87520000000001"/>
    <x v="7"/>
    <x v="3"/>
  </r>
  <r>
    <x v="174"/>
    <x v="168"/>
    <m/>
    <n v="41969"/>
    <x v="2"/>
    <s v="VG-21790"/>
    <s v="Vivek Gonzalez"/>
    <x v="0"/>
    <s v="United States"/>
    <x v="53"/>
    <x v="2"/>
    <x v="1"/>
    <s v="FUR-FU-10001602"/>
    <s v="Furniture"/>
    <x v="3"/>
    <s v="Eldon Delta Triangular Chair Mat, 52&quot; x 58&quot;, Clear"/>
    <n v="151.72"/>
    <n v="4"/>
    <n v="27.3096"/>
    <x v="3"/>
    <x v="0"/>
  </r>
  <r>
    <x v="175"/>
    <x v="169"/>
    <m/>
    <n v="42907"/>
    <x v="0"/>
    <s v="PF-19165"/>
    <s v="Philip Fox"/>
    <x v="0"/>
    <s v="United States"/>
    <x v="84"/>
    <x v="13"/>
    <x v="1"/>
    <s v="FUR-FU-10004848"/>
    <s v="Furniture"/>
    <x v="3"/>
    <s v="Howard Miller 13-3/4&quot; Diameter Brushed Chrome Round Wall Clock"/>
    <n v="155.25"/>
    <n v="3"/>
    <n v="46.575000000000003"/>
    <x v="4"/>
    <x v="2"/>
  </r>
  <r>
    <x v="176"/>
    <x v="170"/>
    <m/>
    <n v="42362"/>
    <x v="0"/>
    <s v="JS-15880"/>
    <s v="John Stevenson"/>
    <x v="0"/>
    <s v="United States"/>
    <x v="15"/>
    <x v="13"/>
    <x v="1"/>
    <s v="FUR-TA-10003748"/>
    <s v="Furniture"/>
    <x v="2"/>
    <s v="Bevis 36 x 72 Conference Tables"/>
    <n v="1618.37"/>
    <n v="13"/>
    <n v="356.04140000000001"/>
    <x v="0"/>
    <x v="5"/>
  </r>
  <r>
    <x v="177"/>
    <x v="171"/>
    <m/>
    <n v="42195"/>
    <x v="1"/>
    <s v="KM-16225"/>
    <s v="Kalyca Meade"/>
    <x v="1"/>
    <s v="United States"/>
    <x v="13"/>
    <x v="7"/>
    <x v="2"/>
    <s v="FUR-FU-10002191"/>
    <s v="Furniture"/>
    <x v="3"/>
    <s v="G.E. Halogen Desk Lamp Bulbs"/>
    <n v="13.96"/>
    <n v="2"/>
    <n v="6.7008000000000001"/>
    <x v="4"/>
    <x v="3"/>
  </r>
  <r>
    <x v="177"/>
    <x v="171"/>
    <m/>
    <n v="42195"/>
    <x v="1"/>
    <s v="KM-16225"/>
    <s v="Kalyca Meade"/>
    <x v="1"/>
    <s v="United States"/>
    <x v="13"/>
    <x v="7"/>
    <x v="2"/>
    <s v="FUR-FU-10000965"/>
    <s v="Furniture"/>
    <x v="3"/>
    <s v="Howard Miller 11-1/2&quot; Diameter Ridgewood Wall Clock"/>
    <n v="155.82"/>
    <n v="3"/>
    <n v="63.886200000000002"/>
    <x v="4"/>
    <x v="3"/>
  </r>
  <r>
    <x v="178"/>
    <x v="172"/>
    <m/>
    <n v="42127"/>
    <x v="1"/>
    <s v="GT-14710"/>
    <s v="Greg Tran"/>
    <x v="0"/>
    <s v="United States"/>
    <x v="85"/>
    <x v="29"/>
    <x v="2"/>
    <s v="FUR-CH-10000309"/>
    <s v="Furniture"/>
    <x v="1"/>
    <s v="Global Comet Stacking Arm Chair"/>
    <n v="1267.53"/>
    <n v="3"/>
    <n v="316.88249999999999"/>
    <x v="6"/>
    <x v="6"/>
  </r>
  <r>
    <x v="179"/>
    <x v="173"/>
    <m/>
    <n v="41835"/>
    <x v="1"/>
    <s v="LA-16780"/>
    <s v="Laura Armstrong"/>
    <x v="1"/>
    <s v="United States"/>
    <x v="33"/>
    <x v="18"/>
    <x v="2"/>
    <s v="FUR-CH-10003379"/>
    <s v="Furniture"/>
    <x v="1"/>
    <s v="Global Commerce Series High-Back Swivel/Tilt Chairs"/>
    <n v="854.94"/>
    <n v="3"/>
    <n v="213.73500000000001"/>
    <x v="4"/>
    <x v="3"/>
  </r>
  <r>
    <x v="179"/>
    <x v="173"/>
    <m/>
    <n v="41835"/>
    <x v="1"/>
    <s v="LA-16780"/>
    <s v="Laura Armstrong"/>
    <x v="1"/>
    <s v="United States"/>
    <x v="33"/>
    <x v="18"/>
    <x v="2"/>
    <s v="FUR-FU-10000629"/>
    <s v="Furniture"/>
    <x v="3"/>
    <s v="9-3/4 Diameter Round Wall Clock"/>
    <n v="124.11"/>
    <n v="9"/>
    <n v="52.126199999999997"/>
    <x v="4"/>
    <x v="3"/>
  </r>
  <r>
    <x v="180"/>
    <x v="74"/>
    <m/>
    <n v="42486"/>
    <x v="1"/>
    <s v="EL-13735"/>
    <s v="Ed Ludwig"/>
    <x v="2"/>
    <s v="United States"/>
    <x v="86"/>
    <x v="23"/>
    <x v="3"/>
    <s v="FUR-FU-10003975"/>
    <s v="Furniture"/>
    <x v="3"/>
    <s v="Eldon Advantage Chair Mats for Low to Medium Pile Carpets"/>
    <n v="86.62"/>
    <n v="2"/>
    <n v="8.6620000000000008"/>
    <x v="4"/>
    <x v="6"/>
  </r>
  <r>
    <x v="181"/>
    <x v="174"/>
    <m/>
    <n v="42453"/>
    <x v="1"/>
    <s v="RD-19660"/>
    <s v="Robert Dilbeck"/>
    <x v="2"/>
    <s v="United States"/>
    <x v="87"/>
    <x v="23"/>
    <x v="3"/>
    <s v="FUR-TA-10001095"/>
    <s v="Furniture"/>
    <x v="2"/>
    <s v="Chromcraft Round Conference Tables"/>
    <n v="697.16"/>
    <n v="4"/>
    <n v="146.40360000000001"/>
    <x v="4"/>
    <x v="9"/>
  </r>
  <r>
    <x v="182"/>
    <x v="175"/>
    <m/>
    <n v="42622"/>
    <x v="0"/>
    <s v="MO-17500"/>
    <s v="Mary O'Rourke"/>
    <x v="0"/>
    <s v="United States"/>
    <x v="13"/>
    <x v="7"/>
    <x v="2"/>
    <s v="FUR-BO-10001811"/>
    <s v="Furniture"/>
    <x v="0"/>
    <s v="Atlantic Metals Mobile 5-Shelf Bookcases, Custom Colors"/>
    <n v="722.35199999999998"/>
    <n v="3"/>
    <n v="90.293999999999997"/>
    <x v="0"/>
    <x v="4"/>
  </r>
  <r>
    <x v="183"/>
    <x v="176"/>
    <m/>
    <n v="43024"/>
    <x v="1"/>
    <s v="SN-20710"/>
    <s v="Steve Nguyen"/>
    <x v="2"/>
    <s v="United States"/>
    <x v="88"/>
    <x v="8"/>
    <x v="3"/>
    <s v="FUR-CH-10002304"/>
    <s v="Furniture"/>
    <x v="1"/>
    <s v="Global Stack Chair without Arms, Black"/>
    <n v="254.60400000000001"/>
    <n v="14"/>
    <n v="-18.186"/>
    <x v="4"/>
    <x v="1"/>
  </r>
  <r>
    <x v="184"/>
    <x v="177"/>
    <m/>
    <n v="42442"/>
    <x v="1"/>
    <s v="ZC-21910"/>
    <s v="Zuschuss Carroll"/>
    <x v="0"/>
    <s v="United States"/>
    <x v="89"/>
    <x v="1"/>
    <x v="0"/>
    <s v="FUR-FU-10004006"/>
    <s v="Furniture"/>
    <x v="3"/>
    <s v="Deflect-o DuraMat Lighweight, Studded, Beveled Mat for Low Pile Carpeting"/>
    <n v="102.36"/>
    <n v="3"/>
    <n v="-3.8384999999999998"/>
    <x v="2"/>
    <x v="9"/>
  </r>
  <r>
    <x v="185"/>
    <x v="97"/>
    <m/>
    <n v="42190"/>
    <x v="2"/>
    <s v="DG-13300"/>
    <s v="Deirdre Greer"/>
    <x v="1"/>
    <s v="United States"/>
    <x v="3"/>
    <x v="3"/>
    <x v="2"/>
    <s v="FUR-FU-10000293"/>
    <s v="Furniture"/>
    <x v="3"/>
    <s v="Eldon Antistatic Chair Mats for Low to Medium Pile Carpets"/>
    <n v="168.464"/>
    <n v="2"/>
    <n v="-29.481200000000001"/>
    <x v="3"/>
    <x v="3"/>
  </r>
  <r>
    <x v="185"/>
    <x v="97"/>
    <m/>
    <n v="42190"/>
    <x v="2"/>
    <s v="DG-13300"/>
    <s v="Deirdre Greer"/>
    <x v="1"/>
    <s v="United States"/>
    <x v="3"/>
    <x v="3"/>
    <x v="2"/>
    <s v="FUR-FU-10004460"/>
    <s v="Furniture"/>
    <x v="3"/>
    <s v="Howard Miller 12&quot; Round Wall Clock"/>
    <n v="282.88799999999998"/>
    <n v="9"/>
    <n v="56.577599999999997"/>
    <x v="3"/>
    <x v="3"/>
  </r>
  <r>
    <x v="186"/>
    <x v="178"/>
    <m/>
    <n v="42102"/>
    <x v="1"/>
    <s v="NF-18595"/>
    <s v="Nicole Fjeld"/>
    <x v="2"/>
    <s v="United States"/>
    <x v="13"/>
    <x v="7"/>
    <x v="2"/>
    <s v="FUR-FU-10004622"/>
    <s v="Furniture"/>
    <x v="3"/>
    <s v="Eldon Advantage Foldable Chair Mats for Low Pile Carpets"/>
    <n v="108.4"/>
    <n v="2"/>
    <n v="22.763999999999999"/>
    <x v="4"/>
    <x v="6"/>
  </r>
  <r>
    <x v="187"/>
    <x v="179"/>
    <m/>
    <n v="42092"/>
    <x v="1"/>
    <s v="JD-16060"/>
    <s v="Julia Dunbar"/>
    <x v="0"/>
    <s v="United States"/>
    <x v="6"/>
    <x v="5"/>
    <x v="3"/>
    <s v="FUR-CH-10003396"/>
    <s v="Furniture"/>
    <x v="1"/>
    <s v="Global Deluxe Steno Chair"/>
    <n v="107.77200000000001"/>
    <n v="2"/>
    <n v="-29.252400000000002"/>
    <x v="6"/>
    <x v="9"/>
  </r>
  <r>
    <x v="188"/>
    <x v="180"/>
    <m/>
    <n v="42645"/>
    <x v="2"/>
    <s v="BD-11620"/>
    <s v="Brian DeCherney"/>
    <x v="0"/>
    <s v="United States"/>
    <x v="28"/>
    <x v="2"/>
    <x v="1"/>
    <s v="FUR-CH-10001146"/>
    <s v="Furniture"/>
    <x v="1"/>
    <s v="Global Value Mid-Back Manager's Chair, Gray"/>
    <n v="194.84800000000001"/>
    <n v="4"/>
    <n v="12.178000000000001"/>
    <x v="5"/>
    <x v="1"/>
  </r>
  <r>
    <x v="189"/>
    <x v="101"/>
    <m/>
    <n v="42342"/>
    <x v="1"/>
    <s v="BT-11395"/>
    <s v="Bill Tyler"/>
    <x v="1"/>
    <s v="United States"/>
    <x v="25"/>
    <x v="17"/>
    <x v="3"/>
    <s v="FUR-CH-10002880"/>
    <s v="Furniture"/>
    <x v="1"/>
    <s v="Global High-Back Leather Tilter, Burgundy"/>
    <n v="1106.9100000000001"/>
    <n v="9"/>
    <n v="121.76009999999999"/>
    <x v="2"/>
    <x v="0"/>
  </r>
  <r>
    <x v="190"/>
    <x v="181"/>
    <m/>
    <n v="42434"/>
    <x v="1"/>
    <s v="KD-16270"/>
    <s v="Karen Daniels"/>
    <x v="0"/>
    <s v="United States"/>
    <x v="90"/>
    <x v="7"/>
    <x v="2"/>
    <s v="FUR-TA-10001095"/>
    <s v="Furniture"/>
    <x v="2"/>
    <s v="Chromcraft Round Conference Tables"/>
    <n v="836.59199999999998"/>
    <n v="8"/>
    <n v="-264.92079999999999"/>
    <x v="4"/>
    <x v="9"/>
  </r>
  <r>
    <x v="191"/>
    <x v="182"/>
    <m/>
    <n v="42896"/>
    <x v="1"/>
    <s v="LW-16990"/>
    <s v="Lindsay Williams"/>
    <x v="1"/>
    <s v="United States"/>
    <x v="91"/>
    <x v="30"/>
    <x v="0"/>
    <s v="FUR-FU-10001967"/>
    <s v="Furniture"/>
    <x v="3"/>
    <s v="Telescoping Adjustable Floor Lamp"/>
    <n v="31.984000000000002"/>
    <n v="2"/>
    <n v="1.9990000000000001"/>
    <x v="6"/>
    <x v="2"/>
  </r>
  <r>
    <x v="192"/>
    <x v="183"/>
    <m/>
    <n v="41818"/>
    <x v="2"/>
    <s v="NS-18640"/>
    <s v="Noel Staavos"/>
    <x v="1"/>
    <s v="United States"/>
    <x v="2"/>
    <x v="2"/>
    <x v="1"/>
    <s v="FUR-TA-10004147"/>
    <s v="Furniture"/>
    <x v="2"/>
    <s v="Hon 4060 Series Tables"/>
    <n v="447.84"/>
    <n v="5"/>
    <n v="11.196"/>
    <x v="0"/>
    <x v="2"/>
  </r>
  <r>
    <x v="193"/>
    <x v="184"/>
    <m/>
    <n v="42538"/>
    <x v="2"/>
    <s v="PV-18985"/>
    <s v="Paul Van Hugh"/>
    <x v="2"/>
    <s v="United States"/>
    <x v="28"/>
    <x v="2"/>
    <x v="1"/>
    <s v="FUR-FU-10000206"/>
    <s v="Furniture"/>
    <x v="3"/>
    <s v="GE General Purpose, Extra Long Life, Showcase &amp; Floodlight Incandescent Bulbs"/>
    <n v="8.73"/>
    <n v="3"/>
    <n v="4.1031000000000004"/>
    <x v="0"/>
    <x v="2"/>
  </r>
  <r>
    <x v="194"/>
    <x v="185"/>
    <m/>
    <n v="42698"/>
    <x v="1"/>
    <s v="EH-13945"/>
    <s v="Eric Hoffmann"/>
    <x v="0"/>
    <s v="United States"/>
    <x v="6"/>
    <x v="5"/>
    <x v="3"/>
    <s v="FUR-FU-10000206"/>
    <s v="Furniture"/>
    <x v="3"/>
    <s v="GE General Purpose, Extra Long Life, Showcase &amp; Floodlight Incandescent Bulbs"/>
    <n v="2.3279999999999998"/>
    <n v="2"/>
    <n v="-0.75660000000000005"/>
    <x v="2"/>
    <x v="0"/>
  </r>
  <r>
    <x v="195"/>
    <x v="186"/>
    <m/>
    <n v="43092"/>
    <x v="0"/>
    <s v="RA-19915"/>
    <s v="Russell Applegate"/>
    <x v="0"/>
    <s v="United States"/>
    <x v="92"/>
    <x v="2"/>
    <x v="1"/>
    <s v="FUR-BO-10002206"/>
    <s v="Furniture"/>
    <x v="0"/>
    <s v="Bush Saratoga Collection 5-Shelf Bookcase, Hanover Cherry, *Special Order"/>
    <n v="119.833"/>
    <n v="1"/>
    <n v="-12.6882"/>
    <x v="2"/>
    <x v="5"/>
  </r>
  <r>
    <x v="196"/>
    <x v="187"/>
    <m/>
    <n v="41665"/>
    <x v="1"/>
    <s v="HL-15040"/>
    <s v="Hunter Lopez"/>
    <x v="0"/>
    <s v="United States"/>
    <x v="93"/>
    <x v="31"/>
    <x v="0"/>
    <s v="FUR-FU-10003194"/>
    <s v="Furniture"/>
    <x v="3"/>
    <s v="Eldon Expressions Desk Accessory, Wood Pencil Holder, Oak"/>
    <n v="38.6"/>
    <n v="4"/>
    <n v="11.58"/>
    <x v="6"/>
    <x v="8"/>
  </r>
  <r>
    <x v="196"/>
    <x v="187"/>
    <m/>
    <n v="41665"/>
    <x v="1"/>
    <s v="HL-15040"/>
    <s v="Hunter Lopez"/>
    <x v="0"/>
    <s v="United States"/>
    <x v="93"/>
    <x v="31"/>
    <x v="0"/>
    <s v="FUR-CH-10002331"/>
    <s v="Furniture"/>
    <x v="1"/>
    <s v="Hon 4700 Series Mobuis Mid-Back Task Chairs with Adjustable Arms"/>
    <n v="1067.94"/>
    <n v="3"/>
    <n v="224.26740000000001"/>
    <x v="6"/>
    <x v="8"/>
  </r>
  <r>
    <x v="197"/>
    <x v="188"/>
    <m/>
    <n v="42476"/>
    <x v="1"/>
    <s v="BD-11605"/>
    <s v="Brian Dahlen"/>
    <x v="0"/>
    <s v="United States"/>
    <x v="76"/>
    <x v="25"/>
    <x v="0"/>
    <s v="FUR-TA-10004086"/>
    <s v="Furniture"/>
    <x v="2"/>
    <s v="KI Adjustable-Height Table"/>
    <n v="343.92"/>
    <n v="4"/>
    <n v="75.662400000000005"/>
    <x v="4"/>
    <x v="6"/>
  </r>
  <r>
    <x v="198"/>
    <x v="189"/>
    <m/>
    <n v="41915"/>
    <x v="1"/>
    <s v="AP-10915"/>
    <s v="Arthur Prichep"/>
    <x v="0"/>
    <s v="United States"/>
    <x v="2"/>
    <x v="2"/>
    <x v="1"/>
    <s v="FUR-FU-10004188"/>
    <s v="Furniture"/>
    <x v="3"/>
    <s v="Luxo Professional Combination Clamp-On Lamps"/>
    <n v="204.6"/>
    <n v="2"/>
    <n v="53.195999999999998"/>
    <x v="4"/>
    <x v="4"/>
  </r>
  <r>
    <x v="199"/>
    <x v="190"/>
    <m/>
    <n v="42138"/>
    <x v="1"/>
    <s v="CB-12535"/>
    <s v="Claudia Bergmann"/>
    <x v="1"/>
    <s v="United States"/>
    <x v="94"/>
    <x v="15"/>
    <x v="2"/>
    <s v="FUR-FU-10001852"/>
    <s v="Furniture"/>
    <x v="3"/>
    <s v="Eldon Regeneration Recycled Desk Accessories, Smoke"/>
    <n v="8.3520000000000003"/>
    <n v="6"/>
    <n v="1.2527999999999999"/>
    <x v="6"/>
    <x v="7"/>
  </r>
  <r>
    <x v="200"/>
    <x v="191"/>
    <m/>
    <n v="41994"/>
    <x v="2"/>
    <s v="PS-19045"/>
    <s v="Penelope Sewall"/>
    <x v="2"/>
    <s v="United States"/>
    <x v="95"/>
    <x v="25"/>
    <x v="0"/>
    <s v="FUR-TA-10001932"/>
    <s v="Furniture"/>
    <x v="2"/>
    <s v="Chromcraft 48&quot; x 96&quot; Racetrack Double Pedestal Table"/>
    <n v="2244.48"/>
    <n v="7"/>
    <n v="493.78559999999999"/>
    <x v="5"/>
    <x v="5"/>
  </r>
  <r>
    <x v="200"/>
    <x v="191"/>
    <m/>
    <n v="41994"/>
    <x v="2"/>
    <s v="PS-19045"/>
    <s v="Penelope Sewall"/>
    <x v="2"/>
    <s v="United States"/>
    <x v="95"/>
    <x v="25"/>
    <x v="0"/>
    <s v="FUR-TA-10000617"/>
    <s v="Furniture"/>
    <x v="2"/>
    <s v="Hon Practical Foundations 30 x 60 Training Table, Light Gray/Charcoal"/>
    <n v="455.1"/>
    <n v="2"/>
    <n v="100.122"/>
    <x v="5"/>
    <x v="5"/>
  </r>
  <r>
    <x v="201"/>
    <x v="192"/>
    <m/>
    <n v="42558"/>
    <x v="0"/>
    <s v="GB-14530"/>
    <s v="George Bell"/>
    <x v="1"/>
    <s v="United States"/>
    <x v="2"/>
    <x v="2"/>
    <x v="1"/>
    <s v="FUR-CH-10002126"/>
    <s v="Furniture"/>
    <x v="1"/>
    <s v="Hon Deluxe Fabric Upholstered Stacking Chairs"/>
    <n v="195.184"/>
    <n v="1"/>
    <n v="19.5184"/>
    <x v="2"/>
    <x v="3"/>
  </r>
  <r>
    <x v="202"/>
    <x v="64"/>
    <m/>
    <n v="43079"/>
    <x v="0"/>
    <s v="DL-13315"/>
    <s v="Delfina Latchford"/>
    <x v="0"/>
    <s v="United States"/>
    <x v="13"/>
    <x v="7"/>
    <x v="2"/>
    <s v="FUR-FU-10004952"/>
    <s v="Furniture"/>
    <x v="3"/>
    <s v="C-Line Cubicle Keepers Polyproplyene Holder w/Velcro Back, 8-1/2x11, 25/Bx"/>
    <n v="109.48"/>
    <n v="2"/>
    <n v="33.938800000000001"/>
    <x v="3"/>
    <x v="5"/>
  </r>
  <r>
    <x v="203"/>
    <x v="193"/>
    <m/>
    <n v="42709"/>
    <x v="1"/>
    <s v="JE-15745"/>
    <s v="Joel Eaton"/>
    <x v="0"/>
    <s v="United States"/>
    <x v="96"/>
    <x v="32"/>
    <x v="2"/>
    <s v="FUR-CH-10001270"/>
    <s v="Furniture"/>
    <x v="1"/>
    <s v="Harbour Creations Steel Folding Chair"/>
    <n v="172.5"/>
    <n v="2"/>
    <n v="51.75"/>
    <x v="4"/>
    <x v="5"/>
  </r>
  <r>
    <x v="204"/>
    <x v="194"/>
    <m/>
    <n v="42794"/>
    <x v="0"/>
    <s v="BT-11530"/>
    <s v="Bradley Talbott"/>
    <x v="2"/>
    <s v="United States"/>
    <x v="2"/>
    <x v="2"/>
    <x v="1"/>
    <s v="FUR-CH-10003973"/>
    <s v="Furniture"/>
    <x v="1"/>
    <s v="GuestStacker Chair with Chrome Finish Legs"/>
    <n v="892.22400000000005"/>
    <n v="3"/>
    <n v="89.222399999999993"/>
    <x v="3"/>
    <x v="11"/>
  </r>
  <r>
    <x v="205"/>
    <x v="195"/>
    <m/>
    <n v="42262"/>
    <x v="3"/>
    <s v="NG-18355"/>
    <s v="Nat Gilpin"/>
    <x v="1"/>
    <s v="United States"/>
    <x v="97"/>
    <x v="1"/>
    <x v="0"/>
    <s v="FUR-FU-10002268"/>
    <s v="Furniture"/>
    <x v="3"/>
    <s v="Ultra Door Push Plate"/>
    <n v="15.712"/>
    <n v="4"/>
    <n v="2.5531999999999999"/>
    <x v="7"/>
    <x v="4"/>
  </r>
  <r>
    <x v="205"/>
    <x v="195"/>
    <m/>
    <n v="42262"/>
    <x v="3"/>
    <s v="NG-18355"/>
    <s v="Nat Gilpin"/>
    <x v="1"/>
    <s v="United States"/>
    <x v="97"/>
    <x v="1"/>
    <x v="0"/>
    <s v="FUR-FU-10003394"/>
    <s v="Furniture"/>
    <x v="3"/>
    <s v="Tenex &quot;The Solids&quot; Textured Chair Mats"/>
    <n v="55.968000000000004"/>
    <n v="1"/>
    <n v="-2.0988000000000002"/>
    <x v="7"/>
    <x v="4"/>
  </r>
  <r>
    <x v="206"/>
    <x v="57"/>
    <m/>
    <n v="42472"/>
    <x v="1"/>
    <s v="ZC-21910"/>
    <s v="Zuschuss Carroll"/>
    <x v="0"/>
    <s v="United States"/>
    <x v="6"/>
    <x v="5"/>
    <x v="3"/>
    <s v="FUR-CH-10004540"/>
    <s v="Furniture"/>
    <x v="1"/>
    <s v="Global Chrome Stack Chair"/>
    <n v="95.983999999999995"/>
    <n v="4"/>
    <n v="-4.1135999999999999"/>
    <x v="4"/>
    <x v="6"/>
  </r>
  <r>
    <x v="207"/>
    <x v="196"/>
    <m/>
    <n v="42575"/>
    <x v="1"/>
    <s v="LS-16945"/>
    <s v="Linda Southworth"/>
    <x v="1"/>
    <s v="United States"/>
    <x v="22"/>
    <x v="12"/>
    <x v="1"/>
    <s v="FUR-CH-10002335"/>
    <s v="Furniture"/>
    <x v="1"/>
    <s v="Hon GuestStacker Chair"/>
    <n v="544.00800000000004"/>
    <n v="3"/>
    <n v="40.800600000000003"/>
    <x v="6"/>
    <x v="3"/>
  </r>
  <r>
    <x v="207"/>
    <x v="196"/>
    <m/>
    <n v="42575"/>
    <x v="1"/>
    <s v="LS-16945"/>
    <s v="Linda Southworth"/>
    <x v="1"/>
    <s v="United States"/>
    <x v="22"/>
    <x v="12"/>
    <x v="1"/>
    <s v="FUR-CH-10002331"/>
    <s v="Furniture"/>
    <x v="1"/>
    <s v="Hon 4700 Series Mobuis Mid-Back Task Chairs with Adjustable Arms"/>
    <n v="854.35199999999998"/>
    <n v="3"/>
    <n v="10.679399999999999"/>
    <x v="6"/>
    <x v="3"/>
  </r>
  <r>
    <x v="208"/>
    <x v="197"/>
    <m/>
    <n v="42569"/>
    <x v="0"/>
    <s v="SW-20755"/>
    <s v="Steven Ward"/>
    <x v="1"/>
    <s v="United States"/>
    <x v="13"/>
    <x v="7"/>
    <x v="2"/>
    <s v="FUR-BO-10004695"/>
    <s v="Furniture"/>
    <x v="0"/>
    <s v="O'Sullivan 2-Door Barrister Bookcase in Odessa Pine"/>
    <n v="579.13599999999997"/>
    <n v="4"/>
    <n v="21.717600000000001"/>
    <x v="4"/>
    <x v="3"/>
  </r>
  <r>
    <x v="209"/>
    <x v="198"/>
    <m/>
    <n v="42991"/>
    <x v="1"/>
    <s v="SP-20620"/>
    <s v="Stefania Perrino"/>
    <x v="1"/>
    <s v="United States"/>
    <x v="3"/>
    <x v="3"/>
    <x v="2"/>
    <s v="FUR-CH-10004860"/>
    <s v="Furniture"/>
    <x v="1"/>
    <s v="Global Low Back Tilter Chair"/>
    <n v="141.37200000000001"/>
    <n v="2"/>
    <n v="-48.470399999999998"/>
    <x v="4"/>
    <x v="4"/>
  </r>
  <r>
    <x v="209"/>
    <x v="198"/>
    <m/>
    <n v="42991"/>
    <x v="1"/>
    <s v="SP-20620"/>
    <s v="Stefania Perrino"/>
    <x v="1"/>
    <s v="United States"/>
    <x v="3"/>
    <x v="3"/>
    <x v="2"/>
    <s v="FUR-FU-10001867"/>
    <s v="Furniture"/>
    <x v="3"/>
    <s v="Eldon Expressions Punched Metal &amp; Wood Desk Accessories, Pewter &amp; Cherry"/>
    <n v="17.024000000000001"/>
    <n v="2"/>
    <n v="1.7023999999999999"/>
    <x v="4"/>
    <x v="4"/>
  </r>
  <r>
    <x v="210"/>
    <x v="199"/>
    <m/>
    <n v="42709"/>
    <x v="2"/>
    <s v="BM-11140"/>
    <s v="Becky Martin"/>
    <x v="0"/>
    <s v="United States"/>
    <x v="13"/>
    <x v="7"/>
    <x v="2"/>
    <s v="FUR-FU-10001602"/>
    <s v="Furniture"/>
    <x v="3"/>
    <s v="Eldon Delta Triangular Chair Mat, 52&quot; x 58&quot;, Clear"/>
    <n v="113.79"/>
    <n v="3"/>
    <n v="20.482199999999999"/>
    <x v="5"/>
    <x v="5"/>
  </r>
  <r>
    <x v="211"/>
    <x v="200"/>
    <m/>
    <n v="43050"/>
    <x v="1"/>
    <s v="ZC-21910"/>
    <s v="Zuschuss Carroll"/>
    <x v="0"/>
    <s v="United States"/>
    <x v="2"/>
    <x v="2"/>
    <x v="1"/>
    <s v="FUR-FU-10001424"/>
    <s v="Furniture"/>
    <x v="3"/>
    <s v="Dax Clear Box Frame"/>
    <n v="8.73"/>
    <n v="1"/>
    <n v="2.9681999999999999"/>
    <x v="2"/>
    <x v="0"/>
  </r>
  <r>
    <x v="212"/>
    <x v="48"/>
    <m/>
    <n v="42671"/>
    <x v="3"/>
    <s v="PG-18820"/>
    <s v="Patrick Gardner"/>
    <x v="0"/>
    <s v="United States"/>
    <x v="98"/>
    <x v="1"/>
    <x v="0"/>
    <s v="FUR-FU-10000076"/>
    <s v="Furniture"/>
    <x v="3"/>
    <s v="24-Hour Round Wall Clock"/>
    <n v="47.951999999999998"/>
    <n v="3"/>
    <n v="13.786199999999999"/>
    <x v="7"/>
    <x v="1"/>
  </r>
  <r>
    <x v="212"/>
    <x v="48"/>
    <m/>
    <n v="42671"/>
    <x v="3"/>
    <s v="PG-18820"/>
    <s v="Patrick Gardner"/>
    <x v="0"/>
    <s v="United States"/>
    <x v="98"/>
    <x v="1"/>
    <x v="0"/>
    <s v="FUR-FU-10003268"/>
    <s v="Furniture"/>
    <x v="3"/>
    <s v="Eldon Radial Chair Mat for Low to Medium Pile Carpets"/>
    <n v="63.968000000000004"/>
    <n v="2"/>
    <n v="0"/>
    <x v="7"/>
    <x v="1"/>
  </r>
  <r>
    <x v="212"/>
    <x v="48"/>
    <m/>
    <n v="42671"/>
    <x v="3"/>
    <s v="PG-18820"/>
    <s v="Patrick Gardner"/>
    <x v="0"/>
    <s v="United States"/>
    <x v="98"/>
    <x v="1"/>
    <x v="0"/>
    <s v="FUR-FU-10003553"/>
    <s v="Furniture"/>
    <x v="3"/>
    <s v="Howard Miller 13-1/2&quot; Diameter Rosebrook Wall Clock"/>
    <n v="165.048"/>
    <n v="3"/>
    <n v="41.262"/>
    <x v="7"/>
    <x v="1"/>
  </r>
  <r>
    <x v="213"/>
    <x v="201"/>
    <m/>
    <n v="41866"/>
    <x v="1"/>
    <s v="GM-14680"/>
    <s v="Greg Matthias"/>
    <x v="0"/>
    <s v="United States"/>
    <x v="15"/>
    <x v="13"/>
    <x v="1"/>
    <s v="FUR-FU-10003691"/>
    <s v="Furniture"/>
    <x v="3"/>
    <s v="Eldon Image Series Desk Accessories, Ebony"/>
    <n v="12.35"/>
    <n v="1"/>
    <n v="5.4340000000000002"/>
    <x v="4"/>
    <x v="10"/>
  </r>
  <r>
    <x v="214"/>
    <x v="202"/>
    <m/>
    <n v="41987"/>
    <x v="0"/>
    <s v="NP-18700"/>
    <s v="Nora Preis"/>
    <x v="0"/>
    <s v="United States"/>
    <x v="99"/>
    <x v="2"/>
    <x v="1"/>
    <s v="FUR-TA-10004619"/>
    <s v="Furniture"/>
    <x v="2"/>
    <s v="Hon Non-Folding Utility Tables"/>
    <n v="764.68799999999999"/>
    <n v="6"/>
    <n v="95.585999999999999"/>
    <x v="3"/>
    <x v="5"/>
  </r>
  <r>
    <x v="214"/>
    <x v="202"/>
    <m/>
    <n v="41987"/>
    <x v="0"/>
    <s v="NP-18700"/>
    <s v="Nora Preis"/>
    <x v="0"/>
    <s v="United States"/>
    <x v="99"/>
    <x v="2"/>
    <x v="1"/>
    <s v="FUR-TA-10003473"/>
    <s v="Furniture"/>
    <x v="2"/>
    <s v="Bretford Rectangular Conference Table Tops"/>
    <n v="3610.848"/>
    <n v="12"/>
    <n v="135.4068"/>
    <x v="3"/>
    <x v="5"/>
  </r>
  <r>
    <x v="214"/>
    <x v="202"/>
    <m/>
    <n v="41987"/>
    <x v="0"/>
    <s v="NP-18700"/>
    <s v="Nora Preis"/>
    <x v="0"/>
    <s v="United States"/>
    <x v="99"/>
    <x v="2"/>
    <x v="1"/>
    <s v="FUR-BO-10004467"/>
    <s v="Furniture"/>
    <x v="0"/>
    <s v="Bestar Classic Bookcase"/>
    <n v="254.97450000000001"/>
    <n v="3"/>
    <n v="11.998799999999999"/>
    <x v="3"/>
    <x v="5"/>
  </r>
  <r>
    <x v="215"/>
    <x v="186"/>
    <m/>
    <n v="43093"/>
    <x v="1"/>
    <s v="DJ-13630"/>
    <s v="Doug Jacobs"/>
    <x v="0"/>
    <s v="United States"/>
    <x v="13"/>
    <x v="7"/>
    <x v="2"/>
    <s v="FUR-CH-10001708"/>
    <s v="Furniture"/>
    <x v="1"/>
    <s v="Office Star - Contemporary Swivel Chair with Padded Adjustable Arms and Flex Back"/>
    <n v="1141.9380000000001"/>
    <n v="9"/>
    <n v="139.5702"/>
    <x v="6"/>
    <x v="5"/>
  </r>
  <r>
    <x v="216"/>
    <x v="203"/>
    <m/>
    <n v="42808"/>
    <x v="1"/>
    <s v="MH-18115"/>
    <s v="Mick Hernandez"/>
    <x v="2"/>
    <s v="United States"/>
    <x v="100"/>
    <x v="3"/>
    <x v="2"/>
    <s v="FUR-FU-10003724"/>
    <s v="Furniture"/>
    <x v="3"/>
    <s v="Westinghouse Clip-On Gooseneck Lamps"/>
    <n v="6.6959999999999997"/>
    <n v="1"/>
    <n v="0.50219999999999998"/>
    <x v="4"/>
    <x v="9"/>
  </r>
  <r>
    <x v="216"/>
    <x v="203"/>
    <m/>
    <n v="42808"/>
    <x v="1"/>
    <s v="MH-18115"/>
    <s v="Mick Hernandez"/>
    <x v="2"/>
    <s v="United States"/>
    <x v="100"/>
    <x v="3"/>
    <x v="2"/>
    <s v="FUR-FU-10003535"/>
    <s v="Furniture"/>
    <x v="3"/>
    <s v="Howard Miller Distant Time Traveler Alarm Clock"/>
    <n v="43.872"/>
    <n v="2"/>
    <n v="11.516400000000001"/>
    <x v="4"/>
    <x v="9"/>
  </r>
  <r>
    <x v="217"/>
    <x v="180"/>
    <m/>
    <n v="42645"/>
    <x v="2"/>
    <s v="CC-12220"/>
    <s v="Chris Cortes"/>
    <x v="0"/>
    <s v="United States"/>
    <x v="101"/>
    <x v="6"/>
    <x v="3"/>
    <s v="FUR-FU-10003724"/>
    <s v="Furniture"/>
    <x v="3"/>
    <s v="Westinghouse Clip-On Gooseneck Lamps"/>
    <n v="41.85"/>
    <n v="5"/>
    <n v="10.881"/>
    <x v="5"/>
    <x v="1"/>
  </r>
  <r>
    <x v="218"/>
    <x v="109"/>
    <m/>
    <n v="42002"/>
    <x v="1"/>
    <s v="JC-16105"/>
    <s v="Julie Creighton"/>
    <x v="1"/>
    <s v="United States"/>
    <x v="2"/>
    <x v="2"/>
    <x v="1"/>
    <s v="FUR-CH-10001146"/>
    <s v="Furniture"/>
    <x v="1"/>
    <s v="Global Value Mid-Back Manager's Chair, Gray"/>
    <n v="292.27199999999999"/>
    <n v="6"/>
    <n v="18.266999999999999"/>
    <x v="2"/>
    <x v="5"/>
  </r>
  <r>
    <x v="219"/>
    <x v="204"/>
    <m/>
    <n v="43005"/>
    <x v="1"/>
    <s v="BG-11695"/>
    <s v="Brooke Gillingham"/>
    <x v="1"/>
    <s v="United States"/>
    <x v="74"/>
    <x v="12"/>
    <x v="1"/>
    <s v="FUR-FU-10000246"/>
    <s v="Furniture"/>
    <x v="3"/>
    <s v="Aluminum Document Frame"/>
    <n v="29.327999999999999"/>
    <n v="3"/>
    <n v="3.6659999999999999"/>
    <x v="4"/>
    <x v="4"/>
  </r>
  <r>
    <x v="220"/>
    <x v="205"/>
    <m/>
    <n v="42516"/>
    <x v="3"/>
    <s v="MS-17710"/>
    <s v="Maurice Satty"/>
    <x v="0"/>
    <s v="United States"/>
    <x v="50"/>
    <x v="5"/>
    <x v="3"/>
    <s v="FUR-CH-10001973"/>
    <s v="Furniture"/>
    <x v="1"/>
    <s v="Office Star Flex Back Scooter Chair with White Frame"/>
    <n v="388.43"/>
    <n v="5"/>
    <n v="-88.784000000000006"/>
    <x v="7"/>
    <x v="7"/>
  </r>
  <r>
    <x v="221"/>
    <x v="206"/>
    <m/>
    <n v="42700"/>
    <x v="1"/>
    <s v="TB-21355"/>
    <s v="Todd Boyes"/>
    <x v="1"/>
    <s v="United States"/>
    <x v="13"/>
    <x v="7"/>
    <x v="2"/>
    <s v="FUR-FU-10000397"/>
    <s v="Furniture"/>
    <x v="3"/>
    <s v="Luxo Economy Swing Arm Lamp"/>
    <n v="39.880000000000003"/>
    <n v="2"/>
    <n v="11.166399999999999"/>
    <x v="4"/>
    <x v="0"/>
  </r>
  <r>
    <x v="222"/>
    <x v="207"/>
    <m/>
    <n v="42729"/>
    <x v="0"/>
    <s v="LC-17140"/>
    <s v="Logan Currie"/>
    <x v="0"/>
    <s v="United States"/>
    <x v="76"/>
    <x v="25"/>
    <x v="0"/>
    <s v="FUR-FU-10003664"/>
    <s v="Furniture"/>
    <x v="3"/>
    <s v="Electrix Architect's Clamp-On Swing Arm Lamp, Black"/>
    <n v="572.76"/>
    <n v="6"/>
    <n v="166.10040000000001"/>
    <x v="3"/>
    <x v="5"/>
  </r>
  <r>
    <x v="222"/>
    <x v="207"/>
    <m/>
    <n v="42729"/>
    <x v="0"/>
    <s v="LC-17140"/>
    <s v="Logan Currie"/>
    <x v="0"/>
    <s v="United States"/>
    <x v="76"/>
    <x v="25"/>
    <x v="0"/>
    <s v="FUR-FU-10003664"/>
    <s v="Furniture"/>
    <x v="3"/>
    <s v="Electrix Architect's Clamp-On Swing Arm Lamp, Black"/>
    <n v="286.38"/>
    <n v="3"/>
    <n v="83.050200000000004"/>
    <x v="3"/>
    <x v="5"/>
  </r>
  <r>
    <x v="223"/>
    <x v="208"/>
    <m/>
    <n v="42271"/>
    <x v="0"/>
    <s v="TC-21535"/>
    <s v="Tracy Collins"/>
    <x v="2"/>
    <s v="United States"/>
    <x v="58"/>
    <x v="25"/>
    <x v="0"/>
    <s v="FUR-BO-10003433"/>
    <s v="Furniture"/>
    <x v="0"/>
    <s v="Sauder Cornerstone Collection Library"/>
    <n v="61.96"/>
    <n v="2"/>
    <n v="4.3372000000000002"/>
    <x v="2"/>
    <x v="4"/>
  </r>
  <r>
    <x v="224"/>
    <x v="209"/>
    <m/>
    <n v="42923"/>
    <x v="1"/>
    <s v="CS-12460"/>
    <s v="Chuck Sachs"/>
    <x v="0"/>
    <s v="United States"/>
    <x v="29"/>
    <x v="24"/>
    <x v="0"/>
    <s v="FUR-FU-10002554"/>
    <s v="Furniture"/>
    <x v="3"/>
    <s v="Westinghouse Floor Lamp with Metal Mesh Shade, Black"/>
    <n v="23.99"/>
    <n v="1"/>
    <n v="5.5176999999999996"/>
    <x v="4"/>
    <x v="3"/>
  </r>
  <r>
    <x v="225"/>
    <x v="210"/>
    <m/>
    <n v="42542"/>
    <x v="2"/>
    <s v="RC-19825"/>
    <s v="Roy Collins"/>
    <x v="0"/>
    <s v="United States"/>
    <x v="102"/>
    <x v="2"/>
    <x v="1"/>
    <s v="FUR-CH-10003846"/>
    <s v="Furniture"/>
    <x v="1"/>
    <s v="Hon Valutask Swivel Chairs"/>
    <n v="161.56800000000001"/>
    <n v="2"/>
    <n v="-8.0784000000000002"/>
    <x v="5"/>
    <x v="2"/>
  </r>
  <r>
    <x v="226"/>
    <x v="211"/>
    <m/>
    <n v="42644"/>
    <x v="1"/>
    <s v="PK-19075"/>
    <s v="Pete Kriz"/>
    <x v="0"/>
    <s v="United States"/>
    <x v="29"/>
    <x v="15"/>
    <x v="2"/>
    <s v="FUR-CH-10003199"/>
    <s v="Furniture"/>
    <x v="1"/>
    <s v="Office Star - Contemporary Task Swivel Chair"/>
    <n v="155.37200000000001"/>
    <n v="2"/>
    <n v="-13.317600000000001"/>
    <x v="1"/>
    <x v="4"/>
  </r>
  <r>
    <x v="227"/>
    <x v="105"/>
    <m/>
    <n v="42727"/>
    <x v="1"/>
    <s v="HG-14965"/>
    <s v="Henry Goldwyn"/>
    <x v="1"/>
    <s v="United States"/>
    <x v="2"/>
    <x v="2"/>
    <x v="1"/>
    <s v="FUR-FU-10004960"/>
    <s v="Furniture"/>
    <x v="3"/>
    <s v="Seth Thomas 12&quot; Clock w/ Goldtone Case"/>
    <n v="183.84"/>
    <n v="8"/>
    <n v="62.505600000000001"/>
    <x v="2"/>
    <x v="5"/>
  </r>
  <r>
    <x v="228"/>
    <x v="212"/>
    <m/>
    <n v="42173"/>
    <x v="1"/>
    <s v="AD-10180"/>
    <s v="Alan Dominguez"/>
    <x v="2"/>
    <s v="United States"/>
    <x v="3"/>
    <x v="3"/>
    <x v="2"/>
    <s v="FUR-FU-10001867"/>
    <s v="Furniture"/>
    <x v="3"/>
    <s v="Eldon Expressions Punched Metal &amp; Wood Desk Accessories, Pewter &amp; Cherry"/>
    <n v="51.072000000000003"/>
    <n v="6"/>
    <n v="5.1071999999999997"/>
    <x v="4"/>
    <x v="2"/>
  </r>
  <r>
    <x v="229"/>
    <x v="213"/>
    <m/>
    <n v="42517"/>
    <x v="1"/>
    <s v="LD-17005"/>
    <s v="Lisa DeCherney"/>
    <x v="0"/>
    <s v="United States"/>
    <x v="28"/>
    <x v="2"/>
    <x v="1"/>
    <s v="FUR-FU-10003691"/>
    <s v="Furniture"/>
    <x v="3"/>
    <s v="Eldon Image Series Desk Accessories, Ebony"/>
    <n v="37.049999999999997"/>
    <n v="3"/>
    <n v="16.302"/>
    <x v="4"/>
    <x v="7"/>
  </r>
  <r>
    <x v="230"/>
    <x v="214"/>
    <m/>
    <n v="42832"/>
    <x v="1"/>
    <s v="JF-15190"/>
    <s v="Jamie Frazer"/>
    <x v="0"/>
    <s v="United States"/>
    <x v="2"/>
    <x v="2"/>
    <x v="1"/>
    <s v="FUR-FU-10003724"/>
    <s v="Furniture"/>
    <x v="3"/>
    <s v="Westinghouse Clip-On Gooseneck Lamps"/>
    <n v="25.11"/>
    <n v="3"/>
    <n v="6.5286"/>
    <x v="2"/>
    <x v="6"/>
  </r>
  <r>
    <x v="231"/>
    <x v="76"/>
    <m/>
    <n v="42827"/>
    <x v="0"/>
    <s v="CM-12115"/>
    <s v="Chad McGuire"/>
    <x v="0"/>
    <s v="United States"/>
    <x v="13"/>
    <x v="7"/>
    <x v="2"/>
    <s v="FUR-FU-10004018"/>
    <s v="Furniture"/>
    <x v="3"/>
    <s v="Tensor Computer Mounted Lamp"/>
    <n v="29.78"/>
    <n v="2"/>
    <n v="8.0405999999999995"/>
    <x v="3"/>
    <x v="9"/>
  </r>
  <r>
    <x v="232"/>
    <x v="215"/>
    <m/>
    <n v="41920"/>
    <x v="0"/>
    <s v="BP-11290"/>
    <s v="Beth Paige"/>
    <x v="0"/>
    <s v="United States"/>
    <x v="103"/>
    <x v="8"/>
    <x v="3"/>
    <s v="FUR-CH-10002880"/>
    <s v="Furniture"/>
    <x v="1"/>
    <s v="Global High-Back Leather Tilter, Burgundy"/>
    <n v="258.279"/>
    <n v="3"/>
    <n v="-70.104299999999995"/>
    <x v="2"/>
    <x v="1"/>
  </r>
  <r>
    <x v="233"/>
    <x v="216"/>
    <m/>
    <n v="42864"/>
    <x v="1"/>
    <s v="LW-16990"/>
    <s v="Lindsay Williams"/>
    <x v="1"/>
    <s v="United States"/>
    <x v="28"/>
    <x v="2"/>
    <x v="1"/>
    <s v="FUR-TA-10003473"/>
    <s v="Furniture"/>
    <x v="2"/>
    <s v="Bretford Rectangular Conference Table Tops"/>
    <n v="300.904"/>
    <n v="1"/>
    <n v="11.283899999999999"/>
    <x v="2"/>
    <x v="7"/>
  </r>
  <r>
    <x v="234"/>
    <x v="217"/>
    <m/>
    <n v="42852"/>
    <x v="2"/>
    <s v="LB-16735"/>
    <s v="Larry Blacks"/>
    <x v="0"/>
    <s v="United States"/>
    <x v="50"/>
    <x v="5"/>
    <x v="3"/>
    <s v="FUR-FU-10000010"/>
    <s v="Furniture"/>
    <x v="3"/>
    <s v="DAX Value U-Channel Document Frames, Easel Back"/>
    <n v="1.988"/>
    <n v="1"/>
    <n v="-1.4413"/>
    <x v="5"/>
    <x v="6"/>
  </r>
  <r>
    <x v="235"/>
    <x v="218"/>
    <m/>
    <n v="41913"/>
    <x v="0"/>
    <s v="KT-16465"/>
    <s v="Kean Takahito"/>
    <x v="0"/>
    <s v="United States"/>
    <x v="2"/>
    <x v="2"/>
    <x v="1"/>
    <s v="FUR-CH-10002961"/>
    <s v="Furniture"/>
    <x v="1"/>
    <s v="Leather Task Chair, Black"/>
    <n v="145.56800000000001"/>
    <n v="2"/>
    <n v="0"/>
    <x v="2"/>
    <x v="4"/>
  </r>
  <r>
    <x v="236"/>
    <x v="219"/>
    <m/>
    <n v="43050"/>
    <x v="2"/>
    <s v="AB-10600"/>
    <s v="Ann Blume"/>
    <x v="1"/>
    <s v="United States"/>
    <x v="104"/>
    <x v="22"/>
    <x v="1"/>
    <s v="FUR-CH-10003312"/>
    <s v="Furniture"/>
    <x v="1"/>
    <s v="Hon 2090 Ã’Pillow SoftÃ“ Series Mid Back Swivel/Tilt Chairs"/>
    <n v="899.13599999999997"/>
    <n v="4"/>
    <n v="-146.1096"/>
    <x v="5"/>
    <x v="0"/>
  </r>
  <r>
    <x v="237"/>
    <x v="220"/>
    <m/>
    <n v="42927"/>
    <x v="2"/>
    <s v="SZ-20035"/>
    <s v="Sam Zeldin"/>
    <x v="2"/>
    <s v="United States"/>
    <x v="105"/>
    <x v="2"/>
    <x v="1"/>
    <s v="FUR-FU-10001588"/>
    <s v="Furniture"/>
    <x v="3"/>
    <s v="Deflect-o SuperTray Unbreakable Stackable Tray, Letter, Black"/>
    <n v="145.9"/>
    <n v="5"/>
    <n v="62.737000000000002"/>
    <x v="0"/>
    <x v="3"/>
  </r>
  <r>
    <x v="238"/>
    <x v="37"/>
    <m/>
    <n v="42366"/>
    <x v="1"/>
    <s v="JR-15670"/>
    <s v="Jim Radford"/>
    <x v="0"/>
    <s v="United States"/>
    <x v="30"/>
    <x v="12"/>
    <x v="1"/>
    <s v="FUR-BO-10002613"/>
    <s v="Furniture"/>
    <x v="0"/>
    <s v="Atlantic Metals Mobile 4-Shelf Bookcases, Custom Colors"/>
    <n v="590.05799999999999"/>
    <n v="7"/>
    <n v="-786.74400000000003"/>
    <x v="4"/>
    <x v="5"/>
  </r>
  <r>
    <x v="239"/>
    <x v="221"/>
    <m/>
    <n v="42266"/>
    <x v="1"/>
    <s v="CA-12265"/>
    <s v="Christina Anderson"/>
    <x v="0"/>
    <s v="United States"/>
    <x v="106"/>
    <x v="4"/>
    <x v="1"/>
    <s v="FUR-TA-10003008"/>
    <s v="Furniture"/>
    <x v="2"/>
    <s v="Lesro Round Back Collection Coffee Table, End Table"/>
    <n v="912.75"/>
    <n v="5"/>
    <n v="118.6575"/>
    <x v="2"/>
    <x v="4"/>
  </r>
  <r>
    <x v="240"/>
    <x v="222"/>
    <m/>
    <n v="42622"/>
    <x v="1"/>
    <s v="JK-16120"/>
    <s v="Julie Kriz"/>
    <x v="2"/>
    <s v="United States"/>
    <x v="14"/>
    <x v="8"/>
    <x v="3"/>
    <s v="FUR-FU-10003394"/>
    <s v="Furniture"/>
    <x v="3"/>
    <s v="Tenex &quot;The Solids&quot; Textured Chair Mats"/>
    <n v="83.951999999999998"/>
    <n v="3"/>
    <n v="-90.248400000000004"/>
    <x v="6"/>
    <x v="4"/>
  </r>
  <r>
    <x v="241"/>
    <x v="223"/>
    <m/>
    <n v="42405"/>
    <x v="3"/>
    <s v="PP-18955"/>
    <s v="Paul Prost"/>
    <x v="2"/>
    <s v="United States"/>
    <x v="107"/>
    <x v="24"/>
    <x v="0"/>
    <s v="FUR-FU-10004091"/>
    <s v="Furniture"/>
    <x v="3"/>
    <s v="Eldon 200 Class Desk Accessories, Black"/>
    <n v="18.84"/>
    <n v="3"/>
    <n v="7.1592000000000002"/>
    <x v="7"/>
    <x v="11"/>
  </r>
  <r>
    <x v="241"/>
    <x v="223"/>
    <m/>
    <n v="42405"/>
    <x v="3"/>
    <s v="PP-18955"/>
    <s v="Paul Prost"/>
    <x v="2"/>
    <s v="United States"/>
    <x v="107"/>
    <x v="24"/>
    <x v="0"/>
    <s v="FUR-BO-10004015"/>
    <s v="Furniture"/>
    <x v="0"/>
    <s v="Bush Andora Bookcase, Maple/Graphite Gray Finish"/>
    <n v="239.98"/>
    <n v="2"/>
    <n v="52.7956"/>
    <x v="7"/>
    <x v="11"/>
  </r>
  <r>
    <x v="242"/>
    <x v="224"/>
    <m/>
    <n v="43022"/>
    <x v="1"/>
    <s v="CK-12760"/>
    <s v="Cyma Kinney"/>
    <x v="1"/>
    <s v="United States"/>
    <x v="14"/>
    <x v="8"/>
    <x v="3"/>
    <s v="FUR-TA-10002958"/>
    <s v="Furniture"/>
    <x v="2"/>
    <s v="Bevis Oval Conference Table, Walnut"/>
    <n v="652.45000000000005"/>
    <n v="5"/>
    <n v="-430.61700000000002"/>
    <x v="2"/>
    <x v="1"/>
  </r>
  <r>
    <x v="242"/>
    <x v="224"/>
    <m/>
    <n v="43022"/>
    <x v="1"/>
    <s v="CK-12760"/>
    <s v="Cyma Kinney"/>
    <x v="1"/>
    <s v="United States"/>
    <x v="14"/>
    <x v="8"/>
    <x v="3"/>
    <s v="FUR-TA-10001676"/>
    <s v="Furniture"/>
    <x v="2"/>
    <s v="Hon 61000 Series Interactive Training Tables"/>
    <n v="66.644999999999996"/>
    <n v="3"/>
    <n v="-42.652799999999999"/>
    <x v="2"/>
    <x v="1"/>
  </r>
  <r>
    <x v="243"/>
    <x v="225"/>
    <m/>
    <n v="42485"/>
    <x v="1"/>
    <s v="GM-14455"/>
    <s v="Gary Mitchum"/>
    <x v="2"/>
    <s v="United States"/>
    <x v="29"/>
    <x v="15"/>
    <x v="2"/>
    <s v="FUR-TA-10002622"/>
    <s v="Furniture"/>
    <x v="2"/>
    <s v="Bush Andora Conference Table, Maple/Graphite Gray Finish"/>
    <n v="205.17599999999999"/>
    <n v="2"/>
    <n v="-58.133200000000002"/>
    <x v="6"/>
    <x v="6"/>
  </r>
  <r>
    <x v="244"/>
    <x v="226"/>
    <m/>
    <n v="41737"/>
    <x v="2"/>
    <s v="SD-20485"/>
    <s v="Shirley Daniels"/>
    <x v="2"/>
    <s v="United States"/>
    <x v="3"/>
    <x v="3"/>
    <x v="2"/>
    <s v="FUR-TA-10001039"/>
    <s v="Furniture"/>
    <x v="2"/>
    <s v="KI Adjustable-Height Table"/>
    <n v="154.76400000000001"/>
    <n v="3"/>
    <n v="-36.111600000000003"/>
    <x v="3"/>
    <x v="6"/>
  </r>
  <r>
    <x v="245"/>
    <x v="227"/>
    <m/>
    <n v="42619"/>
    <x v="1"/>
    <s v="KD-16270"/>
    <s v="Karen Daniels"/>
    <x v="0"/>
    <s v="United States"/>
    <x v="13"/>
    <x v="7"/>
    <x v="2"/>
    <s v="FUR-FU-10001967"/>
    <s v="Furniture"/>
    <x v="3"/>
    <s v="Telescoping Adjustable Floor Lamp"/>
    <n v="39.979999999999997"/>
    <n v="2"/>
    <n v="9.9949999999999992"/>
    <x v="4"/>
    <x v="4"/>
  </r>
  <r>
    <x v="246"/>
    <x v="228"/>
    <m/>
    <n v="42643"/>
    <x v="1"/>
    <s v="AB-10105"/>
    <s v="Adrian Barton"/>
    <x v="0"/>
    <s v="United States"/>
    <x v="43"/>
    <x v="22"/>
    <x v="1"/>
    <s v="FUR-TA-10002356"/>
    <s v="Furniture"/>
    <x v="2"/>
    <s v="Bevis Boat-Shaped Conference Table"/>
    <n v="393.16500000000002"/>
    <n v="3"/>
    <n v="-204.44579999999999"/>
    <x v="2"/>
    <x v="4"/>
  </r>
  <r>
    <x v="247"/>
    <x v="229"/>
    <m/>
    <n v="42564"/>
    <x v="1"/>
    <s v="JD-15895"/>
    <s v="Jonathan Doherty"/>
    <x v="1"/>
    <s v="United States"/>
    <x v="13"/>
    <x v="7"/>
    <x v="2"/>
    <s v="FUR-CH-10002335"/>
    <s v="Furniture"/>
    <x v="1"/>
    <s v="Hon GuestStacker Chair"/>
    <n v="408.00599999999997"/>
    <n v="2"/>
    <n v="72.534400000000005"/>
    <x v="4"/>
    <x v="3"/>
  </r>
  <r>
    <x v="247"/>
    <x v="229"/>
    <m/>
    <n v="42564"/>
    <x v="1"/>
    <s v="JD-15895"/>
    <s v="Jonathan Doherty"/>
    <x v="1"/>
    <s v="United States"/>
    <x v="13"/>
    <x v="7"/>
    <x v="2"/>
    <s v="FUR-FU-10000723"/>
    <s v="Furniture"/>
    <x v="3"/>
    <s v="Deflect-o EconoMat Studded, No Bevel Mat for Low Pile Carpeting"/>
    <n v="165.28"/>
    <n v="4"/>
    <n v="14.8752"/>
    <x v="4"/>
    <x v="3"/>
  </r>
  <r>
    <x v="248"/>
    <x v="230"/>
    <m/>
    <n v="42766"/>
    <x v="0"/>
    <s v="BT-11305"/>
    <s v="Beth Thompson"/>
    <x v="2"/>
    <s v="United States"/>
    <x v="46"/>
    <x v="2"/>
    <x v="1"/>
    <s v="FUR-FU-10003976"/>
    <s v="Furniture"/>
    <x v="3"/>
    <s v="DAX Executive Solid Wood Document Frame, Desktop or Hang, Mahogany, 5 x 7"/>
    <n v="37.74"/>
    <n v="3"/>
    <n v="12.8316"/>
    <x v="0"/>
    <x v="8"/>
  </r>
  <r>
    <x v="249"/>
    <x v="231"/>
    <m/>
    <n v="42271"/>
    <x v="2"/>
    <s v="SV-20815"/>
    <s v="Stuart Van"/>
    <x v="1"/>
    <s v="United States"/>
    <x v="6"/>
    <x v="5"/>
    <x v="3"/>
    <s v="FUR-FU-10001706"/>
    <s v="Furniture"/>
    <x v="3"/>
    <s v="Longer-Life Soft White Bulbs"/>
    <n v="4.9279999999999999"/>
    <n v="4"/>
    <n v="-1.4783999999999999"/>
    <x v="0"/>
    <x v="4"/>
  </r>
  <r>
    <x v="250"/>
    <x v="232"/>
    <m/>
    <n v="41994"/>
    <x v="0"/>
    <s v="IM-15070"/>
    <s v="Irene Maddox"/>
    <x v="0"/>
    <s v="United States"/>
    <x v="73"/>
    <x v="33"/>
    <x v="0"/>
    <s v="FUR-CH-10000513"/>
    <s v="Furniture"/>
    <x v="1"/>
    <s v="High-Back Leather Manager's Chair"/>
    <n v="1819.86"/>
    <n v="14"/>
    <n v="163.78739999999999"/>
    <x v="3"/>
    <x v="5"/>
  </r>
  <r>
    <x v="251"/>
    <x v="233"/>
    <m/>
    <n v="42292"/>
    <x v="3"/>
    <s v="JE-15745"/>
    <s v="Joel Eaton"/>
    <x v="0"/>
    <s v="United States"/>
    <x v="45"/>
    <x v="5"/>
    <x v="3"/>
    <s v="FUR-CH-10002024"/>
    <s v="Furniture"/>
    <x v="1"/>
    <s v="HON 5400 Series Task Chairs for Big and Tall"/>
    <n v="2453.4299999999998"/>
    <n v="5"/>
    <n v="-350.49"/>
    <x v="7"/>
    <x v="1"/>
  </r>
  <r>
    <x v="252"/>
    <x v="234"/>
    <m/>
    <n v="42902"/>
    <x v="2"/>
    <s v="SD-20485"/>
    <s v="Shirley Daniels"/>
    <x v="2"/>
    <s v="United States"/>
    <x v="9"/>
    <x v="8"/>
    <x v="3"/>
    <s v="FUR-CH-10004289"/>
    <s v="Furniture"/>
    <x v="1"/>
    <s v="Global Super Steno Chair"/>
    <n v="470.30200000000002"/>
    <n v="7"/>
    <n v="-87.341800000000006"/>
    <x v="0"/>
    <x v="2"/>
  </r>
  <r>
    <x v="253"/>
    <x v="235"/>
    <m/>
    <n v="42905"/>
    <x v="1"/>
    <s v="ME-17320"/>
    <s v="Maria Etezadi"/>
    <x v="2"/>
    <s v="United States"/>
    <x v="29"/>
    <x v="24"/>
    <x v="0"/>
    <s v="FUR-TA-10002530"/>
    <s v="Furniture"/>
    <x v="2"/>
    <s v="Iceberg OfficeWorks 42&quot; Round Tables"/>
    <n v="452.94"/>
    <n v="3"/>
    <n v="67.941000000000003"/>
    <x v="1"/>
    <x v="2"/>
  </r>
  <r>
    <x v="254"/>
    <x v="236"/>
    <m/>
    <n v="41763"/>
    <x v="3"/>
    <s v="AA-10480"/>
    <s v="Andrew Allen"/>
    <x v="0"/>
    <s v="United States"/>
    <x v="108"/>
    <x v="19"/>
    <x v="2"/>
    <s v="FUR-FU-10001473"/>
    <s v="Furniture"/>
    <x v="3"/>
    <s v="DAX Wood Document Frame"/>
    <n v="27.46"/>
    <n v="2"/>
    <n v="9.8856000000000002"/>
    <x v="7"/>
    <x v="7"/>
  </r>
  <r>
    <x v="255"/>
    <x v="237"/>
    <m/>
    <n v="42444"/>
    <x v="1"/>
    <s v="MB-18085"/>
    <s v="Mick Brown"/>
    <x v="0"/>
    <s v="United States"/>
    <x v="109"/>
    <x v="18"/>
    <x v="2"/>
    <s v="FUR-TA-10001095"/>
    <s v="Furniture"/>
    <x v="2"/>
    <s v="Chromcraft Round Conference Tables"/>
    <n v="244.006"/>
    <n v="2"/>
    <n v="-31.372199999999999"/>
    <x v="4"/>
    <x v="9"/>
  </r>
  <r>
    <x v="256"/>
    <x v="238"/>
    <m/>
    <n v="42610"/>
    <x v="2"/>
    <s v="LC-16930"/>
    <s v="Linda Cazamias"/>
    <x v="1"/>
    <s v="United States"/>
    <x v="102"/>
    <x v="5"/>
    <x v="3"/>
    <s v="FUR-CH-10002126"/>
    <s v="Furniture"/>
    <x v="1"/>
    <s v="Hon Deluxe Fabric Upholstered Stacking Chairs"/>
    <n v="1024.7159999999999"/>
    <n v="6"/>
    <n v="-29.2776"/>
    <x v="3"/>
    <x v="10"/>
  </r>
  <r>
    <x v="257"/>
    <x v="98"/>
    <m/>
    <n v="41865"/>
    <x v="1"/>
    <s v="MB-17305"/>
    <s v="Maria Bertelson"/>
    <x v="0"/>
    <s v="United States"/>
    <x v="110"/>
    <x v="22"/>
    <x v="1"/>
    <s v="FUR-FU-10001602"/>
    <s v="Furniture"/>
    <x v="3"/>
    <s v="Eldon Delta Triangular Chair Mat, 52&quot; x 58&quot;, Clear"/>
    <n v="121.376"/>
    <n v="4"/>
    <n v="-3.0344000000000002"/>
    <x v="6"/>
    <x v="10"/>
  </r>
  <r>
    <x v="258"/>
    <x v="13"/>
    <m/>
    <n v="43082"/>
    <x v="1"/>
    <s v="DK-12835"/>
    <s v="Damala Kotsonis"/>
    <x v="1"/>
    <s v="United States"/>
    <x v="25"/>
    <x v="17"/>
    <x v="3"/>
    <s v="FUR-CH-10000847"/>
    <s v="Furniture"/>
    <x v="1"/>
    <s v="Global Executive Mid-Back Manager's Chair"/>
    <n v="872.94"/>
    <n v="3"/>
    <n v="226.96440000000001"/>
    <x v="4"/>
    <x v="5"/>
  </r>
  <r>
    <x v="259"/>
    <x v="239"/>
    <m/>
    <n v="42340"/>
    <x v="3"/>
    <s v="NM-18520"/>
    <s v="Neoma Murray"/>
    <x v="0"/>
    <s v="United States"/>
    <x v="6"/>
    <x v="5"/>
    <x v="3"/>
    <s v="FUR-FU-10004270"/>
    <s v="Furniture"/>
    <x v="3"/>
    <s v="Eldon Image Series Desk Accessories, Burgundy"/>
    <n v="6.6879999999999997"/>
    <n v="4"/>
    <n v="-4.0128000000000004"/>
    <x v="5"/>
    <x v="5"/>
  </r>
  <r>
    <x v="260"/>
    <x v="240"/>
    <m/>
    <n v="42315"/>
    <x v="1"/>
    <s v="CM-12655"/>
    <s v="Corinna Mitchell"/>
    <x v="2"/>
    <s v="United States"/>
    <x v="2"/>
    <x v="2"/>
    <x v="1"/>
    <s v="FUR-FU-10003347"/>
    <s v="Furniture"/>
    <x v="3"/>
    <s v="Coloredge Poster Frame"/>
    <n v="42.6"/>
    <n v="3"/>
    <n v="16.614000000000001"/>
    <x v="4"/>
    <x v="0"/>
  </r>
  <r>
    <x v="261"/>
    <x v="241"/>
    <m/>
    <n v="43067"/>
    <x v="1"/>
    <s v="TS-21370"/>
    <s v="Todd Sumrall"/>
    <x v="1"/>
    <s v="United States"/>
    <x v="13"/>
    <x v="7"/>
    <x v="2"/>
    <s v="FUR-CH-10000785"/>
    <s v="Furniture"/>
    <x v="1"/>
    <s v="Global Ergonomic Managers Chair"/>
    <n v="977.29200000000003"/>
    <n v="6"/>
    <n v="173.74080000000001"/>
    <x v="4"/>
    <x v="0"/>
  </r>
  <r>
    <x v="262"/>
    <x v="242"/>
    <m/>
    <n v="43042"/>
    <x v="1"/>
    <s v="JW-15220"/>
    <s v="Jane Waco"/>
    <x v="1"/>
    <s v="United States"/>
    <x v="57"/>
    <x v="13"/>
    <x v="1"/>
    <s v="FUR-FU-10002885"/>
    <s v="Furniture"/>
    <x v="3"/>
    <s v="Magna Visual Magnetic Picture Hangers"/>
    <n v="9.64"/>
    <n v="2"/>
    <n v="3.6631999999999998"/>
    <x v="4"/>
    <x v="1"/>
  </r>
  <r>
    <x v="263"/>
    <x v="243"/>
    <m/>
    <n v="42705"/>
    <x v="1"/>
    <s v="AT-10435"/>
    <s v="Alyssa Tate"/>
    <x v="2"/>
    <s v="United States"/>
    <x v="2"/>
    <x v="2"/>
    <x v="1"/>
    <s v="FUR-FU-10000010"/>
    <s v="Furniture"/>
    <x v="3"/>
    <s v="DAX Value U-Channel Document Frames, Easel Back"/>
    <n v="9.94"/>
    <n v="2"/>
    <n v="3.0813999999999999"/>
    <x v="1"/>
    <x v="0"/>
  </r>
  <r>
    <x v="264"/>
    <x v="244"/>
    <m/>
    <n v="42223"/>
    <x v="1"/>
    <s v="PC-19000"/>
    <s v="Pauline Chand"/>
    <x v="2"/>
    <s v="United States"/>
    <x v="2"/>
    <x v="2"/>
    <x v="1"/>
    <s v="FUR-TA-10003715"/>
    <s v="Furniture"/>
    <x v="2"/>
    <s v="Hon 2111 Invitation Series Corner Table"/>
    <n v="1004.976"/>
    <n v="6"/>
    <n v="-175.8708"/>
    <x v="6"/>
    <x v="10"/>
  </r>
  <r>
    <x v="265"/>
    <x v="245"/>
    <m/>
    <n v="42993"/>
    <x v="2"/>
    <s v="JM-15535"/>
    <s v="Jessica Myrick"/>
    <x v="0"/>
    <s v="United States"/>
    <x v="2"/>
    <x v="2"/>
    <x v="1"/>
    <s v="FUR-FU-10004270"/>
    <s v="Furniture"/>
    <x v="3"/>
    <s v="Eldon Image Series Desk Accessories, Burgundy"/>
    <n v="8.36"/>
    <n v="2"/>
    <n v="3.0095999999999998"/>
    <x v="0"/>
    <x v="4"/>
  </r>
  <r>
    <x v="266"/>
    <x v="246"/>
    <m/>
    <n v="43086"/>
    <x v="1"/>
    <s v="AI-10855"/>
    <s v="Arianne Irving"/>
    <x v="0"/>
    <s v="United States"/>
    <x v="3"/>
    <x v="3"/>
    <x v="2"/>
    <s v="FUR-CH-10002961"/>
    <s v="Furniture"/>
    <x v="1"/>
    <s v="Leather Task Chair, Black"/>
    <n v="63.686"/>
    <n v="1"/>
    <n v="-9.0980000000000008"/>
    <x v="6"/>
    <x v="5"/>
  </r>
  <r>
    <x v="267"/>
    <x v="247"/>
    <m/>
    <n v="43083"/>
    <x v="0"/>
    <s v="MC-17845"/>
    <s v="Michael Chen"/>
    <x v="0"/>
    <s v="United States"/>
    <x v="111"/>
    <x v="34"/>
    <x v="1"/>
    <s v="FUR-TA-10004256"/>
    <s v="Furniture"/>
    <x v="2"/>
    <s v="Bretford Ã’Just In TimeÃ“ Height-Adjustable Multi-Task Work Tables"/>
    <n v="1669.6"/>
    <n v="4"/>
    <n v="116.872"/>
    <x v="4"/>
    <x v="5"/>
  </r>
  <r>
    <x v="268"/>
    <x v="248"/>
    <m/>
    <n v="42349"/>
    <x v="1"/>
    <s v="GH-14425"/>
    <s v="Gary Hwang"/>
    <x v="0"/>
    <s v="United States"/>
    <x v="104"/>
    <x v="22"/>
    <x v="1"/>
    <s v="FUR-FU-10002253"/>
    <s v="Furniture"/>
    <x v="3"/>
    <s v="Howard Miller 13&quot; Diameter Pewter Finish Round Wall Clock"/>
    <n v="206.11199999999999"/>
    <n v="6"/>
    <n v="48.951599999999999"/>
    <x v="2"/>
    <x v="5"/>
  </r>
  <r>
    <x v="269"/>
    <x v="249"/>
    <m/>
    <n v="42578"/>
    <x v="1"/>
    <s v="CJ-12010"/>
    <s v="Caroline Jumper"/>
    <x v="0"/>
    <s v="United States"/>
    <x v="112"/>
    <x v="3"/>
    <x v="2"/>
    <s v="FUR-FU-10002456"/>
    <s v="Furniture"/>
    <x v="3"/>
    <s v="Master Caster Door Stop, Large Neon Orange"/>
    <n v="11.648"/>
    <n v="2"/>
    <n v="3.3488000000000002"/>
    <x v="2"/>
    <x v="3"/>
  </r>
  <r>
    <x v="270"/>
    <x v="250"/>
    <m/>
    <n v="42780"/>
    <x v="1"/>
    <s v="MP-18175"/>
    <s v="Mike Pelletier"/>
    <x v="2"/>
    <s v="United States"/>
    <x v="113"/>
    <x v="2"/>
    <x v="1"/>
    <s v="FUR-BO-10004015"/>
    <s v="Furniture"/>
    <x v="0"/>
    <s v="Bush Andora Bookcase, Maple/Graphite Gray Finish"/>
    <n v="203.983"/>
    <n v="2"/>
    <n v="16.7986"/>
    <x v="4"/>
    <x v="11"/>
  </r>
  <r>
    <x v="271"/>
    <x v="102"/>
    <m/>
    <n v="42995"/>
    <x v="0"/>
    <s v="CL-11890"/>
    <s v="Carl Ludwig"/>
    <x v="0"/>
    <s v="United States"/>
    <x v="114"/>
    <x v="20"/>
    <x v="2"/>
    <s v="FUR-BO-10002545"/>
    <s v="Furniture"/>
    <x v="0"/>
    <s v="Atlantic Metals Mobile 3-Shelf Bookcases, Custom Colors"/>
    <n v="782.94"/>
    <n v="3"/>
    <n v="203.56440000000001"/>
    <x v="3"/>
    <x v="4"/>
  </r>
  <r>
    <x v="272"/>
    <x v="251"/>
    <m/>
    <n v="41714"/>
    <x v="0"/>
    <s v="CK-12205"/>
    <s v="Chloris Kastensmidt"/>
    <x v="0"/>
    <s v="United States"/>
    <x v="29"/>
    <x v="15"/>
    <x v="2"/>
    <s v="FUR-FU-10003981"/>
    <s v="Furniture"/>
    <x v="3"/>
    <s v="Eldon Wave Desk Accessories"/>
    <n v="8.32"/>
    <n v="5"/>
    <n v="2.2879999999999998"/>
    <x v="2"/>
    <x v="9"/>
  </r>
  <r>
    <x v="273"/>
    <x v="252"/>
    <m/>
    <n v="42008"/>
    <x v="0"/>
    <s v="PC-18745"/>
    <s v="Pamela Coakley"/>
    <x v="1"/>
    <s v="United States"/>
    <x v="115"/>
    <x v="7"/>
    <x v="2"/>
    <s v="FUR-BO-10002613"/>
    <s v="Furniture"/>
    <x v="0"/>
    <s v="Atlantic Metals Mobile 4-Shelf Bookcases, Custom Colors"/>
    <n v="1573.4880000000001"/>
    <n v="7"/>
    <n v="196.68600000000001"/>
    <x v="4"/>
    <x v="5"/>
  </r>
  <r>
    <x v="274"/>
    <x v="253"/>
    <m/>
    <n v="42081"/>
    <x v="0"/>
    <s v="JE-15475"/>
    <s v="Jeremy Ellison"/>
    <x v="0"/>
    <s v="United States"/>
    <x v="15"/>
    <x v="13"/>
    <x v="1"/>
    <s v="FUR-TA-10001039"/>
    <s v="Furniture"/>
    <x v="2"/>
    <s v="KI Adjustable-Height Table"/>
    <n v="171.96"/>
    <n v="2"/>
    <n v="44.709600000000002"/>
    <x v="3"/>
    <x v="9"/>
  </r>
  <r>
    <x v="275"/>
    <x v="254"/>
    <m/>
    <n v="42916"/>
    <x v="3"/>
    <s v="SG-20470"/>
    <s v="Sheri Gordon"/>
    <x v="0"/>
    <s v="United States"/>
    <x v="13"/>
    <x v="7"/>
    <x v="2"/>
    <s v="FUR-TA-10000577"/>
    <s v="Furniture"/>
    <x v="2"/>
    <s v="Bretford CR4500 Series Slim Rectangular Table"/>
    <n v="1044.6300000000001"/>
    <n v="5"/>
    <n v="-295.9785"/>
    <x v="7"/>
    <x v="2"/>
  </r>
  <r>
    <x v="276"/>
    <x v="255"/>
    <m/>
    <n v="41968"/>
    <x v="2"/>
    <s v="SC-20095"/>
    <s v="Sanjit Chand"/>
    <x v="0"/>
    <s v="United States"/>
    <x v="2"/>
    <x v="2"/>
    <x v="1"/>
    <s v="FUR-CH-10000863"/>
    <s v="Furniture"/>
    <x v="1"/>
    <s v="Novimex Swivel Fabric Task Chair"/>
    <n v="603.91999999999996"/>
    <n v="5"/>
    <n v="-67.941000000000003"/>
    <x v="3"/>
    <x v="0"/>
  </r>
  <r>
    <x v="276"/>
    <x v="255"/>
    <m/>
    <n v="41968"/>
    <x v="2"/>
    <s v="SC-20095"/>
    <s v="Sanjit Chand"/>
    <x v="0"/>
    <s v="United States"/>
    <x v="2"/>
    <x v="2"/>
    <x v="1"/>
    <s v="FUR-CH-10000595"/>
    <s v="Furniture"/>
    <x v="1"/>
    <s v="Safco Contoured Stacking Chairs"/>
    <n v="381.44"/>
    <n v="2"/>
    <n v="23.84"/>
    <x v="3"/>
    <x v="0"/>
  </r>
  <r>
    <x v="277"/>
    <x v="256"/>
    <m/>
    <n v="41991"/>
    <x v="2"/>
    <s v="MC-18100"/>
    <s v="Mick Crebagga"/>
    <x v="0"/>
    <s v="United States"/>
    <x v="116"/>
    <x v="5"/>
    <x v="3"/>
    <s v="FUR-CH-10004675"/>
    <s v="Furniture"/>
    <x v="1"/>
    <s v="Lifetime Advantage Folding Chairs, 4/Carton"/>
    <n v="763.28"/>
    <n v="5"/>
    <n v="-21.808"/>
    <x v="0"/>
    <x v="5"/>
  </r>
  <r>
    <x v="278"/>
    <x v="38"/>
    <m/>
    <n v="42228"/>
    <x v="2"/>
    <s v="NP-18325"/>
    <s v="Naresj Patel"/>
    <x v="0"/>
    <s v="United States"/>
    <x v="13"/>
    <x v="7"/>
    <x v="2"/>
    <s v="FUR-TA-10002607"/>
    <s v="Furniture"/>
    <x v="2"/>
    <s v="KI Conference Tables"/>
    <n v="382.80599999999998"/>
    <n v="9"/>
    <n v="-153.1224"/>
    <x v="0"/>
    <x v="10"/>
  </r>
  <r>
    <x v="278"/>
    <x v="38"/>
    <m/>
    <n v="42228"/>
    <x v="2"/>
    <s v="NP-18325"/>
    <s v="Naresj Patel"/>
    <x v="0"/>
    <s v="United States"/>
    <x v="13"/>
    <x v="7"/>
    <x v="2"/>
    <s v="FUR-FU-10002157"/>
    <s v="Furniture"/>
    <x v="3"/>
    <s v="Artistic Insta-Plaque"/>
    <n v="47.04"/>
    <n v="3"/>
    <n v="18.345600000000001"/>
    <x v="0"/>
    <x v="10"/>
  </r>
  <r>
    <x v="278"/>
    <x v="38"/>
    <m/>
    <n v="42228"/>
    <x v="2"/>
    <s v="NP-18325"/>
    <s v="Naresj Patel"/>
    <x v="0"/>
    <s v="United States"/>
    <x v="13"/>
    <x v="7"/>
    <x v="2"/>
    <s v="FUR-FU-10001706"/>
    <s v="Furniture"/>
    <x v="3"/>
    <s v="Longer-Life Soft White Bulbs"/>
    <n v="6.16"/>
    <n v="2"/>
    <n v="2.9567999999999999"/>
    <x v="0"/>
    <x v="10"/>
  </r>
  <r>
    <x v="279"/>
    <x v="257"/>
    <m/>
    <n v="42090"/>
    <x v="2"/>
    <s v="DP-13390"/>
    <s v="Dennis Pardue"/>
    <x v="2"/>
    <s v="United States"/>
    <x v="117"/>
    <x v="8"/>
    <x v="3"/>
    <s v="FUR-BO-10000362"/>
    <s v="Furniture"/>
    <x v="0"/>
    <s v="Sauder Inglewood Library Bookcases"/>
    <n v="359.05799999999999"/>
    <n v="3"/>
    <n v="-35.905799999999999"/>
    <x v="0"/>
    <x v="9"/>
  </r>
  <r>
    <x v="280"/>
    <x v="258"/>
    <m/>
    <n v="42867"/>
    <x v="1"/>
    <s v="MD-17350"/>
    <s v="Maribeth Dona"/>
    <x v="0"/>
    <s v="United States"/>
    <x v="29"/>
    <x v="15"/>
    <x v="2"/>
    <s v="FUR-CH-10004540"/>
    <s v="Furniture"/>
    <x v="1"/>
    <s v="Global Chrome Stack Chair"/>
    <n v="47.991999999999997"/>
    <n v="2"/>
    <n v="-2.0568"/>
    <x v="4"/>
    <x v="7"/>
  </r>
  <r>
    <x v="281"/>
    <x v="259"/>
    <m/>
    <n v="43026"/>
    <x v="2"/>
    <s v="MY-17380"/>
    <s v="Maribeth Yedwab"/>
    <x v="1"/>
    <s v="United States"/>
    <x v="13"/>
    <x v="7"/>
    <x v="2"/>
    <s v="FUR-FU-10001290"/>
    <s v="Furniture"/>
    <x v="3"/>
    <s v="Executive Impressions Supervisor Wall Clock"/>
    <n v="547.29999999999995"/>
    <n v="13"/>
    <n v="175.136"/>
    <x v="3"/>
    <x v="1"/>
  </r>
  <r>
    <x v="282"/>
    <x v="49"/>
    <m/>
    <n v="43060"/>
    <x v="0"/>
    <s v="AB-10150"/>
    <s v="Aimee Bixby"/>
    <x v="0"/>
    <s v="United States"/>
    <x v="118"/>
    <x v="5"/>
    <x v="3"/>
    <s v="FUR-FU-10001967"/>
    <s v="Furniture"/>
    <x v="3"/>
    <s v="Telescoping Adjustable Floor Lamp"/>
    <n v="15.992000000000001"/>
    <n v="2"/>
    <n v="-13.993"/>
    <x v="3"/>
    <x v="0"/>
  </r>
  <r>
    <x v="283"/>
    <x v="260"/>
    <m/>
    <n v="42503"/>
    <x v="0"/>
    <s v="GB-14530"/>
    <s v="George Bell"/>
    <x v="1"/>
    <s v="United States"/>
    <x v="63"/>
    <x v="14"/>
    <x v="2"/>
    <s v="FUR-FU-10001488"/>
    <s v="Furniture"/>
    <x v="3"/>
    <s v="Tenex 46&quot; x 60&quot; Computer Anti-Static Chairmat, Rectangular Shaped"/>
    <n v="211.96"/>
    <n v="2"/>
    <n v="42.392000000000003"/>
    <x v="2"/>
    <x v="7"/>
  </r>
  <r>
    <x v="284"/>
    <x v="261"/>
    <m/>
    <n v="41789"/>
    <x v="1"/>
    <s v="ML-17395"/>
    <s v="Marina Lichtenstein"/>
    <x v="1"/>
    <s v="United States"/>
    <x v="2"/>
    <x v="2"/>
    <x v="1"/>
    <s v="FUR-BO-10000362"/>
    <s v="Furniture"/>
    <x v="0"/>
    <s v="Sauder Inglewood Library Bookcases"/>
    <n v="290.666"/>
    <n v="2"/>
    <n v="27.3568"/>
    <x v="4"/>
    <x v="7"/>
  </r>
  <r>
    <x v="285"/>
    <x v="220"/>
    <m/>
    <n v="42931"/>
    <x v="1"/>
    <s v="JC-15385"/>
    <s v="Jenna Caffey"/>
    <x v="0"/>
    <s v="United States"/>
    <x v="119"/>
    <x v="13"/>
    <x v="1"/>
    <s v="FUR-FU-10002937"/>
    <s v="Furniture"/>
    <x v="3"/>
    <s v="GE 48&quot; Fluorescent Tube, Cool White Energy Saver, 34 Watts, 30/Box"/>
    <n v="198.46"/>
    <n v="2"/>
    <n v="99.23"/>
    <x v="1"/>
    <x v="3"/>
  </r>
  <r>
    <x v="286"/>
    <x v="262"/>
    <m/>
    <n v="42277"/>
    <x v="1"/>
    <s v="MC-17275"/>
    <s v="Marc Crier"/>
    <x v="0"/>
    <s v="United States"/>
    <x v="120"/>
    <x v="35"/>
    <x v="0"/>
    <s v="FUR-CH-10001270"/>
    <s v="Furniture"/>
    <x v="1"/>
    <s v="Harbour Creations Steel Folding Chair"/>
    <n v="517.5"/>
    <n v="6"/>
    <n v="155.25"/>
    <x v="6"/>
    <x v="4"/>
  </r>
  <r>
    <x v="287"/>
    <x v="263"/>
    <m/>
    <n v="42911"/>
    <x v="0"/>
    <s v="AS-10240"/>
    <s v="Alan Shonely"/>
    <x v="0"/>
    <s v="United States"/>
    <x v="59"/>
    <x v="15"/>
    <x v="2"/>
    <s v="FUR-FU-10004415"/>
    <s v="Furniture"/>
    <x v="3"/>
    <s v="Stacking Tray, Side-Loading, Legal, Smoke"/>
    <n v="17.920000000000002"/>
    <n v="5"/>
    <n v="2.464"/>
    <x v="4"/>
    <x v="2"/>
  </r>
  <r>
    <x v="288"/>
    <x v="205"/>
    <m/>
    <n v="42522"/>
    <x v="1"/>
    <s v="TB-21280"/>
    <s v="Toby Braunhardt"/>
    <x v="0"/>
    <s v="United States"/>
    <x v="85"/>
    <x v="29"/>
    <x v="2"/>
    <s v="FUR-FU-10000629"/>
    <s v="Furniture"/>
    <x v="3"/>
    <s v="9-3/4 Diameter Round Wall Clock"/>
    <n v="41.37"/>
    <n v="3"/>
    <n v="17.375399999999999"/>
    <x v="6"/>
    <x v="7"/>
  </r>
  <r>
    <x v="289"/>
    <x v="264"/>
    <m/>
    <n v="41774"/>
    <x v="2"/>
    <s v="HL-15040"/>
    <s v="Hunter Lopez"/>
    <x v="0"/>
    <s v="United States"/>
    <x v="79"/>
    <x v="16"/>
    <x v="3"/>
    <s v="FUR-FU-10000010"/>
    <s v="Furniture"/>
    <x v="3"/>
    <s v="DAX Value U-Channel Document Frames, Easel Back"/>
    <n v="34.79"/>
    <n v="7"/>
    <n v="10.7849"/>
    <x v="0"/>
    <x v="7"/>
  </r>
  <r>
    <x v="290"/>
    <x v="265"/>
    <m/>
    <n v="42019"/>
    <x v="1"/>
    <s v="MM-17920"/>
    <s v="Michael Moore"/>
    <x v="0"/>
    <s v="United States"/>
    <x v="13"/>
    <x v="7"/>
    <x v="2"/>
    <s v="FUR-TA-10001889"/>
    <s v="Furniture"/>
    <x v="2"/>
    <s v="Bush Advantage Collection Racetrack Conference Table"/>
    <n v="1018.104"/>
    <n v="4"/>
    <n v="-373.3048"/>
    <x v="2"/>
    <x v="8"/>
  </r>
  <r>
    <x v="291"/>
    <x v="5"/>
    <m/>
    <n v="42268"/>
    <x v="1"/>
    <s v="SF-20965"/>
    <s v="Sylvia Foulston"/>
    <x v="1"/>
    <s v="United States"/>
    <x v="6"/>
    <x v="5"/>
    <x v="3"/>
    <s v="FUR-FU-10003535"/>
    <s v="Furniture"/>
    <x v="3"/>
    <s v="Howard Miller Distant Time Traveler Alarm Clock"/>
    <n v="21.936"/>
    <n v="2"/>
    <n v="-10.419600000000001"/>
    <x v="4"/>
    <x v="4"/>
  </r>
  <r>
    <x v="292"/>
    <x v="266"/>
    <m/>
    <n v="41895"/>
    <x v="1"/>
    <s v="SB-20290"/>
    <s v="Sean Braxton"/>
    <x v="1"/>
    <s v="United States"/>
    <x v="3"/>
    <x v="3"/>
    <x v="2"/>
    <s v="FUR-FU-10000758"/>
    <s v="Furniture"/>
    <x v="3"/>
    <s v="DAX Natural Wood-Tone Poster Frame"/>
    <n v="42.368000000000002"/>
    <n v="2"/>
    <n v="8.4735999999999994"/>
    <x v="6"/>
    <x v="4"/>
  </r>
  <r>
    <x v="293"/>
    <x v="267"/>
    <m/>
    <n v="42686"/>
    <x v="1"/>
    <s v="CB-12535"/>
    <s v="Claudia Bergmann"/>
    <x v="1"/>
    <s v="United States"/>
    <x v="28"/>
    <x v="2"/>
    <x v="1"/>
    <s v="FUR-FU-10002597"/>
    <s v="Furniture"/>
    <x v="3"/>
    <s v="C-Line Magnetic Cubicle Keepers, Clear Polypropylene"/>
    <n v="14.82"/>
    <n v="3"/>
    <n v="6.2244000000000002"/>
    <x v="2"/>
    <x v="0"/>
  </r>
  <r>
    <x v="294"/>
    <x v="247"/>
    <m/>
    <n v="43081"/>
    <x v="2"/>
    <s v="AW-10840"/>
    <s v="Anthony Witt"/>
    <x v="0"/>
    <s v="United States"/>
    <x v="3"/>
    <x v="3"/>
    <x v="2"/>
    <s v="FUR-FU-10004306"/>
    <s v="Furniture"/>
    <x v="3"/>
    <s v="Electrix Halogen Magnifier Lamp"/>
    <n v="310.88"/>
    <n v="2"/>
    <n v="23.315999999999999"/>
    <x v="3"/>
    <x v="5"/>
  </r>
  <r>
    <x v="295"/>
    <x v="268"/>
    <m/>
    <n v="41871"/>
    <x v="1"/>
    <s v="TS-21610"/>
    <s v="Troy Staebel"/>
    <x v="0"/>
    <s v="United States"/>
    <x v="3"/>
    <x v="3"/>
    <x v="2"/>
    <s v="FUR-TA-10001539"/>
    <s v="Furniture"/>
    <x v="2"/>
    <s v="Chromcraft Rectangular Conference Tables"/>
    <n v="853.09199999999998"/>
    <n v="6"/>
    <n v="-227.49119999999999"/>
    <x v="4"/>
    <x v="10"/>
  </r>
  <r>
    <x v="296"/>
    <x v="269"/>
    <m/>
    <n v="42448"/>
    <x v="1"/>
    <s v="HZ-14950"/>
    <s v="Henia Zydlo"/>
    <x v="0"/>
    <s v="United States"/>
    <x v="29"/>
    <x v="15"/>
    <x v="2"/>
    <s v="FUR-FU-10004020"/>
    <s v="Furniture"/>
    <x v="3"/>
    <s v="Advantus Panel Wall Acrylic Frame"/>
    <n v="21.88"/>
    <n v="5"/>
    <n v="6.2904999999999998"/>
    <x v="2"/>
    <x v="9"/>
  </r>
  <r>
    <x v="297"/>
    <x v="270"/>
    <m/>
    <n v="41797"/>
    <x v="0"/>
    <s v="SC-20725"/>
    <s v="Steven Cartwright"/>
    <x v="0"/>
    <s v="United States"/>
    <x v="15"/>
    <x v="13"/>
    <x v="1"/>
    <s v="FUR-TA-10004086"/>
    <s v="Furniture"/>
    <x v="2"/>
    <s v="KI Adjustable-Height Table"/>
    <n v="515.88"/>
    <n v="6"/>
    <n v="113.4936"/>
    <x v="4"/>
    <x v="2"/>
  </r>
  <r>
    <x v="298"/>
    <x v="271"/>
    <m/>
    <n v="42200"/>
    <x v="0"/>
    <s v="ND-18370"/>
    <s v="Natalie DeCherney"/>
    <x v="0"/>
    <s v="United States"/>
    <x v="13"/>
    <x v="7"/>
    <x v="2"/>
    <s v="FUR-CH-10000595"/>
    <s v="Furniture"/>
    <x v="1"/>
    <s v="Safco Contoured Stacking Chairs"/>
    <n v="1931.04"/>
    <n v="9"/>
    <n v="321.83999999999997"/>
    <x v="3"/>
    <x v="3"/>
  </r>
  <r>
    <x v="299"/>
    <x v="242"/>
    <m/>
    <n v="43044"/>
    <x v="1"/>
    <s v="JK-15205"/>
    <s v="Jamie Kunitz"/>
    <x v="0"/>
    <s v="United States"/>
    <x v="28"/>
    <x v="2"/>
    <x v="1"/>
    <s v="FUR-CH-10003061"/>
    <s v="Furniture"/>
    <x v="1"/>
    <s v="Global Leather Task Chair, Black"/>
    <n v="71.992000000000004"/>
    <n v="1"/>
    <n v="-0.89990000000000003"/>
    <x v="6"/>
    <x v="1"/>
  </r>
  <r>
    <x v="300"/>
    <x v="272"/>
    <m/>
    <n v="42991"/>
    <x v="0"/>
    <s v="MM-18055"/>
    <s v="Michelle Moray"/>
    <x v="0"/>
    <s v="United States"/>
    <x v="9"/>
    <x v="8"/>
    <x v="3"/>
    <s v="FUR-TA-10004289"/>
    <s v="Furniture"/>
    <x v="2"/>
    <s v="BoxOffice By Design Rectangular and Half-Moon Meeting Room Tables"/>
    <n v="765.625"/>
    <n v="7"/>
    <n v="-566.5625"/>
    <x v="2"/>
    <x v="4"/>
  </r>
  <r>
    <x v="301"/>
    <x v="273"/>
    <m/>
    <n v="43021"/>
    <x v="1"/>
    <s v="DC-13285"/>
    <s v="Debra Catini"/>
    <x v="0"/>
    <s v="United States"/>
    <x v="28"/>
    <x v="2"/>
    <x v="1"/>
    <s v="FUR-BO-10003965"/>
    <s v="Furniture"/>
    <x v="0"/>
    <s v="O'Sullivan Manor Hill 2-Door Library in Brianna Oak"/>
    <n v="307.666"/>
    <n v="2"/>
    <n v="-14.478400000000001"/>
    <x v="6"/>
    <x v="1"/>
  </r>
  <r>
    <x v="302"/>
    <x v="128"/>
    <m/>
    <n v="42514"/>
    <x v="1"/>
    <s v="BN-11515"/>
    <s v="Bradley Nguyen"/>
    <x v="0"/>
    <s v="United States"/>
    <x v="13"/>
    <x v="7"/>
    <x v="2"/>
    <s v="FUR-FU-10002088"/>
    <s v="Furniture"/>
    <x v="3"/>
    <s v="Nu-Dell Float Frame 11 x 14 1/2"/>
    <n v="35.92"/>
    <n v="4"/>
    <n v="15.086399999999999"/>
    <x v="2"/>
    <x v="7"/>
  </r>
  <r>
    <x v="302"/>
    <x v="128"/>
    <m/>
    <n v="42514"/>
    <x v="1"/>
    <s v="BN-11515"/>
    <s v="Bradley Nguyen"/>
    <x v="0"/>
    <s v="United States"/>
    <x v="13"/>
    <x v="7"/>
    <x v="2"/>
    <s v="FUR-FU-10000010"/>
    <s v="Furniture"/>
    <x v="3"/>
    <s v="DAX Value U-Channel Document Frames, Easel Back"/>
    <n v="39.76"/>
    <n v="8"/>
    <n v="12.3256"/>
    <x v="2"/>
    <x v="7"/>
  </r>
  <r>
    <x v="303"/>
    <x v="274"/>
    <m/>
    <n v="42363"/>
    <x v="1"/>
    <s v="KD-16345"/>
    <s v="Katherine Ducich"/>
    <x v="0"/>
    <s v="United States"/>
    <x v="9"/>
    <x v="8"/>
    <x v="3"/>
    <s v="FUR-BO-10003966"/>
    <s v="Furniture"/>
    <x v="0"/>
    <s v="Sauder Facets Collection Library, Sky Alder Finish"/>
    <n v="359.05799999999999"/>
    <n v="3"/>
    <n v="-71.811599999999999"/>
    <x v="2"/>
    <x v="5"/>
  </r>
  <r>
    <x v="304"/>
    <x v="275"/>
    <m/>
    <n v="42859"/>
    <x v="0"/>
    <s v="FM-14215"/>
    <s v="Filia McAdams"/>
    <x v="1"/>
    <s v="United States"/>
    <x v="24"/>
    <x v="15"/>
    <x v="2"/>
    <s v="FUR-TA-10001307"/>
    <s v="Furniture"/>
    <x v="2"/>
    <s v="SAFCO PlanMaster Heigh-Adjustable Drafting Table Base, 43w x 30d x 30-37h, Black"/>
    <n v="1048.3499999999999"/>
    <n v="5"/>
    <n v="-69.89"/>
    <x v="2"/>
    <x v="6"/>
  </r>
  <r>
    <x v="305"/>
    <x v="242"/>
    <m/>
    <n v="43042"/>
    <x v="1"/>
    <s v="MC-18100"/>
    <s v="Mick Crebagga"/>
    <x v="0"/>
    <s v="United States"/>
    <x v="3"/>
    <x v="3"/>
    <x v="2"/>
    <s v="FUR-FU-10004415"/>
    <s v="Furniture"/>
    <x v="3"/>
    <s v="Stacking Tray, Side-Loading, Legal, Smoke"/>
    <n v="7.1680000000000001"/>
    <n v="2"/>
    <n v="0.98560000000000003"/>
    <x v="4"/>
    <x v="1"/>
  </r>
  <r>
    <x v="306"/>
    <x v="276"/>
    <m/>
    <n v="42335"/>
    <x v="1"/>
    <s v="MO-17800"/>
    <s v="Meg O'Connel"/>
    <x v="2"/>
    <s v="United States"/>
    <x v="21"/>
    <x v="5"/>
    <x v="3"/>
    <s v="FUR-TA-10004607"/>
    <s v="Furniture"/>
    <x v="2"/>
    <s v="Hon 2111 Invitation Series Straight Table"/>
    <n v="206.96199999999999"/>
    <n v="2"/>
    <n v="-32.522599999999997"/>
    <x v="2"/>
    <x v="0"/>
  </r>
  <r>
    <x v="307"/>
    <x v="277"/>
    <m/>
    <n v="43025"/>
    <x v="2"/>
    <s v="JW-15955"/>
    <s v="Joni Wasserman"/>
    <x v="0"/>
    <s v="United States"/>
    <x v="121"/>
    <x v="2"/>
    <x v="1"/>
    <s v="FUR-FU-10001918"/>
    <s v="Furniture"/>
    <x v="3"/>
    <s v="C-Line Cubicle Keepers Polyproplyene Holder With Velcro Backings"/>
    <n v="9.4600000000000009"/>
    <n v="2"/>
    <n v="3.6894"/>
    <x v="0"/>
    <x v="1"/>
  </r>
  <r>
    <x v="308"/>
    <x v="278"/>
    <m/>
    <n v="42256"/>
    <x v="1"/>
    <s v="AG-10900"/>
    <s v="Arthur Gainer"/>
    <x v="0"/>
    <s v="United States"/>
    <x v="53"/>
    <x v="2"/>
    <x v="1"/>
    <s v="FUR-BO-10000330"/>
    <s v="Furniture"/>
    <x v="0"/>
    <s v="Sauder Camden County Barrister Bookcase, Planked Cherry Finish"/>
    <n v="411.33199999999999"/>
    <n v="4"/>
    <n v="-4.8391999999999999"/>
    <x v="4"/>
    <x v="4"/>
  </r>
  <r>
    <x v="308"/>
    <x v="278"/>
    <m/>
    <n v="42256"/>
    <x v="1"/>
    <s v="AG-10900"/>
    <s v="Arthur Gainer"/>
    <x v="0"/>
    <s v="United States"/>
    <x v="53"/>
    <x v="2"/>
    <x v="1"/>
    <s v="FUR-BO-10003159"/>
    <s v="Furniture"/>
    <x v="0"/>
    <s v="Sauder Camden County Collection Libraries, Planked Cherry Finish"/>
    <n v="293.19900000000001"/>
    <n v="3"/>
    <n v="-20.696400000000001"/>
    <x v="4"/>
    <x v="4"/>
  </r>
  <r>
    <x v="309"/>
    <x v="279"/>
    <m/>
    <n v="42590"/>
    <x v="1"/>
    <s v="ML-17755"/>
    <s v="Max Ludwig"/>
    <x v="2"/>
    <s v="United States"/>
    <x v="122"/>
    <x v="25"/>
    <x v="0"/>
    <s v="FUR-FU-10001591"/>
    <s v="Furniture"/>
    <x v="3"/>
    <s v="Advantus Panel Wall Certificate Holder - 8.5x11"/>
    <n v="109.8"/>
    <n v="9"/>
    <n v="46.116"/>
    <x v="4"/>
    <x v="10"/>
  </r>
  <r>
    <x v="310"/>
    <x v="280"/>
    <m/>
    <n v="41976"/>
    <x v="2"/>
    <s v="RP-19390"/>
    <s v="Resi PÅ¡lking"/>
    <x v="0"/>
    <s v="United States"/>
    <x v="123"/>
    <x v="16"/>
    <x v="3"/>
    <s v="FUR-CH-10001854"/>
    <s v="Furniture"/>
    <x v="1"/>
    <s v="Office Star - Professional Matrix Back Chair with 2-to-1 Synchro Tilt and Mesh Fabric Seat"/>
    <n v="2807.84"/>
    <n v="8"/>
    <n v="673.88160000000005"/>
    <x v="3"/>
    <x v="5"/>
  </r>
  <r>
    <x v="311"/>
    <x v="281"/>
    <m/>
    <n v="42562"/>
    <x v="1"/>
    <s v="RM-19375"/>
    <s v="Raymond Messe"/>
    <x v="0"/>
    <s v="United States"/>
    <x v="124"/>
    <x v="2"/>
    <x v="1"/>
    <s v="FUR-FU-10003039"/>
    <s v="Furniture"/>
    <x v="3"/>
    <s v="Howard Miller 11-1/2&quot; Diameter Grantwood Wall Clock"/>
    <n v="215.65"/>
    <n v="5"/>
    <n v="73.320999999999998"/>
    <x v="4"/>
    <x v="3"/>
  </r>
  <r>
    <x v="312"/>
    <x v="282"/>
    <m/>
    <n v="42693"/>
    <x v="1"/>
    <s v="AS-10135"/>
    <s v="Adrian Shami"/>
    <x v="2"/>
    <s v="United States"/>
    <x v="83"/>
    <x v="13"/>
    <x v="1"/>
    <s v="FUR-FU-10004270"/>
    <s v="Furniture"/>
    <x v="3"/>
    <s v="Eldon Image Series Desk Accessories, Burgundy"/>
    <n v="4.18"/>
    <n v="1"/>
    <n v="1.5047999999999999"/>
    <x v="6"/>
    <x v="0"/>
  </r>
  <r>
    <x v="313"/>
    <x v="283"/>
    <m/>
    <n v="42672"/>
    <x v="1"/>
    <s v="HK-14890"/>
    <s v="Heather Kirkland"/>
    <x v="1"/>
    <s v="United States"/>
    <x v="9"/>
    <x v="8"/>
    <x v="3"/>
    <s v="FUR-FU-10001196"/>
    <s v="Furniture"/>
    <x v="3"/>
    <s v="DAX Cubicle Frames - 8x10"/>
    <n v="16.155999999999999"/>
    <n v="7"/>
    <n v="-12.117000000000001"/>
    <x v="6"/>
    <x v="1"/>
  </r>
  <r>
    <x v="314"/>
    <x v="2"/>
    <m/>
    <n v="41801"/>
    <x v="0"/>
    <s v="FO-14305"/>
    <s v="Frank Olsen"/>
    <x v="0"/>
    <s v="United States"/>
    <x v="95"/>
    <x v="25"/>
    <x v="0"/>
    <s v="FUR-TA-10004534"/>
    <s v="Furniture"/>
    <x v="2"/>
    <s v="Bevis 44 x 96 Conference Tables"/>
    <n v="1441.3"/>
    <n v="7"/>
    <n v="245.02099999999999"/>
    <x v="3"/>
    <x v="2"/>
  </r>
  <r>
    <x v="315"/>
    <x v="93"/>
    <m/>
    <n v="43065"/>
    <x v="1"/>
    <s v="BT-11680"/>
    <s v="Brian Thompson"/>
    <x v="0"/>
    <s v="United States"/>
    <x v="19"/>
    <x v="15"/>
    <x v="2"/>
    <s v="FUR-FU-10001861"/>
    <s v="Furniture"/>
    <x v="3"/>
    <s v="Floodlight Indoor Halogen Bulbs, 1 Bulb per Pack, 60 Watts"/>
    <n v="77.599999999999994"/>
    <n v="5"/>
    <n v="28.13"/>
    <x v="6"/>
    <x v="0"/>
  </r>
  <r>
    <x v="315"/>
    <x v="93"/>
    <m/>
    <n v="43065"/>
    <x v="1"/>
    <s v="BT-11680"/>
    <s v="Brian Thompson"/>
    <x v="0"/>
    <s v="United States"/>
    <x v="19"/>
    <x v="15"/>
    <x v="2"/>
    <s v="FUR-FU-10000206"/>
    <s v="Furniture"/>
    <x v="3"/>
    <s v="GE General Purpose, Extra Long Life, Showcase &amp; Floodlight Incandescent Bulbs"/>
    <n v="4.6559999999999997"/>
    <n v="2"/>
    <n v="1.5713999999999999"/>
    <x v="6"/>
    <x v="0"/>
  </r>
  <r>
    <x v="316"/>
    <x v="221"/>
    <m/>
    <n v="42265"/>
    <x v="1"/>
    <s v="SP-20620"/>
    <s v="Stefania Perrino"/>
    <x v="1"/>
    <s v="United States"/>
    <x v="2"/>
    <x v="2"/>
    <x v="1"/>
    <s v="FUR-TA-10002607"/>
    <s v="Furniture"/>
    <x v="2"/>
    <s v="KI Conference Tables"/>
    <n v="170.136"/>
    <n v="3"/>
    <n v="-8.5068000000000001"/>
    <x v="4"/>
    <x v="4"/>
  </r>
  <r>
    <x v="317"/>
    <x v="284"/>
    <m/>
    <n v="41788"/>
    <x v="1"/>
    <s v="JL-15235"/>
    <s v="Janet Lee"/>
    <x v="0"/>
    <s v="United States"/>
    <x v="9"/>
    <x v="8"/>
    <x v="3"/>
    <s v="FUR-FU-10002553"/>
    <s v="Furniture"/>
    <x v="3"/>
    <s v="Electrix Incandescent Magnifying Lamp, Black"/>
    <n v="29.32"/>
    <n v="2"/>
    <n v="-24.189"/>
    <x v="4"/>
    <x v="7"/>
  </r>
  <r>
    <x v="318"/>
    <x v="285"/>
    <m/>
    <n v="42420"/>
    <x v="1"/>
    <s v="EA-14035"/>
    <s v="Erin Ashbrook"/>
    <x v="1"/>
    <s v="United States"/>
    <x v="9"/>
    <x v="8"/>
    <x v="3"/>
    <s v="FUR-CH-10004754"/>
    <s v="Furniture"/>
    <x v="1"/>
    <s v="Global Stack Chair with Arms, Black"/>
    <n v="62.957999999999998"/>
    <n v="3"/>
    <n v="-2.6981999999999999"/>
    <x v="4"/>
    <x v="11"/>
  </r>
  <r>
    <x v="319"/>
    <x v="286"/>
    <m/>
    <n v="42732"/>
    <x v="1"/>
    <s v="SA-20830"/>
    <s v="Sue Ann Reed"/>
    <x v="0"/>
    <s v="United States"/>
    <x v="125"/>
    <x v="36"/>
    <x v="1"/>
    <s v="FUR-FU-10001935"/>
    <s v="Furniture"/>
    <x v="3"/>
    <s v="3M Hangers With Command Adhesive"/>
    <n v="11.84"/>
    <n v="4"/>
    <n v="3.1080000000000001"/>
    <x v="6"/>
    <x v="5"/>
  </r>
  <r>
    <x v="319"/>
    <x v="286"/>
    <m/>
    <n v="42732"/>
    <x v="1"/>
    <s v="SA-20830"/>
    <s v="Sue Ann Reed"/>
    <x v="0"/>
    <s v="United States"/>
    <x v="125"/>
    <x v="36"/>
    <x v="1"/>
    <s v="FUR-FU-10002878"/>
    <s v="Furniture"/>
    <x v="3"/>
    <s v="Seth Thomas 14&quot; Day/Date Wall Clock"/>
    <n v="22.783999999999999"/>
    <n v="1"/>
    <n v="4.8415999999999997"/>
    <x v="6"/>
    <x v="5"/>
  </r>
  <r>
    <x v="320"/>
    <x v="85"/>
    <m/>
    <n v="43029"/>
    <x v="3"/>
    <s v="SL-20155"/>
    <s v="Sara Luxemburg"/>
    <x v="2"/>
    <s v="United States"/>
    <x v="126"/>
    <x v="37"/>
    <x v="3"/>
    <s v="FUR-TA-10002356"/>
    <s v="Furniture"/>
    <x v="2"/>
    <s v="Bevis Boat-Shaped Conference Table"/>
    <n v="262.11"/>
    <n v="1"/>
    <n v="62.906399999999998"/>
    <x v="7"/>
    <x v="1"/>
  </r>
  <r>
    <x v="321"/>
    <x v="287"/>
    <m/>
    <n v="42317"/>
    <x v="1"/>
    <s v="GB-14530"/>
    <s v="George Bell"/>
    <x v="1"/>
    <s v="United States"/>
    <x v="91"/>
    <x v="30"/>
    <x v="0"/>
    <s v="FUR-CH-10001270"/>
    <s v="Furniture"/>
    <x v="1"/>
    <s v="Harbour Creations Steel Folding Chair"/>
    <n v="207"/>
    <n v="3"/>
    <n v="25.875"/>
    <x v="4"/>
    <x v="0"/>
  </r>
  <r>
    <x v="322"/>
    <x v="288"/>
    <m/>
    <n v="41856"/>
    <x v="1"/>
    <s v="BF-10975"/>
    <s v="Barbara Fisher"/>
    <x v="1"/>
    <s v="United States"/>
    <x v="127"/>
    <x v="30"/>
    <x v="0"/>
    <s v="FUR-FU-10000629"/>
    <s v="Furniture"/>
    <x v="3"/>
    <s v="9-3/4 Diameter Round Wall Clock"/>
    <n v="44.128"/>
    <n v="4"/>
    <n v="12.135199999999999"/>
    <x v="4"/>
    <x v="10"/>
  </r>
  <r>
    <x v="323"/>
    <x v="196"/>
    <m/>
    <n v="42574"/>
    <x v="1"/>
    <s v="KH-16330"/>
    <s v="Katharine Harms"/>
    <x v="1"/>
    <s v="United States"/>
    <x v="128"/>
    <x v="0"/>
    <x v="0"/>
    <s v="FUR-CH-10000988"/>
    <s v="Furniture"/>
    <x v="1"/>
    <s v="Hon Olson Stacker Stools"/>
    <n v="140.81"/>
    <n v="1"/>
    <n v="39.4268"/>
    <x v="2"/>
    <x v="3"/>
  </r>
  <r>
    <x v="324"/>
    <x v="289"/>
    <m/>
    <n v="42046"/>
    <x v="0"/>
    <s v="FA-14230"/>
    <s v="Frank Atkinson"/>
    <x v="1"/>
    <s v="United States"/>
    <x v="21"/>
    <x v="5"/>
    <x v="3"/>
    <s v="FUR-FU-10001986"/>
    <s v="Furniture"/>
    <x v="3"/>
    <s v="Dana Fluorescent Magnifying Lamp, White, 36&quot;"/>
    <n v="40.783999999999999"/>
    <n v="2"/>
    <n v="-30.588000000000001"/>
    <x v="3"/>
    <x v="11"/>
  </r>
  <r>
    <x v="325"/>
    <x v="290"/>
    <m/>
    <n v="42752"/>
    <x v="0"/>
    <s v="DA-13450"/>
    <s v="Dianna Arnett"/>
    <x v="2"/>
    <s v="United States"/>
    <x v="85"/>
    <x v="29"/>
    <x v="2"/>
    <s v="FUR-FU-10004973"/>
    <s v="Furniture"/>
    <x v="3"/>
    <s v="Flat Face Poster Frame"/>
    <n v="37.68"/>
    <n v="2"/>
    <n v="15.8256"/>
    <x v="2"/>
    <x v="8"/>
  </r>
  <r>
    <x v="326"/>
    <x v="291"/>
    <m/>
    <n v="42988"/>
    <x v="3"/>
    <s v="FH-14275"/>
    <s v="Frank Hawley"/>
    <x v="1"/>
    <s v="United States"/>
    <x v="2"/>
    <x v="2"/>
    <x v="1"/>
    <s v="FUR-CH-10002602"/>
    <s v="Furniture"/>
    <x v="1"/>
    <s v="DMI Arturo Collection Mission-style Design Wood Chair"/>
    <n v="362.35199999999998"/>
    <n v="3"/>
    <n v="27.176400000000001"/>
    <x v="7"/>
    <x v="4"/>
  </r>
  <r>
    <x v="327"/>
    <x v="292"/>
    <m/>
    <n v="42821"/>
    <x v="2"/>
    <s v="GM-14440"/>
    <s v="Gary McGarr"/>
    <x v="0"/>
    <s v="United States"/>
    <x v="13"/>
    <x v="7"/>
    <x v="2"/>
    <s v="FUR-BO-10001918"/>
    <s v="Furniture"/>
    <x v="0"/>
    <s v="Sauder Forest Hills Library with Doors, Woodland Oak Finish"/>
    <n v="257.56799999999998"/>
    <n v="2"/>
    <n v="-28.976400000000002"/>
    <x v="5"/>
    <x v="9"/>
  </r>
  <r>
    <x v="328"/>
    <x v="25"/>
    <m/>
    <n v="42660"/>
    <x v="1"/>
    <s v="NC-18625"/>
    <s v="Noah Childs"/>
    <x v="1"/>
    <s v="United States"/>
    <x v="14"/>
    <x v="12"/>
    <x v="1"/>
    <s v="FUR-TA-10004575"/>
    <s v="Furniture"/>
    <x v="2"/>
    <s v="Hon 5100 Series Wood Tables"/>
    <n v="727.45"/>
    <n v="5"/>
    <n v="-465.56799999999998"/>
    <x v="4"/>
    <x v="1"/>
  </r>
  <r>
    <x v="328"/>
    <x v="25"/>
    <m/>
    <n v="42660"/>
    <x v="1"/>
    <s v="NC-18625"/>
    <s v="Noah Childs"/>
    <x v="1"/>
    <s v="United States"/>
    <x v="14"/>
    <x v="12"/>
    <x v="1"/>
    <s v="FUR-FU-10001617"/>
    <s v="Furniture"/>
    <x v="3"/>
    <s v="Executive Impressions 8-1/2&quot; Career Panel/Partition Cubicle Clock"/>
    <n v="24.96"/>
    <n v="3"/>
    <n v="4.3680000000000003"/>
    <x v="4"/>
    <x v="1"/>
  </r>
  <r>
    <x v="329"/>
    <x v="293"/>
    <m/>
    <n v="42843"/>
    <x v="2"/>
    <s v="AH-10075"/>
    <s v="Adam Hart"/>
    <x v="1"/>
    <s v="United States"/>
    <x v="0"/>
    <x v="34"/>
    <x v="1"/>
    <s v="FUR-FU-10004460"/>
    <s v="Furniture"/>
    <x v="3"/>
    <s v="Howard Miller 12&quot; Round Wall Clock"/>
    <n v="196.45"/>
    <n v="5"/>
    <n v="70.721999999999994"/>
    <x v="0"/>
    <x v="6"/>
  </r>
  <r>
    <x v="330"/>
    <x v="294"/>
    <m/>
    <n v="41845"/>
    <x v="1"/>
    <s v="ME-18010"/>
    <s v="Michelle Ellison"/>
    <x v="1"/>
    <s v="United States"/>
    <x v="28"/>
    <x v="2"/>
    <x v="1"/>
    <s v="FUR-CH-10001215"/>
    <s v="Furniture"/>
    <x v="1"/>
    <s v="Global Troy Executive Leather Low-Back Tilter"/>
    <n v="801.56799999999998"/>
    <n v="2"/>
    <n v="50.097999999999999"/>
    <x v="4"/>
    <x v="3"/>
  </r>
  <r>
    <x v="330"/>
    <x v="294"/>
    <m/>
    <n v="41845"/>
    <x v="1"/>
    <s v="ME-18010"/>
    <s v="Michelle Ellison"/>
    <x v="1"/>
    <s v="United States"/>
    <x v="28"/>
    <x v="2"/>
    <x v="1"/>
    <s v="FUR-TA-10004175"/>
    <s v="Furniture"/>
    <x v="2"/>
    <s v="Hon 30&quot; x 60&quot; Table with Locking Drawer"/>
    <n v="272.84800000000001"/>
    <n v="1"/>
    <n v="27.284800000000001"/>
    <x v="4"/>
    <x v="3"/>
  </r>
  <r>
    <x v="331"/>
    <x v="295"/>
    <m/>
    <n v="43064"/>
    <x v="1"/>
    <s v="BP-11230"/>
    <s v="Benjamin Patterson"/>
    <x v="0"/>
    <s v="United States"/>
    <x v="129"/>
    <x v="13"/>
    <x v="1"/>
    <s v="FUR-TA-10004767"/>
    <s v="Furniture"/>
    <x v="2"/>
    <s v="Safco Drafting Table"/>
    <n v="70.98"/>
    <n v="1"/>
    <n v="20.584199999999999"/>
    <x v="4"/>
    <x v="0"/>
  </r>
  <r>
    <x v="332"/>
    <x v="296"/>
    <m/>
    <n v="42445"/>
    <x v="1"/>
    <s v="CJ-12010"/>
    <s v="Caroline Jumper"/>
    <x v="0"/>
    <s v="United States"/>
    <x v="62"/>
    <x v="7"/>
    <x v="2"/>
    <s v="FUR-BO-10003272"/>
    <s v="Furniture"/>
    <x v="0"/>
    <s v="O'Sullivan Living Dimensions 5-Shelf Bookcases"/>
    <n v="176.78399999999999"/>
    <n v="1"/>
    <n v="-22.097999999999999"/>
    <x v="6"/>
    <x v="9"/>
  </r>
  <r>
    <x v="333"/>
    <x v="297"/>
    <m/>
    <n v="43102"/>
    <x v="1"/>
    <s v="JG-15160"/>
    <s v="James Galang"/>
    <x v="0"/>
    <s v="United States"/>
    <x v="2"/>
    <x v="2"/>
    <x v="1"/>
    <s v="FUR-CH-10002880"/>
    <s v="Furniture"/>
    <x v="1"/>
    <s v="Global High-Back Leather Tilter, Burgundy"/>
    <n v="393.56799999999998"/>
    <n v="4"/>
    <n v="-44.276400000000002"/>
    <x v="4"/>
    <x v="5"/>
  </r>
  <r>
    <x v="334"/>
    <x v="298"/>
    <m/>
    <n v="42068"/>
    <x v="3"/>
    <s v="LF-17185"/>
    <s v="Luke Foster"/>
    <x v="0"/>
    <s v="United States"/>
    <x v="13"/>
    <x v="7"/>
    <x v="2"/>
    <s v="FUR-CH-10001146"/>
    <s v="Furniture"/>
    <x v="1"/>
    <s v="Global Value Mid-Back Manager's Chair, Gray"/>
    <n v="383.60700000000003"/>
    <n v="7"/>
    <n v="63.9345"/>
    <x v="7"/>
    <x v="9"/>
  </r>
  <r>
    <x v="335"/>
    <x v="74"/>
    <m/>
    <n v="42486"/>
    <x v="0"/>
    <s v="PG-18895"/>
    <s v="Paul Gonzalez"/>
    <x v="0"/>
    <s v="United States"/>
    <x v="28"/>
    <x v="2"/>
    <x v="1"/>
    <s v="FUR-FU-10001889"/>
    <s v="Furniture"/>
    <x v="3"/>
    <s v="Ultra Door Pull Handle"/>
    <n v="31.56"/>
    <n v="3"/>
    <n v="10.4148"/>
    <x v="4"/>
    <x v="6"/>
  </r>
  <r>
    <x v="336"/>
    <x v="299"/>
    <m/>
    <n v="41934"/>
    <x v="2"/>
    <s v="TB-21520"/>
    <s v="Tracy Blumstein"/>
    <x v="0"/>
    <s v="United States"/>
    <x v="130"/>
    <x v="15"/>
    <x v="2"/>
    <s v="FUR-TA-10000617"/>
    <s v="Furniture"/>
    <x v="2"/>
    <s v="Hon Practical Foundations 30 x 60 Training Table, Light Gray/Charcoal"/>
    <n v="409.59"/>
    <n v="3"/>
    <n v="-122.877"/>
    <x v="5"/>
    <x v="1"/>
  </r>
  <r>
    <x v="337"/>
    <x v="300"/>
    <m/>
    <n v="41884"/>
    <x v="0"/>
    <s v="RA-19945"/>
    <s v="Ryan Akin"/>
    <x v="0"/>
    <s v="United States"/>
    <x v="89"/>
    <x v="1"/>
    <x v="0"/>
    <s v="FUR-TA-10001857"/>
    <s v="Furniture"/>
    <x v="2"/>
    <s v="Balt Solid Wood Rectangular Table"/>
    <n v="174.05850000000001"/>
    <n v="3"/>
    <n v="-110.7645"/>
    <x v="4"/>
    <x v="10"/>
  </r>
  <r>
    <x v="338"/>
    <x v="85"/>
    <m/>
    <n v="43030"/>
    <x v="2"/>
    <s v="DK-12835"/>
    <s v="Damala Kotsonis"/>
    <x v="1"/>
    <s v="United States"/>
    <x v="76"/>
    <x v="36"/>
    <x v="1"/>
    <s v="FUR-CH-10000155"/>
    <s v="Furniture"/>
    <x v="1"/>
    <s v="Global Comet Stacking Armless Chair"/>
    <n v="478.48"/>
    <n v="2"/>
    <n v="47.847999999999999"/>
    <x v="5"/>
    <x v="1"/>
  </r>
  <r>
    <x v="339"/>
    <x v="136"/>
    <m/>
    <n v="42039"/>
    <x v="2"/>
    <s v="RW-19540"/>
    <s v="Rick Wilson"/>
    <x v="1"/>
    <s v="United States"/>
    <x v="2"/>
    <x v="2"/>
    <x v="1"/>
    <s v="FUR-FU-10004093"/>
    <s v="Furniture"/>
    <x v="3"/>
    <s v="Hand-Finished Solid Wood Document Frame"/>
    <n v="136.91999999999999"/>
    <n v="4"/>
    <n v="41.076000000000001"/>
    <x v="5"/>
    <x v="11"/>
  </r>
  <r>
    <x v="340"/>
    <x v="186"/>
    <m/>
    <n v="43092"/>
    <x v="1"/>
    <s v="DB-13660"/>
    <s v="Duane Benoit"/>
    <x v="0"/>
    <s v="United States"/>
    <x v="64"/>
    <x v="7"/>
    <x v="2"/>
    <s v="FUR-FU-10001037"/>
    <s v="Furniture"/>
    <x v="3"/>
    <s v="DAX Charcoal/Nickel-Tone Document Frame, 5 x 7"/>
    <n v="18.96"/>
    <n v="2"/>
    <n v="8.532"/>
    <x v="2"/>
    <x v="5"/>
  </r>
  <r>
    <x v="341"/>
    <x v="301"/>
    <m/>
    <n v="42966"/>
    <x v="2"/>
    <s v="EH-13765"/>
    <s v="Edward Hooks"/>
    <x v="1"/>
    <s v="United States"/>
    <x v="115"/>
    <x v="7"/>
    <x v="2"/>
    <s v="FUR-CH-10003981"/>
    <s v="Furniture"/>
    <x v="1"/>
    <s v="Global Commerce Series Low-Back Swivel/Tilt Chairs"/>
    <n v="462.56400000000002"/>
    <n v="2"/>
    <n v="97.6524"/>
    <x v="3"/>
    <x v="10"/>
  </r>
  <r>
    <x v="342"/>
    <x v="302"/>
    <m/>
    <n v="42957"/>
    <x v="0"/>
    <s v="SV-20365"/>
    <s v="Seth Vernon"/>
    <x v="0"/>
    <s v="United States"/>
    <x v="120"/>
    <x v="35"/>
    <x v="0"/>
    <s v="FUR-BO-10000468"/>
    <s v="Furniture"/>
    <x v="0"/>
    <s v="O'Sullivan 2-Shelf Heavy-Duty Bookcases"/>
    <n v="145.74"/>
    <n v="3"/>
    <n v="23.3184"/>
    <x v="4"/>
    <x v="10"/>
  </r>
  <r>
    <x v="342"/>
    <x v="302"/>
    <m/>
    <n v="42957"/>
    <x v="0"/>
    <s v="SV-20365"/>
    <s v="Seth Vernon"/>
    <x v="0"/>
    <s v="United States"/>
    <x v="120"/>
    <x v="35"/>
    <x v="0"/>
    <s v="FUR-FU-10001706"/>
    <s v="Furniture"/>
    <x v="3"/>
    <s v="Longer-Life Soft White Bulbs"/>
    <n v="15.4"/>
    <n v="5"/>
    <n v="7.3920000000000003"/>
    <x v="4"/>
    <x v="10"/>
  </r>
  <r>
    <x v="343"/>
    <x v="303"/>
    <m/>
    <n v="42151"/>
    <x v="0"/>
    <s v="NP-18685"/>
    <s v="Nora Pelletier"/>
    <x v="2"/>
    <s v="United States"/>
    <x v="28"/>
    <x v="2"/>
    <x v="1"/>
    <s v="FUR-FU-10002268"/>
    <s v="Furniture"/>
    <x v="3"/>
    <s v="Ultra Door Push Plate"/>
    <n v="14.73"/>
    <n v="3"/>
    <n v="4.8609"/>
    <x v="3"/>
    <x v="7"/>
  </r>
  <r>
    <x v="344"/>
    <x v="304"/>
    <m/>
    <n v="42563"/>
    <x v="1"/>
    <s v="JE-15715"/>
    <s v="Joe Elijah"/>
    <x v="0"/>
    <s v="United States"/>
    <x v="131"/>
    <x v="12"/>
    <x v="1"/>
    <s v="FUR-CH-10004287"/>
    <s v="Furniture"/>
    <x v="1"/>
    <s v="SAFCO Arco Folding Chair"/>
    <n v="662.88"/>
    <n v="3"/>
    <n v="74.573999999999998"/>
    <x v="4"/>
    <x v="3"/>
  </r>
  <r>
    <x v="345"/>
    <x v="113"/>
    <m/>
    <n v="42984"/>
    <x v="1"/>
    <s v="AC-10615"/>
    <s v="Ann Chong"/>
    <x v="1"/>
    <s v="United States"/>
    <x v="13"/>
    <x v="7"/>
    <x v="2"/>
    <s v="FUR-FU-10001196"/>
    <s v="Furniture"/>
    <x v="3"/>
    <s v="DAX Cubicle Frames - 8x10"/>
    <n v="11.54"/>
    <n v="2"/>
    <n v="3.4620000000000002"/>
    <x v="4"/>
    <x v="4"/>
  </r>
  <r>
    <x v="345"/>
    <x v="113"/>
    <m/>
    <n v="42984"/>
    <x v="1"/>
    <s v="AC-10615"/>
    <s v="Ann Chong"/>
    <x v="1"/>
    <s v="United States"/>
    <x v="13"/>
    <x v="7"/>
    <x v="2"/>
    <s v="FUR-TA-10001889"/>
    <s v="Furniture"/>
    <x v="2"/>
    <s v="Bush Advantage Collection Racetrack Conference Table"/>
    <n v="254.52600000000001"/>
    <n v="1"/>
    <n v="-93.3262"/>
    <x v="4"/>
    <x v="4"/>
  </r>
  <r>
    <x v="345"/>
    <x v="113"/>
    <m/>
    <n v="42984"/>
    <x v="1"/>
    <s v="AC-10615"/>
    <s v="Ann Chong"/>
    <x v="1"/>
    <s v="United States"/>
    <x v="13"/>
    <x v="7"/>
    <x v="2"/>
    <s v="FUR-CH-10003379"/>
    <s v="Furniture"/>
    <x v="1"/>
    <s v="Global Commerce Series High-Back Swivel/Tilt Chairs"/>
    <n v="1282.4100000000001"/>
    <n v="5"/>
    <n v="213.73500000000001"/>
    <x v="4"/>
    <x v="4"/>
  </r>
  <r>
    <x v="346"/>
    <x v="305"/>
    <m/>
    <n v="41932"/>
    <x v="0"/>
    <s v="AS-10225"/>
    <s v="Alan Schoenberger"/>
    <x v="1"/>
    <s v="United States"/>
    <x v="132"/>
    <x v="33"/>
    <x v="0"/>
    <s v="FUR-CH-10003774"/>
    <s v="Furniture"/>
    <x v="1"/>
    <s v="Global Wood Trimmed Manager's Task Chair, Khaki"/>
    <n v="545.88"/>
    <n v="6"/>
    <n v="70.964399999999998"/>
    <x v="3"/>
    <x v="1"/>
  </r>
  <r>
    <x v="347"/>
    <x v="65"/>
    <m/>
    <n v="42474"/>
    <x v="3"/>
    <s v="KT-16465"/>
    <s v="Kean Takahito"/>
    <x v="0"/>
    <s v="United States"/>
    <x v="110"/>
    <x v="22"/>
    <x v="1"/>
    <s v="FUR-CH-10004086"/>
    <s v="Furniture"/>
    <x v="1"/>
    <s v="Hon 4070 Series Pagoda Armless Upholstered Stacking Chairs"/>
    <n v="933.53599999999994"/>
    <n v="4"/>
    <n v="105.0228"/>
    <x v="7"/>
    <x v="6"/>
  </r>
  <r>
    <x v="348"/>
    <x v="306"/>
    <m/>
    <n v="41970"/>
    <x v="0"/>
    <s v="LW-16825"/>
    <s v="Laurel Workman"/>
    <x v="1"/>
    <s v="United States"/>
    <x v="133"/>
    <x v="2"/>
    <x v="1"/>
    <s v="FUR-FU-10001940"/>
    <s v="Furniture"/>
    <x v="3"/>
    <s v="Staple-based wall hangings"/>
    <n v="23.88"/>
    <n v="3"/>
    <n v="10.507199999999999"/>
    <x v="3"/>
    <x v="0"/>
  </r>
  <r>
    <x v="349"/>
    <x v="307"/>
    <m/>
    <n v="42321"/>
    <x v="1"/>
    <s v="AS-10090"/>
    <s v="Adam Shillingsburg"/>
    <x v="0"/>
    <s v="United States"/>
    <x v="76"/>
    <x v="23"/>
    <x v="3"/>
    <s v="FUR-TA-10002855"/>
    <s v="Furniture"/>
    <x v="2"/>
    <s v="Bevis Round Conference Table Top &amp; Single Column Base"/>
    <n v="1024.3800000000001"/>
    <n v="7"/>
    <n v="215.1198"/>
    <x v="4"/>
    <x v="0"/>
  </r>
  <r>
    <x v="350"/>
    <x v="308"/>
    <m/>
    <n v="43073"/>
    <x v="0"/>
    <s v="JS-16030"/>
    <s v="Joy Smith"/>
    <x v="0"/>
    <s v="United States"/>
    <x v="6"/>
    <x v="5"/>
    <x v="3"/>
    <s v="FUR-FU-10004020"/>
    <s v="Furniture"/>
    <x v="3"/>
    <s v="Advantus Panel Wall Acrylic Frame"/>
    <n v="8.7520000000000007"/>
    <n v="4"/>
    <n v="-3.7195999999999998"/>
    <x v="3"/>
    <x v="5"/>
  </r>
  <r>
    <x v="351"/>
    <x v="19"/>
    <m/>
    <n v="43097"/>
    <x v="0"/>
    <s v="JW-15955"/>
    <s v="Joni Wasserman"/>
    <x v="0"/>
    <s v="United States"/>
    <x v="74"/>
    <x v="0"/>
    <x v="0"/>
    <s v="FUR-CH-10001146"/>
    <s v="Furniture"/>
    <x v="1"/>
    <s v="Global Value Mid-Back Manager's Chair, Gray"/>
    <n v="304.45"/>
    <n v="5"/>
    <n v="76.112499999999997"/>
    <x v="0"/>
    <x v="5"/>
  </r>
  <r>
    <x v="352"/>
    <x v="309"/>
    <m/>
    <n v="42951"/>
    <x v="2"/>
    <s v="CM-12190"/>
    <s v="Charlotte Melton"/>
    <x v="0"/>
    <s v="United States"/>
    <x v="9"/>
    <x v="8"/>
    <x v="3"/>
    <s v="FUR-BO-10003034"/>
    <s v="Furniture"/>
    <x v="0"/>
    <s v="O'Sullivan Elevations Bookcase, Cherry Finish"/>
    <n v="183.37200000000001"/>
    <n v="2"/>
    <n v="-36.674399999999999"/>
    <x v="5"/>
    <x v="10"/>
  </r>
  <r>
    <x v="353"/>
    <x v="126"/>
    <m/>
    <n v="42636"/>
    <x v="1"/>
    <s v="AM-10705"/>
    <s v="Anne McFarland"/>
    <x v="0"/>
    <s v="United States"/>
    <x v="83"/>
    <x v="33"/>
    <x v="0"/>
    <s v="FUR-CH-10001854"/>
    <s v="Furniture"/>
    <x v="1"/>
    <s v="Office Star - Professional Matrix Back Chair with 2-to-1 Synchro Tilt and Mesh Fabric Seat"/>
    <n v="350.98"/>
    <n v="1"/>
    <n v="84.235200000000006"/>
    <x v="2"/>
    <x v="4"/>
  </r>
  <r>
    <x v="354"/>
    <x v="107"/>
    <m/>
    <n v="42634"/>
    <x v="2"/>
    <s v="RH-19510"/>
    <s v="Rick Huthwaite"/>
    <x v="2"/>
    <s v="United States"/>
    <x v="134"/>
    <x v="38"/>
    <x v="2"/>
    <s v="FUR-CH-10004675"/>
    <s v="Furniture"/>
    <x v="1"/>
    <s v="Lifetime Advantage Folding Chairs, 4/Carton"/>
    <n v="872.32"/>
    <n v="4"/>
    <n v="244.24959999999999"/>
    <x v="3"/>
    <x v="4"/>
  </r>
  <r>
    <x v="355"/>
    <x v="310"/>
    <m/>
    <n v="42078"/>
    <x v="2"/>
    <s v="MC-17275"/>
    <s v="Marc Crier"/>
    <x v="0"/>
    <s v="United States"/>
    <x v="15"/>
    <x v="13"/>
    <x v="1"/>
    <s v="FUR-BO-10004409"/>
    <s v="Furniture"/>
    <x v="0"/>
    <s v="Safco Value Mate Series Steel Bookcases, Baked Enamel Finish on Steel, Gray"/>
    <n v="141.96"/>
    <n v="2"/>
    <n v="39.748800000000003"/>
    <x v="3"/>
    <x v="9"/>
  </r>
  <r>
    <x v="356"/>
    <x v="58"/>
    <m/>
    <n v="43007"/>
    <x v="1"/>
    <s v="CT-11995"/>
    <s v="Carol Triggs"/>
    <x v="0"/>
    <s v="United States"/>
    <x v="77"/>
    <x v="11"/>
    <x v="3"/>
    <s v="FUR-CH-10003061"/>
    <s v="Furniture"/>
    <x v="1"/>
    <s v="Global Leather Task Chair, Black"/>
    <n v="269.97000000000003"/>
    <n v="3"/>
    <n v="51.2943"/>
    <x v="4"/>
    <x v="4"/>
  </r>
  <r>
    <x v="357"/>
    <x v="311"/>
    <m/>
    <n v="42178"/>
    <x v="1"/>
    <s v="SN-20560"/>
    <s v="Skye Norling"/>
    <x v="2"/>
    <s v="United States"/>
    <x v="117"/>
    <x v="22"/>
    <x v="1"/>
    <s v="FUR-FU-10004973"/>
    <s v="Furniture"/>
    <x v="3"/>
    <s v="Flat Face Poster Frame"/>
    <n v="75.36"/>
    <n v="5"/>
    <n v="20.724"/>
    <x v="2"/>
    <x v="2"/>
  </r>
  <r>
    <x v="358"/>
    <x v="312"/>
    <m/>
    <n v="42198"/>
    <x v="2"/>
    <s v="CK-12595"/>
    <s v="Clytie Kelty"/>
    <x v="0"/>
    <s v="United States"/>
    <x v="3"/>
    <x v="3"/>
    <x v="2"/>
    <s v="FUR-FU-10004848"/>
    <s v="Furniture"/>
    <x v="3"/>
    <s v="Howard Miller 13-3/4&quot; Diameter Brushed Chrome Round Wall Clock"/>
    <n v="289.8"/>
    <n v="7"/>
    <n v="36.225000000000001"/>
    <x v="3"/>
    <x v="3"/>
  </r>
  <r>
    <x v="358"/>
    <x v="312"/>
    <m/>
    <n v="42198"/>
    <x v="2"/>
    <s v="CK-12595"/>
    <s v="Clytie Kelty"/>
    <x v="0"/>
    <s v="United States"/>
    <x v="3"/>
    <x v="3"/>
    <x v="2"/>
    <s v="FUR-CH-10003833"/>
    <s v="Furniture"/>
    <x v="1"/>
    <s v="Novimex Fabric Task Chair"/>
    <n v="341.488"/>
    <n v="8"/>
    <n v="-73.176000000000002"/>
    <x v="3"/>
    <x v="3"/>
  </r>
  <r>
    <x v="358"/>
    <x v="312"/>
    <m/>
    <n v="42198"/>
    <x v="2"/>
    <s v="CK-12595"/>
    <s v="Clytie Kelty"/>
    <x v="0"/>
    <s v="United States"/>
    <x v="3"/>
    <x v="3"/>
    <x v="2"/>
    <s v="FUR-FU-10003142"/>
    <s v="Furniture"/>
    <x v="3"/>
    <s v="Master Big Foot Doorstop, Beige"/>
    <n v="25.344000000000001"/>
    <n v="6"/>
    <n v="3.4847999999999999"/>
    <x v="3"/>
    <x v="3"/>
  </r>
  <r>
    <x v="359"/>
    <x v="193"/>
    <m/>
    <n v="42711"/>
    <x v="1"/>
    <s v="RD-19480"/>
    <s v="Rick Duston"/>
    <x v="0"/>
    <s v="United States"/>
    <x v="52"/>
    <x v="6"/>
    <x v="3"/>
    <s v="FUR-FU-10001196"/>
    <s v="Furniture"/>
    <x v="3"/>
    <s v="DAX Cubicle Frames - 8x10"/>
    <n v="17.309999999999999"/>
    <n v="3"/>
    <n v="5.1929999999999996"/>
    <x v="6"/>
    <x v="5"/>
  </r>
  <r>
    <x v="360"/>
    <x v="313"/>
    <m/>
    <n v="43094"/>
    <x v="2"/>
    <s v="TP-21130"/>
    <s v="Theone Pippenger"/>
    <x v="0"/>
    <s v="United States"/>
    <x v="25"/>
    <x v="17"/>
    <x v="3"/>
    <s v="FUR-CH-10002335"/>
    <s v="Furniture"/>
    <x v="1"/>
    <s v="Hon GuestStacker Chair"/>
    <n v="1586.69"/>
    <n v="7"/>
    <n v="412.5394"/>
    <x v="0"/>
    <x v="5"/>
  </r>
  <r>
    <x v="360"/>
    <x v="313"/>
    <m/>
    <n v="43094"/>
    <x v="2"/>
    <s v="TP-21130"/>
    <s v="Theone Pippenger"/>
    <x v="0"/>
    <s v="United States"/>
    <x v="25"/>
    <x v="17"/>
    <x v="3"/>
    <s v="FUR-TA-10004534"/>
    <s v="Furniture"/>
    <x v="2"/>
    <s v="Bevis 44 x 96 Conference Tables"/>
    <n v="411.8"/>
    <n v="2"/>
    <n v="70.006"/>
    <x v="0"/>
    <x v="5"/>
  </r>
  <r>
    <x v="361"/>
    <x v="314"/>
    <m/>
    <n v="41947"/>
    <x v="1"/>
    <s v="GG-14650"/>
    <s v="Greg Guthrie"/>
    <x v="1"/>
    <s v="United States"/>
    <x v="2"/>
    <x v="2"/>
    <x v="1"/>
    <s v="FUR-CH-10003833"/>
    <s v="Furniture"/>
    <x v="1"/>
    <s v="Novimex Fabric Task Chair"/>
    <n v="146.352"/>
    <n v="3"/>
    <n v="-9.1470000000000002"/>
    <x v="4"/>
    <x v="1"/>
  </r>
  <r>
    <x v="362"/>
    <x v="315"/>
    <m/>
    <n v="42113"/>
    <x v="1"/>
    <s v="ZC-21910"/>
    <s v="Zuschuss Carroll"/>
    <x v="0"/>
    <s v="United States"/>
    <x v="135"/>
    <x v="2"/>
    <x v="1"/>
    <s v="FUR-TA-10003954"/>
    <s v="Furniture"/>
    <x v="2"/>
    <s v="Hon 94000 Series Round Tables"/>
    <n v="710.83199999999999"/>
    <n v="3"/>
    <n v="-97.739400000000003"/>
    <x v="6"/>
    <x v="6"/>
  </r>
  <r>
    <x v="363"/>
    <x v="93"/>
    <m/>
    <n v="43064"/>
    <x v="1"/>
    <s v="KA-16525"/>
    <s v="Kelly Andreada"/>
    <x v="0"/>
    <s v="United States"/>
    <x v="136"/>
    <x v="2"/>
    <x v="1"/>
    <s v="FUR-CH-10003956"/>
    <s v="Furniture"/>
    <x v="1"/>
    <s v="Novimex High-Tech Fabric Mesh Task Chair"/>
    <n v="283.92"/>
    <n v="5"/>
    <n v="-46.137"/>
    <x v="2"/>
    <x v="0"/>
  </r>
  <r>
    <x v="364"/>
    <x v="280"/>
    <m/>
    <n v="41978"/>
    <x v="1"/>
    <s v="TR-21325"/>
    <s v="Toby Ritter"/>
    <x v="0"/>
    <s v="United States"/>
    <x v="28"/>
    <x v="2"/>
    <x v="1"/>
    <s v="FUR-FU-10001861"/>
    <s v="Furniture"/>
    <x v="3"/>
    <s v="Floodlight Indoor Halogen Bulbs, 1 Bulb per Pack, 60 Watts"/>
    <n v="58.2"/>
    <n v="3"/>
    <n v="28.518000000000001"/>
    <x v="4"/>
    <x v="5"/>
  </r>
  <r>
    <x v="365"/>
    <x v="37"/>
    <m/>
    <n v="42367"/>
    <x v="1"/>
    <s v="MS-17365"/>
    <s v="Maribeth Schnelling"/>
    <x v="0"/>
    <s v="United States"/>
    <x v="43"/>
    <x v="22"/>
    <x v="1"/>
    <s v="FUR-FU-10002885"/>
    <s v="Furniture"/>
    <x v="3"/>
    <s v="Magna Visual Magnetic Picture Hangers"/>
    <n v="7.7119999999999997"/>
    <n v="2"/>
    <n v="1.7352000000000001"/>
    <x v="2"/>
    <x v="5"/>
  </r>
  <r>
    <x v="366"/>
    <x v="316"/>
    <m/>
    <n v="42935"/>
    <x v="1"/>
    <s v="MM-17260"/>
    <s v="Magdelene Morse"/>
    <x v="0"/>
    <s v="United States"/>
    <x v="16"/>
    <x v="14"/>
    <x v="2"/>
    <s v="FUR-TA-10004607"/>
    <s v="Furniture"/>
    <x v="2"/>
    <s v="Hon 2111 Invitation Series Straight Table"/>
    <n v="310.44299999999998"/>
    <n v="3"/>
    <n v="-48.783900000000003"/>
    <x v="4"/>
    <x v="3"/>
  </r>
  <r>
    <x v="367"/>
    <x v="317"/>
    <m/>
    <n v="41964"/>
    <x v="1"/>
    <s v="MP-17470"/>
    <s v="Mark Packer"/>
    <x v="2"/>
    <s v="United States"/>
    <x v="137"/>
    <x v="11"/>
    <x v="3"/>
    <s v="FUR-CH-10004289"/>
    <s v="Furniture"/>
    <x v="1"/>
    <s v="Global Super Steno Chair"/>
    <n v="479.9"/>
    <n v="5"/>
    <n v="81.582999999999998"/>
    <x v="4"/>
    <x v="0"/>
  </r>
  <r>
    <x v="368"/>
    <x v="318"/>
    <m/>
    <n v="41838"/>
    <x v="3"/>
    <s v="AH-10120"/>
    <s v="Adrian Hane"/>
    <x v="2"/>
    <s v="United States"/>
    <x v="104"/>
    <x v="22"/>
    <x v="1"/>
    <s v="FUR-CH-10002372"/>
    <s v="Furniture"/>
    <x v="1"/>
    <s v="Office Star - Ergonomically Designed Knee Chair"/>
    <n v="259.13600000000002"/>
    <n v="4"/>
    <n v="-25.913599999999999"/>
    <x v="7"/>
    <x v="3"/>
  </r>
  <r>
    <x v="369"/>
    <x v="319"/>
    <m/>
    <n v="42308"/>
    <x v="3"/>
    <s v="SG-20080"/>
    <s v="Sandra Glassco"/>
    <x v="0"/>
    <s v="United States"/>
    <x v="138"/>
    <x v="2"/>
    <x v="1"/>
    <s v="FUR-CH-10004218"/>
    <s v="Furniture"/>
    <x v="1"/>
    <s v="Global Fabric Manager's Chair, Dark Gray"/>
    <n v="323.13600000000002"/>
    <n v="4"/>
    <n v="20.196000000000002"/>
    <x v="7"/>
    <x v="1"/>
  </r>
  <r>
    <x v="369"/>
    <x v="319"/>
    <m/>
    <n v="42308"/>
    <x v="3"/>
    <s v="SG-20080"/>
    <s v="Sandra Glassco"/>
    <x v="0"/>
    <s v="United States"/>
    <x v="138"/>
    <x v="2"/>
    <x v="1"/>
    <s v="FUR-BO-10002213"/>
    <s v="Furniture"/>
    <x v="0"/>
    <s v="DMI Eclipse Executive Suite Bookcases"/>
    <n v="425.83300000000003"/>
    <n v="1"/>
    <n v="20.039200000000001"/>
    <x v="7"/>
    <x v="1"/>
  </r>
  <r>
    <x v="370"/>
    <x v="33"/>
    <m/>
    <n v="42294"/>
    <x v="0"/>
    <s v="RK-19300"/>
    <s v="Ralph Kennedy"/>
    <x v="0"/>
    <s v="United States"/>
    <x v="77"/>
    <x v="7"/>
    <x v="2"/>
    <s v="FUR-TA-10001307"/>
    <s v="Furniture"/>
    <x v="2"/>
    <s v="SAFCO PlanMaster Heigh-Adjustable Drafting Table Base, 43w x 30d x 30-37h, Black"/>
    <n v="209.67"/>
    <n v="1"/>
    <n v="-13.978"/>
    <x v="2"/>
    <x v="1"/>
  </r>
  <r>
    <x v="371"/>
    <x v="17"/>
    <m/>
    <n v="43050"/>
    <x v="2"/>
    <s v="JB-15400"/>
    <s v="Jennifer Braxton"/>
    <x v="1"/>
    <s v="United States"/>
    <x v="139"/>
    <x v="2"/>
    <x v="1"/>
    <s v="FUR-CH-10003061"/>
    <s v="Furniture"/>
    <x v="1"/>
    <s v="Global Leather Task Chair, Black"/>
    <n v="215.976"/>
    <n v="3"/>
    <n v="-2.6997"/>
    <x v="3"/>
    <x v="0"/>
  </r>
  <r>
    <x v="372"/>
    <x v="320"/>
    <m/>
    <n v="43002"/>
    <x v="0"/>
    <s v="EH-14005"/>
    <s v="Erica Hernandez"/>
    <x v="2"/>
    <s v="United States"/>
    <x v="140"/>
    <x v="17"/>
    <x v="3"/>
    <s v="FUR-BO-10001972"/>
    <s v="Furniture"/>
    <x v="0"/>
    <s v="O'Sullivan 4-Shelf Bookcase in Odessa Pine"/>
    <n v="241.96"/>
    <n v="2"/>
    <n v="41.133200000000002"/>
    <x v="3"/>
    <x v="4"/>
  </r>
  <r>
    <x v="373"/>
    <x v="103"/>
    <m/>
    <n v="42286"/>
    <x v="1"/>
    <s v="JK-16120"/>
    <s v="Julie Kriz"/>
    <x v="2"/>
    <s v="United States"/>
    <x v="3"/>
    <x v="3"/>
    <x v="2"/>
    <s v="FUR-FU-10003623"/>
    <s v="Furniture"/>
    <x v="3"/>
    <s v="DataProducts Ampli Magnifier Task Lamp, Black,"/>
    <n v="64.944000000000003"/>
    <n v="3"/>
    <n v="6.4943999999999997"/>
    <x v="2"/>
    <x v="1"/>
  </r>
  <r>
    <x v="374"/>
    <x v="321"/>
    <m/>
    <n v="41781"/>
    <x v="0"/>
    <s v="RF-19345"/>
    <s v="Randy Ferguson"/>
    <x v="1"/>
    <s v="United States"/>
    <x v="63"/>
    <x v="28"/>
    <x v="2"/>
    <s v="FUR-FU-10000076"/>
    <s v="Furniture"/>
    <x v="3"/>
    <s v="24-Hour Round Wall Clock"/>
    <n v="139.86000000000001"/>
    <n v="7"/>
    <n v="60.139800000000001"/>
    <x v="3"/>
    <x v="7"/>
  </r>
  <r>
    <x v="375"/>
    <x v="322"/>
    <m/>
    <n v="42374"/>
    <x v="1"/>
    <s v="TB-21625"/>
    <s v="Trudy Brown"/>
    <x v="0"/>
    <s v="United States"/>
    <x v="141"/>
    <x v="5"/>
    <x v="3"/>
    <s v="FUR-FU-10002364"/>
    <s v="Furniture"/>
    <x v="3"/>
    <s v="Eldon Expressions Wood Desk Accessories, Oak"/>
    <n v="14.76"/>
    <n v="5"/>
    <n v="-11.439"/>
    <x v="2"/>
    <x v="5"/>
  </r>
  <r>
    <x v="376"/>
    <x v="323"/>
    <m/>
    <n v="41801"/>
    <x v="1"/>
    <s v="GT-14635"/>
    <s v="Grant Thornton"/>
    <x v="1"/>
    <s v="United States"/>
    <x v="62"/>
    <x v="7"/>
    <x v="2"/>
    <s v="FUR-TA-10003238"/>
    <s v="Furniture"/>
    <x v="2"/>
    <s v="Chromcraft Bull-Nose Wood 48&quot; x 96&quot; Rectangular Conference Tables"/>
    <n v="991.76400000000001"/>
    <n v="3"/>
    <n v="-347.11739999999998"/>
    <x v="2"/>
    <x v="2"/>
  </r>
  <r>
    <x v="377"/>
    <x v="324"/>
    <m/>
    <n v="42550"/>
    <x v="1"/>
    <s v="TS-21160"/>
    <s v="Theresa Swint"/>
    <x v="1"/>
    <s v="United States"/>
    <x v="142"/>
    <x v="3"/>
    <x v="2"/>
    <s v="FUR-CH-10002965"/>
    <s v="Furniture"/>
    <x v="1"/>
    <s v="Global Leather Highback Executive Chair with Pneumatic Height Adjustment, Black"/>
    <n v="422.05799999999999"/>
    <n v="3"/>
    <n v="-18.088200000000001"/>
    <x v="4"/>
    <x v="2"/>
  </r>
  <r>
    <x v="378"/>
    <x v="202"/>
    <m/>
    <n v="41990"/>
    <x v="1"/>
    <s v="WB-21850"/>
    <s v="William Brown"/>
    <x v="0"/>
    <s v="United States"/>
    <x v="41"/>
    <x v="2"/>
    <x v="1"/>
    <s v="FUR-FU-10003975"/>
    <s v="Furniture"/>
    <x v="3"/>
    <s v="Eldon Advantage Chair Mats for Low to Medium Pile Carpets"/>
    <n v="43.31"/>
    <n v="1"/>
    <n v="4.3310000000000004"/>
    <x v="2"/>
    <x v="5"/>
  </r>
  <r>
    <x v="379"/>
    <x v="49"/>
    <m/>
    <n v="43065"/>
    <x v="1"/>
    <s v="AF-10870"/>
    <s v="Art Ferguson"/>
    <x v="0"/>
    <s v="United States"/>
    <x v="143"/>
    <x v="5"/>
    <x v="3"/>
    <s v="FUR-CH-10001973"/>
    <s v="Furniture"/>
    <x v="1"/>
    <s v="Office Star Flex Back Scooter Chair with White Frame"/>
    <n v="233.05799999999999"/>
    <n v="3"/>
    <n v="-53.270400000000002"/>
    <x v="1"/>
    <x v="0"/>
  </r>
  <r>
    <x v="380"/>
    <x v="325"/>
    <m/>
    <n v="42495"/>
    <x v="1"/>
    <s v="BF-11170"/>
    <s v="Ben Ferrer"/>
    <x v="2"/>
    <s v="United States"/>
    <x v="144"/>
    <x v="5"/>
    <x v="3"/>
    <s v="FUR-FU-10004973"/>
    <s v="Furniture"/>
    <x v="3"/>
    <s v="Flat Face Poster Frame"/>
    <n v="22.608000000000001"/>
    <n v="3"/>
    <n v="-10.1736"/>
    <x v="2"/>
    <x v="6"/>
  </r>
  <r>
    <x v="381"/>
    <x v="326"/>
    <m/>
    <n v="42504"/>
    <x v="3"/>
    <s v="LH-17155"/>
    <s v="Logan Haushalter"/>
    <x v="0"/>
    <s v="United States"/>
    <x v="145"/>
    <x v="15"/>
    <x v="2"/>
    <s v="FUR-FU-10002937"/>
    <s v="Furniture"/>
    <x v="3"/>
    <s v="GE 48&quot; Fluorescent Tube, Cool White Energy Saver, 34 Watts, 30/Box"/>
    <n v="79.384"/>
    <n v="1"/>
    <n v="29.768999999999998"/>
    <x v="7"/>
    <x v="7"/>
  </r>
  <r>
    <x v="382"/>
    <x v="25"/>
    <m/>
    <n v="42662"/>
    <x v="1"/>
    <s v="HA-14920"/>
    <s v="Helen Andreada"/>
    <x v="0"/>
    <s v="United States"/>
    <x v="146"/>
    <x v="5"/>
    <x v="3"/>
    <s v="FUR-FU-10003394"/>
    <s v="Furniture"/>
    <x v="3"/>
    <s v="Tenex &quot;The Solids&quot; Textured Chair Mats"/>
    <n v="139.91999999999999"/>
    <n v="5"/>
    <n v="-150.41399999999999"/>
    <x v="6"/>
    <x v="1"/>
  </r>
  <r>
    <x v="383"/>
    <x v="49"/>
    <m/>
    <n v="43064"/>
    <x v="1"/>
    <s v="LC-16930"/>
    <s v="Linda Cazamias"/>
    <x v="1"/>
    <s v="United States"/>
    <x v="147"/>
    <x v="5"/>
    <x v="3"/>
    <s v="FUR-CH-10004675"/>
    <s v="Furniture"/>
    <x v="1"/>
    <s v="Lifetime Advantage Folding Chairs, 4/Carton"/>
    <n v="305.31200000000001"/>
    <n v="2"/>
    <n v="-8.7232000000000003"/>
    <x v="6"/>
    <x v="0"/>
  </r>
  <r>
    <x v="384"/>
    <x v="327"/>
    <m/>
    <n v="42501"/>
    <x v="1"/>
    <s v="CJ-12010"/>
    <s v="Caroline Jumper"/>
    <x v="0"/>
    <s v="United States"/>
    <x v="13"/>
    <x v="7"/>
    <x v="2"/>
    <s v="FUR-CH-10002084"/>
    <s v="Furniture"/>
    <x v="1"/>
    <s v="Hon Mobius Operator's Chair"/>
    <n v="442.76400000000001"/>
    <n v="4"/>
    <n v="59.035200000000003"/>
    <x v="4"/>
    <x v="7"/>
  </r>
  <r>
    <x v="384"/>
    <x v="327"/>
    <m/>
    <n v="42501"/>
    <x v="1"/>
    <s v="CJ-12010"/>
    <s v="Caroline Jumper"/>
    <x v="0"/>
    <s v="United States"/>
    <x v="13"/>
    <x v="7"/>
    <x v="2"/>
    <s v="FUR-FU-10001940"/>
    <s v="Furniture"/>
    <x v="3"/>
    <s v="Staple-based wall hangings"/>
    <n v="63.68"/>
    <n v="8"/>
    <n v="28.019200000000001"/>
    <x v="4"/>
    <x v="7"/>
  </r>
  <r>
    <x v="385"/>
    <x v="328"/>
    <m/>
    <n v="42962"/>
    <x v="1"/>
    <s v="IL-15100"/>
    <s v="Ivan Liston"/>
    <x v="0"/>
    <s v="United States"/>
    <x v="29"/>
    <x v="6"/>
    <x v="3"/>
    <s v="FUR-FU-10003708"/>
    <s v="Furniture"/>
    <x v="3"/>
    <s v="Tenex Traditional Chairmats for Medium Pile Carpet, Standard Lip, 36&quot; x 48&quot;"/>
    <n v="121.3"/>
    <n v="2"/>
    <n v="25.472999999999999"/>
    <x v="2"/>
    <x v="10"/>
  </r>
  <r>
    <x v="386"/>
    <x v="42"/>
    <m/>
    <n v="41796"/>
    <x v="1"/>
    <s v="LT-17110"/>
    <s v="Liz Thompson"/>
    <x v="0"/>
    <s v="United States"/>
    <x v="148"/>
    <x v="31"/>
    <x v="0"/>
    <s v="FUR-FU-10001935"/>
    <s v="Furniture"/>
    <x v="3"/>
    <s v="3M Hangers With Command Adhesive"/>
    <n v="22.2"/>
    <n v="6"/>
    <n v="9.1020000000000003"/>
    <x v="2"/>
    <x v="2"/>
  </r>
  <r>
    <x v="387"/>
    <x v="329"/>
    <m/>
    <n v="42259"/>
    <x v="1"/>
    <s v="BT-11305"/>
    <s v="Beth Thompson"/>
    <x v="2"/>
    <s v="United States"/>
    <x v="15"/>
    <x v="13"/>
    <x v="1"/>
    <s v="FUR-FU-10004748"/>
    <s v="Furniture"/>
    <x v="3"/>
    <s v="Howard Miller 16&quot; Diameter Gallery Wall Clock"/>
    <n v="191.82"/>
    <n v="3"/>
    <n v="74.809799999999996"/>
    <x v="6"/>
    <x v="4"/>
  </r>
  <r>
    <x v="388"/>
    <x v="330"/>
    <m/>
    <n v="42190"/>
    <x v="1"/>
    <s v="SC-20725"/>
    <s v="Steven Cartwright"/>
    <x v="0"/>
    <s v="United States"/>
    <x v="68"/>
    <x v="3"/>
    <x v="2"/>
    <s v="FUR-FU-10001473"/>
    <s v="Furniture"/>
    <x v="3"/>
    <s v="Eldon Executive Woodline II Desk Accessories, Mahogany"/>
    <n v="20.103999999999999"/>
    <n v="1"/>
    <n v="1.7591000000000001"/>
    <x v="6"/>
    <x v="2"/>
  </r>
  <r>
    <x v="389"/>
    <x v="295"/>
    <m/>
    <n v="43064"/>
    <x v="1"/>
    <s v="SW-20275"/>
    <s v="Scott Williamson"/>
    <x v="0"/>
    <s v="United States"/>
    <x v="13"/>
    <x v="7"/>
    <x v="2"/>
    <s v="FUR-FU-10003535"/>
    <s v="Furniture"/>
    <x v="3"/>
    <s v="Howard Miller Distant Time Traveler Alarm Clock"/>
    <n v="27.42"/>
    <n v="1"/>
    <n v="11.2422"/>
    <x v="4"/>
    <x v="0"/>
  </r>
  <r>
    <x v="390"/>
    <x v="95"/>
    <m/>
    <n v="43010"/>
    <x v="2"/>
    <s v="NS-18505"/>
    <s v="Neola Schneider"/>
    <x v="0"/>
    <s v="United States"/>
    <x v="124"/>
    <x v="2"/>
    <x v="1"/>
    <s v="FUR-CH-10000553"/>
    <s v="Furniture"/>
    <x v="1"/>
    <s v="Metal Folding Chairs, Beige, 4/Carton"/>
    <n v="108.608"/>
    <n v="4"/>
    <n v="9.5031999999999996"/>
    <x v="5"/>
    <x v="1"/>
  </r>
  <r>
    <x v="391"/>
    <x v="248"/>
    <m/>
    <n v="42344"/>
    <x v="3"/>
    <s v="DK-13375"/>
    <s v="Dennis Kane"/>
    <x v="0"/>
    <s v="United States"/>
    <x v="149"/>
    <x v="15"/>
    <x v="2"/>
    <s v="FUR-CH-10004860"/>
    <s v="Furniture"/>
    <x v="1"/>
    <s v="Global Low Back Tilter Chair"/>
    <n v="70.686000000000007"/>
    <n v="1"/>
    <n v="-24.235199999999999"/>
    <x v="7"/>
    <x v="5"/>
  </r>
  <r>
    <x v="392"/>
    <x v="331"/>
    <m/>
    <n v="42450"/>
    <x v="0"/>
    <s v="BT-11440"/>
    <s v="Bobby Trafton"/>
    <x v="0"/>
    <s v="United States"/>
    <x v="150"/>
    <x v="12"/>
    <x v="1"/>
    <s v="FUR-BO-10002202"/>
    <s v="Furniture"/>
    <x v="0"/>
    <s v="Atlantic Metals Mobile 2-Shelf Bookcases, Custom Colors"/>
    <n v="72.293999999999997"/>
    <n v="1"/>
    <n v="-98.8018"/>
    <x v="3"/>
    <x v="9"/>
  </r>
  <r>
    <x v="393"/>
    <x v="180"/>
    <m/>
    <n v="42648"/>
    <x v="1"/>
    <s v="GM-14680"/>
    <s v="Greg Matthias"/>
    <x v="0"/>
    <s v="United States"/>
    <x v="13"/>
    <x v="7"/>
    <x v="2"/>
    <s v="FUR-TA-10003238"/>
    <s v="Furniture"/>
    <x v="2"/>
    <s v="Chromcraft Bull-Nose Wood 48&quot; x 96&quot; Rectangular Conference Tables"/>
    <n v="330.58800000000002"/>
    <n v="1"/>
    <n v="-115.7058"/>
    <x v="4"/>
    <x v="1"/>
  </r>
  <r>
    <x v="394"/>
    <x v="332"/>
    <m/>
    <n v="42917"/>
    <x v="1"/>
    <s v="DB-13405"/>
    <s v="Denny Blanton"/>
    <x v="0"/>
    <s v="United States"/>
    <x v="101"/>
    <x v="6"/>
    <x v="3"/>
    <s v="FUR-FU-10000293"/>
    <s v="Furniture"/>
    <x v="3"/>
    <s v="Eldon Antistatic Chair Mats for Low to Medium Pile Carpets"/>
    <n v="526.45000000000005"/>
    <n v="5"/>
    <n v="31.587"/>
    <x v="2"/>
    <x v="2"/>
  </r>
  <r>
    <x v="395"/>
    <x v="333"/>
    <m/>
    <n v="42851"/>
    <x v="1"/>
    <s v="SJ-20125"/>
    <s v="Sanjit Jacobs"/>
    <x v="2"/>
    <s v="United States"/>
    <x v="9"/>
    <x v="8"/>
    <x v="3"/>
    <s v="FUR-FU-10004597"/>
    <s v="Furniture"/>
    <x v="3"/>
    <s v="Eldon Cleatmat Chair Mats for Medium Pile Carpets"/>
    <n v="44.4"/>
    <n v="2"/>
    <n v="-52.17"/>
    <x v="6"/>
    <x v="6"/>
  </r>
  <r>
    <x v="396"/>
    <x v="334"/>
    <m/>
    <n v="42635"/>
    <x v="1"/>
    <s v="LA-16780"/>
    <s v="Laura Armstrong"/>
    <x v="1"/>
    <s v="United States"/>
    <x v="151"/>
    <x v="39"/>
    <x v="2"/>
    <s v="FUR-FU-10004952"/>
    <s v="Furniture"/>
    <x v="3"/>
    <s v="C-Line Cubicle Keepers Polyproplyene Holder w/Velcro Back, 8-1/2x11, 25/Bx"/>
    <n v="109.48"/>
    <n v="2"/>
    <n v="33.938800000000001"/>
    <x v="2"/>
    <x v="4"/>
  </r>
  <r>
    <x v="397"/>
    <x v="140"/>
    <m/>
    <n v="42905"/>
    <x v="2"/>
    <s v="TS-21610"/>
    <s v="Troy Staebel"/>
    <x v="0"/>
    <s v="United States"/>
    <x v="28"/>
    <x v="2"/>
    <x v="1"/>
    <s v="FUR-CH-10000015"/>
    <s v="Furniture"/>
    <x v="1"/>
    <s v="Hon Multipurpose Stacking Arm Chairs"/>
    <n v="1212.96"/>
    <n v="7"/>
    <n v="90.971999999999994"/>
    <x v="0"/>
    <x v="2"/>
  </r>
  <r>
    <x v="398"/>
    <x v="335"/>
    <m/>
    <n v="42775"/>
    <x v="2"/>
    <s v="MV-17485"/>
    <s v="Mark Van Huff"/>
    <x v="0"/>
    <s v="United States"/>
    <x v="58"/>
    <x v="25"/>
    <x v="0"/>
    <s v="FUR-BO-10004015"/>
    <s v="Furniture"/>
    <x v="0"/>
    <s v="Bush Andora Bookcase, Maple/Graphite Gray Finish"/>
    <n v="359.97"/>
    <n v="3"/>
    <n v="79.193399999999997"/>
    <x v="0"/>
    <x v="11"/>
  </r>
  <r>
    <x v="399"/>
    <x v="336"/>
    <m/>
    <n v="42074"/>
    <x v="1"/>
    <s v="JL-15850"/>
    <s v="John Lucas"/>
    <x v="0"/>
    <s v="United States"/>
    <x v="28"/>
    <x v="2"/>
    <x v="1"/>
    <s v="FUR-FU-10000308"/>
    <s v="Furniture"/>
    <x v="3"/>
    <s v="Deflect-o Glass Clear Studded Chair Mats"/>
    <n v="435.26"/>
    <n v="7"/>
    <n v="95.757199999999997"/>
    <x v="2"/>
    <x v="9"/>
  </r>
  <r>
    <x v="400"/>
    <x v="215"/>
    <m/>
    <n v="41920"/>
    <x v="0"/>
    <s v="AR-10405"/>
    <s v="Allen Rosenblatt"/>
    <x v="1"/>
    <s v="United States"/>
    <x v="2"/>
    <x v="2"/>
    <x v="1"/>
    <s v="FUR-TA-10001866"/>
    <s v="Furniture"/>
    <x v="2"/>
    <s v="Bevis Round Conference Room Tables and Bases"/>
    <n v="143.43199999999999"/>
    <n v="1"/>
    <n v="3.5857999999999999"/>
    <x v="2"/>
    <x v="1"/>
  </r>
  <r>
    <x v="400"/>
    <x v="215"/>
    <m/>
    <n v="41920"/>
    <x v="0"/>
    <s v="AR-10405"/>
    <s v="Allen Rosenblatt"/>
    <x v="1"/>
    <s v="United States"/>
    <x v="2"/>
    <x v="2"/>
    <x v="1"/>
    <s v="FUR-CH-10002774"/>
    <s v="Furniture"/>
    <x v="1"/>
    <s v="Global Deluxe Stacking Chair, Gray"/>
    <n v="122.352"/>
    <n v="3"/>
    <n v="13.7646"/>
    <x v="2"/>
    <x v="1"/>
  </r>
  <r>
    <x v="401"/>
    <x v="337"/>
    <m/>
    <n v="41821"/>
    <x v="1"/>
    <s v="LM-17065"/>
    <s v="Liz MacKendrick"/>
    <x v="0"/>
    <s v="United States"/>
    <x v="152"/>
    <x v="21"/>
    <x v="0"/>
    <s v="FUR-TA-10001039"/>
    <s v="Furniture"/>
    <x v="2"/>
    <s v="KI Adjustable-Height Table"/>
    <n v="85.98"/>
    <n v="1"/>
    <n v="22.354800000000001"/>
    <x v="4"/>
    <x v="2"/>
  </r>
  <r>
    <x v="402"/>
    <x v="242"/>
    <m/>
    <n v="43041"/>
    <x v="2"/>
    <s v="JK-15625"/>
    <s v="Jim Karlsson"/>
    <x v="0"/>
    <s v="United States"/>
    <x v="15"/>
    <x v="13"/>
    <x v="1"/>
    <s v="FUR-CH-10003833"/>
    <s v="Furniture"/>
    <x v="1"/>
    <s v="Novimex Fabric Task Chair"/>
    <n v="97.567999999999998"/>
    <n v="2"/>
    <n v="-6.0979999999999999"/>
    <x v="0"/>
    <x v="1"/>
  </r>
  <r>
    <x v="402"/>
    <x v="242"/>
    <m/>
    <n v="43041"/>
    <x v="2"/>
    <s v="JK-15625"/>
    <s v="Jim Karlsson"/>
    <x v="0"/>
    <s v="United States"/>
    <x v="15"/>
    <x v="13"/>
    <x v="1"/>
    <s v="FUR-CH-10004289"/>
    <s v="Furniture"/>
    <x v="1"/>
    <s v="Global Super Steno Chair"/>
    <n v="614.27200000000005"/>
    <n v="8"/>
    <n v="-23.0352"/>
    <x v="0"/>
    <x v="1"/>
  </r>
  <r>
    <x v="402"/>
    <x v="242"/>
    <m/>
    <n v="43041"/>
    <x v="2"/>
    <s v="JK-15625"/>
    <s v="Jim Karlsson"/>
    <x v="0"/>
    <s v="United States"/>
    <x v="15"/>
    <x v="13"/>
    <x v="1"/>
    <s v="FUR-BO-10004467"/>
    <s v="Furniture"/>
    <x v="0"/>
    <s v="Bestar Classic Bookcase"/>
    <n v="199.98"/>
    <n v="2"/>
    <n v="37.996200000000002"/>
    <x v="0"/>
    <x v="1"/>
  </r>
  <r>
    <x v="403"/>
    <x v="338"/>
    <m/>
    <n v="42746"/>
    <x v="2"/>
    <s v="RS-19420"/>
    <s v="Ricardo Sperren"/>
    <x v="1"/>
    <s v="United States"/>
    <x v="15"/>
    <x v="13"/>
    <x v="1"/>
    <s v="FUR-TA-10001950"/>
    <s v="Furniture"/>
    <x v="2"/>
    <s v="Balt Solid Wood Round Tables"/>
    <n v="892.98"/>
    <n v="2"/>
    <n v="80.368200000000002"/>
    <x v="0"/>
    <x v="8"/>
  </r>
  <r>
    <x v="404"/>
    <x v="339"/>
    <m/>
    <n v="42119"/>
    <x v="1"/>
    <s v="TS-21160"/>
    <s v="Theresa Swint"/>
    <x v="1"/>
    <s v="United States"/>
    <x v="29"/>
    <x v="24"/>
    <x v="0"/>
    <s v="FUR-FU-10002937"/>
    <s v="Furniture"/>
    <x v="3"/>
    <s v="GE 48&quot; Fluorescent Tube, Cool White Energy Saver, 34 Watts, 30/Box"/>
    <n v="595.38"/>
    <n v="6"/>
    <n v="297.69"/>
    <x v="2"/>
    <x v="6"/>
  </r>
  <r>
    <x v="405"/>
    <x v="340"/>
    <m/>
    <n v="43096"/>
    <x v="1"/>
    <s v="FM-14215"/>
    <s v="Filia McAdams"/>
    <x v="1"/>
    <s v="United States"/>
    <x v="108"/>
    <x v="19"/>
    <x v="2"/>
    <s v="FUR-FU-10003708"/>
    <s v="Furniture"/>
    <x v="3"/>
    <s v="Tenex Traditional Chairmats for Medium Pile Carpet, Standard Lip, 36&quot; x 48&quot;"/>
    <n v="181.95"/>
    <n v="3"/>
    <n v="38.209499999999998"/>
    <x v="4"/>
    <x v="5"/>
  </r>
  <r>
    <x v="406"/>
    <x v="341"/>
    <m/>
    <n v="42313"/>
    <x v="1"/>
    <s v="VD-21670"/>
    <s v="Valerie Dominguez"/>
    <x v="0"/>
    <s v="United States"/>
    <x v="13"/>
    <x v="7"/>
    <x v="2"/>
    <s v="FUR-FU-10000965"/>
    <s v="Furniture"/>
    <x v="3"/>
    <s v="Howard Miller 11-1/2&quot; Diameter Ridgewood Wall Clock"/>
    <n v="259.7"/>
    <n v="5"/>
    <n v="106.477"/>
    <x v="4"/>
    <x v="0"/>
  </r>
  <r>
    <x v="407"/>
    <x v="342"/>
    <m/>
    <n v="43000"/>
    <x v="0"/>
    <s v="MO-17800"/>
    <s v="Meg O'Connel"/>
    <x v="2"/>
    <s v="United States"/>
    <x v="153"/>
    <x v="24"/>
    <x v="0"/>
    <s v="FUR-CH-10000785"/>
    <s v="Furniture"/>
    <x v="1"/>
    <s v="Global Ergonomic Managers Chair"/>
    <n v="723.92"/>
    <n v="4"/>
    <n v="188.2192"/>
    <x v="2"/>
    <x v="4"/>
  </r>
  <r>
    <x v="408"/>
    <x v="207"/>
    <m/>
    <n v="42728"/>
    <x v="2"/>
    <s v="BP-11185"/>
    <s v="Ben Peterman"/>
    <x v="1"/>
    <s v="United States"/>
    <x v="9"/>
    <x v="8"/>
    <x v="3"/>
    <s v="FUR-BO-10003441"/>
    <s v="Furniture"/>
    <x v="0"/>
    <s v="Bush Westfield Collection Bookcases, Fully Assembled"/>
    <n v="141.37200000000001"/>
    <n v="2"/>
    <n v="-14.1372"/>
    <x v="5"/>
    <x v="5"/>
  </r>
  <r>
    <x v="409"/>
    <x v="343"/>
    <m/>
    <n v="42898"/>
    <x v="2"/>
    <s v="BC-11125"/>
    <s v="Becky Castell"/>
    <x v="2"/>
    <s v="United States"/>
    <x v="117"/>
    <x v="22"/>
    <x v="1"/>
    <s v="FUR-CH-10001394"/>
    <s v="Furniture"/>
    <x v="1"/>
    <s v="Global Leather Executive Chair"/>
    <n v="280.79199999999997"/>
    <n v="1"/>
    <n v="35.098999999999997"/>
    <x v="5"/>
    <x v="2"/>
  </r>
  <r>
    <x v="410"/>
    <x v="96"/>
    <m/>
    <n v="42941"/>
    <x v="1"/>
    <s v="EM-13825"/>
    <s v="Elizabeth Moffitt"/>
    <x v="1"/>
    <s v="United States"/>
    <x v="154"/>
    <x v="40"/>
    <x v="3"/>
    <s v="FUR-CH-10003833"/>
    <s v="Furniture"/>
    <x v="1"/>
    <s v="Novimex Fabric Task Chair"/>
    <n v="182.94"/>
    <n v="3"/>
    <n v="27.440999999999999"/>
    <x v="2"/>
    <x v="3"/>
  </r>
  <r>
    <x v="411"/>
    <x v="195"/>
    <m/>
    <n v="42266"/>
    <x v="0"/>
    <s v="BM-11575"/>
    <s v="Brendan Murry"/>
    <x v="1"/>
    <s v="United States"/>
    <x v="13"/>
    <x v="7"/>
    <x v="2"/>
    <s v="FUR-BO-10004709"/>
    <s v="Furniture"/>
    <x v="0"/>
    <s v="Bush Westfield Collection Bookcases, Medium Cherry Finish"/>
    <n v="46.384"/>
    <n v="1"/>
    <n v="1.1596"/>
    <x v="4"/>
    <x v="4"/>
  </r>
  <r>
    <x v="412"/>
    <x v="344"/>
    <m/>
    <n v="42367"/>
    <x v="1"/>
    <s v="JD-16150"/>
    <s v="Justin Deggeller"/>
    <x v="1"/>
    <s v="United States"/>
    <x v="3"/>
    <x v="3"/>
    <x v="2"/>
    <s v="FUR-FU-10001468"/>
    <s v="Furniture"/>
    <x v="3"/>
    <s v="Tenex Antistatic Computer Chair Mats"/>
    <n v="547.13599999999997"/>
    <n v="4"/>
    <n v="-68.391999999999996"/>
    <x v="4"/>
    <x v="5"/>
  </r>
  <r>
    <x v="413"/>
    <x v="252"/>
    <m/>
    <n v="42007"/>
    <x v="2"/>
    <s v="GM-14455"/>
    <s v="Gary Mitchum"/>
    <x v="2"/>
    <s v="United States"/>
    <x v="20"/>
    <x v="20"/>
    <x v="2"/>
    <s v="FUR-FU-10002501"/>
    <s v="Furniture"/>
    <x v="3"/>
    <s v="Nu-Dell Executive Frame"/>
    <n v="63.2"/>
    <n v="5"/>
    <n v="23.384"/>
    <x v="0"/>
    <x v="5"/>
  </r>
  <r>
    <x v="414"/>
    <x v="345"/>
    <m/>
    <n v="42447"/>
    <x v="1"/>
    <s v="LT-17110"/>
    <s v="Liz Thompson"/>
    <x v="0"/>
    <s v="United States"/>
    <x v="21"/>
    <x v="5"/>
    <x v="3"/>
    <s v="FUR-TA-10004619"/>
    <s v="Furniture"/>
    <x v="2"/>
    <s v="Hon Non-Folding Utility Tables"/>
    <n v="557.58500000000004"/>
    <n v="5"/>
    <n v="0"/>
    <x v="2"/>
    <x v="9"/>
  </r>
  <r>
    <x v="415"/>
    <x v="346"/>
    <m/>
    <n v="42249"/>
    <x v="2"/>
    <s v="SC-20260"/>
    <s v="Scott Cohen"/>
    <x v="1"/>
    <s v="United States"/>
    <x v="28"/>
    <x v="2"/>
    <x v="1"/>
    <s v="FUR-BO-10002545"/>
    <s v="Furniture"/>
    <x v="0"/>
    <s v="Atlantic Metals Mobile 3-Shelf Bookcases, Custom Colors"/>
    <n v="1552.8309999999999"/>
    <n v="7"/>
    <n v="200.9546"/>
    <x v="3"/>
    <x v="10"/>
  </r>
  <r>
    <x v="416"/>
    <x v="347"/>
    <m/>
    <n v="41719"/>
    <x v="1"/>
    <s v="CP-12340"/>
    <s v="Christine Phan"/>
    <x v="1"/>
    <s v="United States"/>
    <x v="13"/>
    <x v="7"/>
    <x v="2"/>
    <s v="FUR-TA-10003473"/>
    <s v="Furniture"/>
    <x v="2"/>
    <s v="Bretford Rectangular Conference Table Tops"/>
    <n v="1579.7460000000001"/>
    <n v="7"/>
    <n v="-447.59469999999999"/>
    <x v="4"/>
    <x v="9"/>
  </r>
  <r>
    <x v="416"/>
    <x v="347"/>
    <m/>
    <n v="41719"/>
    <x v="1"/>
    <s v="CP-12340"/>
    <s v="Christine Phan"/>
    <x v="1"/>
    <s v="United States"/>
    <x v="13"/>
    <x v="7"/>
    <x v="2"/>
    <s v="FUR-TA-10001950"/>
    <s v="Furniture"/>
    <x v="2"/>
    <s v="Balt Solid Wood Round Tables"/>
    <n v="1071.576"/>
    <n v="4"/>
    <n v="-553.64760000000001"/>
    <x v="4"/>
    <x v="9"/>
  </r>
  <r>
    <x v="416"/>
    <x v="347"/>
    <m/>
    <n v="41719"/>
    <x v="1"/>
    <s v="CP-12340"/>
    <s v="Christine Phan"/>
    <x v="1"/>
    <s v="United States"/>
    <x v="13"/>
    <x v="7"/>
    <x v="2"/>
    <s v="FUR-TA-10004175"/>
    <s v="Furniture"/>
    <x v="2"/>
    <s v="Hon 30&quot; x 60&quot; Table with Locking Drawer"/>
    <n v="613.90800000000002"/>
    <n v="3"/>
    <n v="-122.7816"/>
    <x v="4"/>
    <x v="9"/>
  </r>
  <r>
    <x v="417"/>
    <x v="345"/>
    <m/>
    <n v="42447"/>
    <x v="1"/>
    <s v="AB-10060"/>
    <s v="Adam Bellavance"/>
    <x v="2"/>
    <s v="United States"/>
    <x v="61"/>
    <x v="25"/>
    <x v="0"/>
    <s v="FUR-FU-10004864"/>
    <s v="Furniture"/>
    <x v="3"/>
    <s v="Howard Miller 14-1/2&quot; Diameter Chrome Round Wall Clock"/>
    <n v="127.88"/>
    <n v="2"/>
    <n v="40.921599999999998"/>
    <x v="2"/>
    <x v="9"/>
  </r>
  <r>
    <x v="418"/>
    <x v="168"/>
    <m/>
    <n v="41969"/>
    <x v="0"/>
    <s v="EH-13990"/>
    <s v="Erica Hackney"/>
    <x v="0"/>
    <s v="United States"/>
    <x v="155"/>
    <x v="2"/>
    <x v="1"/>
    <s v="FUR-CH-10001714"/>
    <s v="Furniture"/>
    <x v="1"/>
    <s v="Global Leather &amp; Oak Executive Chair, Burgundy"/>
    <n v="120.712"/>
    <n v="1"/>
    <n v="-18.1068"/>
    <x v="3"/>
    <x v="0"/>
  </r>
  <r>
    <x v="419"/>
    <x v="348"/>
    <m/>
    <n v="42640"/>
    <x v="1"/>
    <s v="KL-16555"/>
    <s v="Kelly Lampkin"/>
    <x v="1"/>
    <s v="United States"/>
    <x v="130"/>
    <x v="15"/>
    <x v="2"/>
    <s v="FUR-FU-10002298"/>
    <s v="Furniture"/>
    <x v="3"/>
    <s v="Rubbermaid ClusterMat Chairmats, Mat Size- 66&quot; x 60&quot;, Lip 20&quot; x 11&quot; -90 Degree Angle"/>
    <n v="532.70399999999995"/>
    <n v="6"/>
    <n v="-26.635200000000001"/>
    <x v="4"/>
    <x v="4"/>
  </r>
  <r>
    <x v="420"/>
    <x v="281"/>
    <m/>
    <n v="42562"/>
    <x v="0"/>
    <s v="BF-11020"/>
    <s v="Barry FranzÅ¡sisch"/>
    <x v="1"/>
    <s v="United States"/>
    <x v="14"/>
    <x v="8"/>
    <x v="3"/>
    <s v="FUR-FU-10004973"/>
    <s v="Furniture"/>
    <x v="3"/>
    <s v="Flat Face Poster Frame"/>
    <n v="60.287999999999997"/>
    <n v="8"/>
    <n v="-27.1296"/>
    <x v="4"/>
    <x v="3"/>
  </r>
  <r>
    <x v="420"/>
    <x v="281"/>
    <m/>
    <n v="42562"/>
    <x v="0"/>
    <s v="BF-11020"/>
    <s v="Barry FranzÅ¡sisch"/>
    <x v="1"/>
    <s v="United States"/>
    <x v="14"/>
    <x v="8"/>
    <x v="3"/>
    <s v="FUR-CH-10000785"/>
    <s v="Furniture"/>
    <x v="1"/>
    <s v="Global Ergonomic Managers Chair"/>
    <n v="253.37200000000001"/>
    <n v="2"/>
    <n v="-14.478400000000001"/>
    <x v="4"/>
    <x v="3"/>
  </r>
  <r>
    <x v="421"/>
    <x v="349"/>
    <m/>
    <n v="42500"/>
    <x v="1"/>
    <s v="BE-11455"/>
    <s v="Brad Eason"/>
    <x v="2"/>
    <s v="United States"/>
    <x v="75"/>
    <x v="15"/>
    <x v="2"/>
    <s v="FUR-FU-10004848"/>
    <s v="Furniture"/>
    <x v="3"/>
    <s v="DAX Solid Wood Frames"/>
    <n v="54.712000000000003"/>
    <n v="7"/>
    <n v="11.626300000000001"/>
    <x v="4"/>
    <x v="7"/>
  </r>
  <r>
    <x v="422"/>
    <x v="248"/>
    <m/>
    <n v="42348"/>
    <x v="1"/>
    <s v="SG-20605"/>
    <s v="Speros Goranitis"/>
    <x v="0"/>
    <s v="United States"/>
    <x v="13"/>
    <x v="7"/>
    <x v="2"/>
    <s v="FUR-FU-10002878"/>
    <s v="Furniture"/>
    <x v="3"/>
    <s v="Seth Thomas 14&quot; Day/Date Wall Clock"/>
    <n v="113.92"/>
    <n v="4"/>
    <n v="42.150399999999998"/>
    <x v="4"/>
    <x v="5"/>
  </r>
  <r>
    <x v="423"/>
    <x v="350"/>
    <m/>
    <n v="42646"/>
    <x v="1"/>
    <s v="HM-14860"/>
    <s v="Harry Marie"/>
    <x v="1"/>
    <s v="United States"/>
    <x v="156"/>
    <x v="5"/>
    <x v="3"/>
    <s v="FUR-BO-10000780"/>
    <s v="Furniture"/>
    <x v="0"/>
    <s v="O'Sullivan Plantations 2-Door Library in Landvery Oak"/>
    <n v="956.66480000000001"/>
    <n v="7"/>
    <n v="-225.0976"/>
    <x v="6"/>
    <x v="4"/>
  </r>
  <r>
    <x v="424"/>
    <x v="351"/>
    <m/>
    <n v="42819"/>
    <x v="2"/>
    <s v="BE-11335"/>
    <s v="Bill Eplett"/>
    <x v="2"/>
    <s v="United States"/>
    <x v="28"/>
    <x v="2"/>
    <x v="1"/>
    <s v="FUR-FU-10000758"/>
    <s v="Furniture"/>
    <x v="3"/>
    <s v="DAX Natural Wood-Tone Poster Frame"/>
    <n v="211.84"/>
    <n v="8"/>
    <n v="76.2624"/>
    <x v="3"/>
    <x v="9"/>
  </r>
  <r>
    <x v="425"/>
    <x v="352"/>
    <m/>
    <n v="41959"/>
    <x v="1"/>
    <s v="JA-15970"/>
    <s v="Joseph Airdo"/>
    <x v="0"/>
    <s v="United States"/>
    <x v="2"/>
    <x v="2"/>
    <x v="1"/>
    <s v="FUR-TA-10002356"/>
    <s v="Furniture"/>
    <x v="2"/>
    <s v="Bevis Boat-Shaped Conference Table"/>
    <n v="629.06399999999996"/>
    <n v="3"/>
    <n v="31.453199999999999"/>
    <x v="4"/>
    <x v="0"/>
  </r>
  <r>
    <x v="426"/>
    <x v="353"/>
    <m/>
    <n v="42737"/>
    <x v="1"/>
    <s v="TB-21595"/>
    <s v="Troy Blackwell"/>
    <x v="0"/>
    <s v="United States"/>
    <x v="79"/>
    <x v="16"/>
    <x v="3"/>
    <s v="FUR-CH-10001714"/>
    <s v="Furniture"/>
    <x v="1"/>
    <s v="Global Leather &amp; Oak Executive Chair, Burgundy"/>
    <n v="754.45"/>
    <n v="5"/>
    <n v="60.356000000000002"/>
    <x v="4"/>
    <x v="5"/>
  </r>
  <r>
    <x v="427"/>
    <x v="171"/>
    <m/>
    <n v="42196"/>
    <x v="1"/>
    <s v="PP-18955"/>
    <s v="Paul Prost"/>
    <x v="2"/>
    <s v="United States"/>
    <x v="157"/>
    <x v="20"/>
    <x v="2"/>
    <s v="FUR-BO-10002824"/>
    <s v="Furniture"/>
    <x v="0"/>
    <s v="Bush Mission Pointe Library"/>
    <n v="301.95999999999998"/>
    <n v="2"/>
    <n v="60.392000000000003"/>
    <x v="2"/>
    <x v="3"/>
  </r>
  <r>
    <x v="428"/>
    <x v="19"/>
    <m/>
    <n v="43099"/>
    <x v="1"/>
    <s v="SV-20935"/>
    <s v="Susan Vittorini"/>
    <x v="0"/>
    <s v="United States"/>
    <x v="130"/>
    <x v="15"/>
    <x v="2"/>
    <s v="FUR-TA-10002645"/>
    <s v="Furniture"/>
    <x v="2"/>
    <s v="Hon Rectangular Conference Tables"/>
    <n v="273.06"/>
    <n v="2"/>
    <n v="-104.673"/>
    <x v="2"/>
    <x v="5"/>
  </r>
  <r>
    <x v="429"/>
    <x v="354"/>
    <m/>
    <n v="42538"/>
    <x v="1"/>
    <s v="MZ-17515"/>
    <s v="Mary Zewe"/>
    <x v="1"/>
    <s v="United States"/>
    <x v="58"/>
    <x v="5"/>
    <x v="3"/>
    <s v="FUR-FU-10004415"/>
    <s v="Furniture"/>
    <x v="3"/>
    <s v="Stacking Tray, Side-Loading, Legal, Smoke"/>
    <n v="12.544"/>
    <n v="7"/>
    <n v="-9.0944000000000003"/>
    <x v="6"/>
    <x v="2"/>
  </r>
  <r>
    <x v="430"/>
    <x v="158"/>
    <m/>
    <n v="43102"/>
    <x v="1"/>
    <s v="HM-14860"/>
    <s v="Harry Marie"/>
    <x v="1"/>
    <s v="United States"/>
    <x v="15"/>
    <x v="13"/>
    <x v="1"/>
    <s v="FUR-FU-10001935"/>
    <s v="Furniture"/>
    <x v="3"/>
    <s v="3M Hangers With Command Adhesive"/>
    <n v="7.4"/>
    <n v="2"/>
    <n v="3.0339999999999998"/>
    <x v="2"/>
    <x v="5"/>
  </r>
  <r>
    <x v="431"/>
    <x v="355"/>
    <m/>
    <n v="41730"/>
    <x v="1"/>
    <s v="AZ-10750"/>
    <s v="Annie Zypern"/>
    <x v="0"/>
    <s v="United States"/>
    <x v="13"/>
    <x v="7"/>
    <x v="2"/>
    <s v="FUR-CH-10002439"/>
    <s v="Furniture"/>
    <x v="1"/>
    <s v="Iceberg Nesting Folding Chair, 19w x 6d x 43h"/>
    <n v="366.786"/>
    <n v="7"/>
    <n v="65.206400000000002"/>
    <x v="1"/>
    <x v="9"/>
  </r>
  <r>
    <x v="432"/>
    <x v="209"/>
    <m/>
    <n v="42926"/>
    <x v="1"/>
    <s v="CA-12265"/>
    <s v="Christina Anderson"/>
    <x v="0"/>
    <s v="United States"/>
    <x v="158"/>
    <x v="41"/>
    <x v="1"/>
    <s v="FUR-FU-10003708"/>
    <s v="Furniture"/>
    <x v="3"/>
    <s v="Tenex Traditional Chairmats for Medium Pile Carpet, Standard Lip, 36&quot; x 48&quot;"/>
    <n v="545.85"/>
    <n v="9"/>
    <n v="114.6285"/>
    <x v="1"/>
    <x v="3"/>
  </r>
  <r>
    <x v="433"/>
    <x v="356"/>
    <m/>
    <n v="41963"/>
    <x v="0"/>
    <s v="PW-19240"/>
    <s v="Pierre Wener"/>
    <x v="0"/>
    <s v="United States"/>
    <x v="74"/>
    <x v="12"/>
    <x v="1"/>
    <s v="FUR-TA-10000849"/>
    <s v="Furniture"/>
    <x v="2"/>
    <s v="Bevis Rectangular Conference Tables"/>
    <n v="145.97999999999999"/>
    <n v="2"/>
    <n v="-99.266400000000004"/>
    <x v="3"/>
    <x v="0"/>
  </r>
  <r>
    <x v="434"/>
    <x v="357"/>
    <m/>
    <n v="42938"/>
    <x v="1"/>
    <s v="SW-20455"/>
    <s v="Shaun Weien"/>
    <x v="0"/>
    <s v="United States"/>
    <x v="26"/>
    <x v="1"/>
    <x v="0"/>
    <s v="FUR-FU-10002597"/>
    <s v="Furniture"/>
    <x v="3"/>
    <s v="C-Line Magnetic Cubicle Keepers, Clear Polypropylene"/>
    <n v="7.9039999999999999"/>
    <n v="2"/>
    <n v="2.1736"/>
    <x v="2"/>
    <x v="3"/>
  </r>
  <r>
    <x v="435"/>
    <x v="358"/>
    <m/>
    <n v="42517"/>
    <x v="1"/>
    <s v="AF-10870"/>
    <s v="Art Ferguson"/>
    <x v="0"/>
    <s v="United States"/>
    <x v="159"/>
    <x v="18"/>
    <x v="2"/>
    <s v="FUR-TA-10003748"/>
    <s v="Furniture"/>
    <x v="2"/>
    <s v="Bevis 36 x 72 Conference Tables"/>
    <n v="174.286"/>
    <n v="2"/>
    <n v="-19.918399999999998"/>
    <x v="2"/>
    <x v="7"/>
  </r>
  <r>
    <x v="436"/>
    <x v="359"/>
    <m/>
    <n v="42680"/>
    <x v="1"/>
    <s v="BD-11320"/>
    <s v="Bill Donatelli"/>
    <x v="0"/>
    <s v="United States"/>
    <x v="3"/>
    <x v="3"/>
    <x v="2"/>
    <s v="FUR-CH-10000988"/>
    <s v="Furniture"/>
    <x v="1"/>
    <s v="Hon Olson Stacker Stools"/>
    <n v="492.83499999999998"/>
    <n v="5"/>
    <n v="-14.081"/>
    <x v="6"/>
    <x v="1"/>
  </r>
  <r>
    <x v="437"/>
    <x v="360"/>
    <m/>
    <n v="42397"/>
    <x v="1"/>
    <s v="CM-11935"/>
    <s v="Carlos Meador"/>
    <x v="0"/>
    <s v="United States"/>
    <x v="160"/>
    <x v="30"/>
    <x v="0"/>
    <s v="FUR-FU-10002107"/>
    <s v="Furniture"/>
    <x v="3"/>
    <s v="Eldon Pizzaz Desk Accessories"/>
    <n v="14.272"/>
    <n v="8"/>
    <n v="4.2816000000000001"/>
    <x v="6"/>
    <x v="8"/>
  </r>
  <r>
    <x v="437"/>
    <x v="360"/>
    <m/>
    <n v="42397"/>
    <x v="1"/>
    <s v="CM-11935"/>
    <s v="Carlos Meador"/>
    <x v="0"/>
    <s v="United States"/>
    <x v="160"/>
    <x v="30"/>
    <x v="0"/>
    <s v="FUR-BO-10002213"/>
    <s v="Furniture"/>
    <x v="0"/>
    <s v="Sauder Forest Hills Library, Woodland Oak Finish"/>
    <n v="451.13600000000002"/>
    <n v="4"/>
    <n v="-67.670400000000001"/>
    <x v="6"/>
    <x v="8"/>
  </r>
  <r>
    <x v="438"/>
    <x v="361"/>
    <m/>
    <n v="42680"/>
    <x v="2"/>
    <s v="PF-19225"/>
    <s v="Phillip Flathmann"/>
    <x v="0"/>
    <s v="United States"/>
    <x v="2"/>
    <x v="2"/>
    <x v="1"/>
    <s v="FUR-CH-10001190"/>
    <s v="Furniture"/>
    <x v="1"/>
    <s v="Global Deluxe High-Back Office Chair in Storm"/>
    <n v="217.584"/>
    <n v="2"/>
    <n v="-29.9178"/>
    <x v="0"/>
    <x v="0"/>
  </r>
  <r>
    <x v="439"/>
    <x v="362"/>
    <m/>
    <n v="42986"/>
    <x v="0"/>
    <s v="GM-14695"/>
    <s v="Greg Maxwell"/>
    <x v="1"/>
    <s v="United States"/>
    <x v="2"/>
    <x v="2"/>
    <x v="1"/>
    <s v="FUR-TA-10000198"/>
    <s v="Furniture"/>
    <x v="2"/>
    <s v="Chromcraft Bull-Nose Wood Oval Conference Tables &amp; Bases"/>
    <n v="1322.3520000000001"/>
    <n v="3"/>
    <n v="-99.176400000000001"/>
    <x v="4"/>
    <x v="4"/>
  </r>
  <r>
    <x v="440"/>
    <x v="363"/>
    <m/>
    <n v="42981"/>
    <x v="1"/>
    <s v="KN-16705"/>
    <s v="Kristina Nunn"/>
    <x v="2"/>
    <s v="United States"/>
    <x v="15"/>
    <x v="13"/>
    <x v="1"/>
    <s v="FUR-TA-10000617"/>
    <s v="Furniture"/>
    <x v="2"/>
    <s v="Hon Practical Foundations 30 x 60 Training Table, Light Gray/Charcoal"/>
    <n v="1137.75"/>
    <n v="5"/>
    <n v="250.30500000000001"/>
    <x v="6"/>
    <x v="10"/>
  </r>
  <r>
    <x v="441"/>
    <x v="364"/>
    <m/>
    <n v="42627"/>
    <x v="0"/>
    <s v="KT-16480"/>
    <s v="Kean Thornton"/>
    <x v="0"/>
    <s v="United States"/>
    <x v="6"/>
    <x v="5"/>
    <x v="3"/>
    <s v="FUR-TA-10004086"/>
    <s v="Furniture"/>
    <x v="2"/>
    <s v="KI Adjustable-Height Table"/>
    <n v="300.93"/>
    <n v="5"/>
    <n v="-34.392000000000003"/>
    <x v="4"/>
    <x v="4"/>
  </r>
  <r>
    <x v="442"/>
    <x v="365"/>
    <m/>
    <n v="41812"/>
    <x v="1"/>
    <s v="SC-20575"/>
    <s v="Sonia Cooley"/>
    <x v="0"/>
    <s v="United States"/>
    <x v="161"/>
    <x v="6"/>
    <x v="3"/>
    <s v="FUR-CH-10000225"/>
    <s v="Furniture"/>
    <x v="1"/>
    <s v="Global Geo Office Task Chair, Gray"/>
    <n v="647.84"/>
    <n v="8"/>
    <n v="32.392000000000003"/>
    <x v="6"/>
    <x v="2"/>
  </r>
  <r>
    <x v="443"/>
    <x v="366"/>
    <m/>
    <n v="41847"/>
    <x v="0"/>
    <s v="KL-16645"/>
    <s v="Ken Lonsdale"/>
    <x v="0"/>
    <s v="United States"/>
    <x v="28"/>
    <x v="2"/>
    <x v="1"/>
    <s v="FUR-FU-10004351"/>
    <s v="Furniture"/>
    <x v="3"/>
    <s v="Staple-based wall hangings"/>
    <n v="77.92"/>
    <n v="8"/>
    <n v="34.284799999999997"/>
    <x v="3"/>
    <x v="3"/>
  </r>
  <r>
    <x v="444"/>
    <x v="367"/>
    <m/>
    <n v="42691"/>
    <x v="1"/>
    <s v="BB-11545"/>
    <s v="Brenda Bowman"/>
    <x v="1"/>
    <s v="United States"/>
    <x v="9"/>
    <x v="8"/>
    <x v="3"/>
    <s v="FUR-CH-10004540"/>
    <s v="Furniture"/>
    <x v="1"/>
    <s v="Global Chrome Stack Chair"/>
    <n v="47.991999999999997"/>
    <n v="2"/>
    <n v="-2.0568"/>
    <x v="6"/>
    <x v="0"/>
  </r>
  <r>
    <x v="445"/>
    <x v="368"/>
    <m/>
    <n v="42862"/>
    <x v="1"/>
    <s v="DW-13585"/>
    <s v="Dorothy Wardle"/>
    <x v="1"/>
    <s v="United States"/>
    <x v="162"/>
    <x v="18"/>
    <x v="2"/>
    <s v="FUR-FU-10003975"/>
    <s v="Furniture"/>
    <x v="3"/>
    <s v="Eldon Advantage Chair Mats for Low to Medium Pile Carpets"/>
    <n v="129.93"/>
    <n v="3"/>
    <n v="12.993"/>
    <x v="2"/>
    <x v="7"/>
  </r>
  <r>
    <x v="446"/>
    <x v="369"/>
    <m/>
    <n v="42033"/>
    <x v="0"/>
    <s v="SV-20365"/>
    <s v="Seth Vernon"/>
    <x v="0"/>
    <s v="United States"/>
    <x v="59"/>
    <x v="15"/>
    <x v="2"/>
    <s v="FUR-CH-10000513"/>
    <s v="Furniture"/>
    <x v="1"/>
    <s v="High-Back Leather Manager's Chair"/>
    <n v="181.98599999999999"/>
    <n v="2"/>
    <n v="-54.595799999999997"/>
    <x v="3"/>
    <x v="8"/>
  </r>
  <r>
    <x v="447"/>
    <x v="370"/>
    <m/>
    <n v="42201"/>
    <x v="3"/>
    <s v="EM-13810"/>
    <s v="Eleni McCrary"/>
    <x v="1"/>
    <s v="United States"/>
    <x v="28"/>
    <x v="2"/>
    <x v="1"/>
    <s v="FUR-CH-10003312"/>
    <s v="Furniture"/>
    <x v="1"/>
    <s v="Hon 2090 Ã’Pillow SoftÃ“ Series Mid Back Swivel/Tilt Chairs"/>
    <n v="1348.704"/>
    <n v="6"/>
    <n v="-219.1644"/>
    <x v="7"/>
    <x v="3"/>
  </r>
  <r>
    <x v="447"/>
    <x v="370"/>
    <m/>
    <n v="42201"/>
    <x v="3"/>
    <s v="EM-13810"/>
    <s v="Eleni McCrary"/>
    <x v="1"/>
    <s v="United States"/>
    <x v="28"/>
    <x v="2"/>
    <x v="1"/>
    <s v="FUR-CH-10004086"/>
    <s v="Furniture"/>
    <x v="1"/>
    <s v="Hon 4070 Series Pagoda Armless Upholstered Stacking Chairs"/>
    <n v="700.15200000000004"/>
    <n v="3"/>
    <n v="78.767099999999999"/>
    <x v="7"/>
    <x v="3"/>
  </r>
  <r>
    <x v="448"/>
    <x v="325"/>
    <m/>
    <n v="42494"/>
    <x v="1"/>
    <s v="KD-16615"/>
    <s v="Ken Dana"/>
    <x v="1"/>
    <s v="United States"/>
    <x v="163"/>
    <x v="22"/>
    <x v="1"/>
    <s v="FUR-FU-10002759"/>
    <s v="Furniture"/>
    <x v="3"/>
    <s v="12-1/2 Diameter Round Wall Clock"/>
    <n v="111.88800000000001"/>
    <n v="7"/>
    <n v="22.377600000000001"/>
    <x v="4"/>
    <x v="6"/>
  </r>
  <r>
    <x v="449"/>
    <x v="63"/>
    <m/>
    <n v="42627"/>
    <x v="1"/>
    <s v="AP-10720"/>
    <s v="Anne Pryor"/>
    <x v="2"/>
    <s v="United States"/>
    <x v="164"/>
    <x v="20"/>
    <x v="2"/>
    <s v="FUR-BO-10003450"/>
    <s v="Furniture"/>
    <x v="0"/>
    <s v="Bush Westfield Collection Bookcases, Dark Cherry Finish"/>
    <n v="173.94"/>
    <n v="3"/>
    <n v="13.9152"/>
    <x v="6"/>
    <x v="4"/>
  </r>
  <r>
    <x v="450"/>
    <x v="371"/>
    <m/>
    <n v="42845"/>
    <x v="1"/>
    <s v="JE-15745"/>
    <s v="Joel Eaton"/>
    <x v="0"/>
    <s v="United States"/>
    <x v="124"/>
    <x v="2"/>
    <x v="1"/>
    <s v="FUR-BO-10001337"/>
    <s v="Furniture"/>
    <x v="0"/>
    <s v="O'Sullivan Living Dimensions 2-Shelf Bookcases"/>
    <n v="102.833"/>
    <n v="1"/>
    <n v="-6.0490000000000004"/>
    <x v="4"/>
    <x v="6"/>
  </r>
  <r>
    <x v="451"/>
    <x v="49"/>
    <m/>
    <n v="43062"/>
    <x v="1"/>
    <s v="AB-10105"/>
    <s v="Adrian Barton"/>
    <x v="0"/>
    <s v="United States"/>
    <x v="0"/>
    <x v="0"/>
    <x v="0"/>
    <s v="FUR-FU-10004665"/>
    <s v="Furniture"/>
    <x v="3"/>
    <s v="3M Polarizing Task Lamp with Clamp Arm, Light Gray"/>
    <n v="821.88"/>
    <n v="6"/>
    <n v="213.68879999999999"/>
    <x v="4"/>
    <x v="0"/>
  </r>
  <r>
    <x v="452"/>
    <x v="372"/>
    <m/>
    <n v="42657"/>
    <x v="1"/>
    <s v="BW-11110"/>
    <s v="Bart Watters"/>
    <x v="1"/>
    <s v="United States"/>
    <x v="6"/>
    <x v="5"/>
    <x v="3"/>
    <s v="FUR-FU-10004909"/>
    <s v="Furniture"/>
    <x v="3"/>
    <s v="Contemporary Wood/Metal Frame"/>
    <n v="51.712000000000003"/>
    <n v="8"/>
    <n v="-32.32"/>
    <x v="6"/>
    <x v="1"/>
  </r>
  <r>
    <x v="453"/>
    <x v="151"/>
    <m/>
    <n v="42159"/>
    <x v="1"/>
    <s v="TM-21010"/>
    <s v="Tamara Manning"/>
    <x v="0"/>
    <s v="United States"/>
    <x v="4"/>
    <x v="4"/>
    <x v="1"/>
    <s v="FUR-BO-10004357"/>
    <s v="Furniture"/>
    <x v="0"/>
    <s v="O'Sullivan Living Dimensions 3-Shelf Bookcases"/>
    <n v="1406.86"/>
    <n v="7"/>
    <n v="140.68600000000001"/>
    <x v="4"/>
    <x v="7"/>
  </r>
  <r>
    <x v="454"/>
    <x v="373"/>
    <m/>
    <n v="43042"/>
    <x v="0"/>
    <s v="SF-20200"/>
    <s v="Sarah Foster"/>
    <x v="0"/>
    <s v="United States"/>
    <x v="165"/>
    <x v="13"/>
    <x v="1"/>
    <s v="FUR-TA-10003954"/>
    <s v="Furniture"/>
    <x v="2"/>
    <s v="Hon 94000 Series Round Tables"/>
    <n v="2665.62"/>
    <n v="9"/>
    <n v="239.9058"/>
    <x v="3"/>
    <x v="0"/>
  </r>
  <r>
    <x v="455"/>
    <x v="374"/>
    <m/>
    <n v="42930"/>
    <x v="1"/>
    <s v="SM-20320"/>
    <s v="Sean Miller"/>
    <x v="2"/>
    <s v="United States"/>
    <x v="120"/>
    <x v="6"/>
    <x v="3"/>
    <s v="FUR-FU-10000293"/>
    <s v="Furniture"/>
    <x v="3"/>
    <s v="Eldon Antistatic Chair Mats for Low to Medium Pile Carpets"/>
    <n v="526.45000000000005"/>
    <n v="5"/>
    <n v="31.587"/>
    <x v="2"/>
    <x v="3"/>
  </r>
  <r>
    <x v="456"/>
    <x v="375"/>
    <m/>
    <n v="41670"/>
    <x v="1"/>
    <s v="SD-20485"/>
    <s v="Shirley Daniels"/>
    <x v="2"/>
    <s v="United States"/>
    <x v="166"/>
    <x v="25"/>
    <x v="0"/>
    <s v="FUR-FU-10004587"/>
    <s v="Furniture"/>
    <x v="3"/>
    <s v="GE General Use Halogen Bulbs, 100 Watts, 1 Bulb per Pack"/>
    <n v="62.82"/>
    <n v="3"/>
    <n v="30.7818"/>
    <x v="2"/>
    <x v="8"/>
  </r>
  <r>
    <x v="456"/>
    <x v="375"/>
    <m/>
    <n v="41670"/>
    <x v="1"/>
    <s v="SD-20485"/>
    <s v="Shirley Daniels"/>
    <x v="2"/>
    <s v="United States"/>
    <x v="166"/>
    <x v="25"/>
    <x v="0"/>
    <s v="FUR-FU-10001847"/>
    <s v="Furniture"/>
    <x v="3"/>
    <s v="Eldon Image Series Black Desk Accessories"/>
    <n v="12.42"/>
    <n v="3"/>
    <n v="4.4711999999999996"/>
    <x v="2"/>
    <x v="8"/>
  </r>
  <r>
    <x v="457"/>
    <x v="254"/>
    <m/>
    <n v="42922"/>
    <x v="1"/>
    <s v="RA-19285"/>
    <s v="Ralph Arnett"/>
    <x v="0"/>
    <s v="United States"/>
    <x v="13"/>
    <x v="7"/>
    <x v="2"/>
    <s v="FUR-FU-10002045"/>
    <s v="Furniture"/>
    <x v="3"/>
    <s v="Executive Impressions 14&quot;"/>
    <n v="22.23"/>
    <n v="1"/>
    <n v="9.7812000000000001"/>
    <x v="6"/>
    <x v="2"/>
  </r>
  <r>
    <x v="458"/>
    <x v="63"/>
    <m/>
    <n v="42627"/>
    <x v="1"/>
    <s v="SE-20110"/>
    <s v="Sanjit Engle"/>
    <x v="0"/>
    <s v="United States"/>
    <x v="167"/>
    <x v="8"/>
    <x v="3"/>
    <s v="FUR-FU-10004671"/>
    <s v="Furniture"/>
    <x v="3"/>
    <s v="Executive Impressions 12&quot; Wall Clock"/>
    <n v="14.135999999999999"/>
    <n v="2"/>
    <n v="-7.7747999999999999"/>
    <x v="6"/>
    <x v="4"/>
  </r>
  <r>
    <x v="458"/>
    <x v="63"/>
    <m/>
    <n v="42627"/>
    <x v="1"/>
    <s v="SE-20110"/>
    <s v="Sanjit Engle"/>
    <x v="0"/>
    <s v="United States"/>
    <x v="167"/>
    <x v="8"/>
    <x v="3"/>
    <s v="FUR-TA-10003569"/>
    <s v="Furniture"/>
    <x v="2"/>
    <s v="Bretford CR8500 Series Meeting Room Furniture"/>
    <n v="601.47"/>
    <n v="3"/>
    <n v="-300.73500000000001"/>
    <x v="6"/>
    <x v="4"/>
  </r>
  <r>
    <x v="459"/>
    <x v="41"/>
    <m/>
    <n v="42525"/>
    <x v="3"/>
    <s v="EN-13780"/>
    <s v="Edward Nazzal"/>
    <x v="0"/>
    <s v="United States"/>
    <x v="13"/>
    <x v="7"/>
    <x v="2"/>
    <s v="FUR-BO-10000362"/>
    <s v="Furniture"/>
    <x v="0"/>
    <s v="Sauder Inglewood Library Bookcases"/>
    <n v="136.78399999999999"/>
    <n v="1"/>
    <n v="5.1294000000000004"/>
    <x v="7"/>
    <x v="2"/>
  </r>
  <r>
    <x v="459"/>
    <x v="41"/>
    <m/>
    <n v="42525"/>
    <x v="3"/>
    <s v="EN-13780"/>
    <s v="Edward Nazzal"/>
    <x v="0"/>
    <s v="United States"/>
    <x v="13"/>
    <x v="7"/>
    <x v="2"/>
    <s v="FUR-FU-10003878"/>
    <s v="Furniture"/>
    <x v="3"/>
    <s v="Linden 10&quot; Round Wall Clock, Black"/>
    <n v="61.12"/>
    <n v="4"/>
    <n v="20.780799999999999"/>
    <x v="7"/>
    <x v="2"/>
  </r>
  <r>
    <x v="460"/>
    <x v="306"/>
    <m/>
    <n v="41973"/>
    <x v="1"/>
    <s v="MC-17590"/>
    <s v="Matt Collister"/>
    <x v="1"/>
    <s v="United States"/>
    <x v="58"/>
    <x v="5"/>
    <x v="3"/>
    <s v="FUR-TA-10000577"/>
    <s v="Furniture"/>
    <x v="2"/>
    <s v="Bretford CR4500 Series Slim Rectangular Table"/>
    <n v="1218.7349999999999"/>
    <n v="5"/>
    <n v="-121.87350000000001"/>
    <x v="2"/>
    <x v="0"/>
  </r>
  <r>
    <x v="460"/>
    <x v="306"/>
    <m/>
    <n v="41973"/>
    <x v="1"/>
    <s v="MC-17590"/>
    <s v="Matt Collister"/>
    <x v="1"/>
    <s v="United States"/>
    <x v="58"/>
    <x v="5"/>
    <x v="3"/>
    <s v="FUR-FU-10000221"/>
    <s v="Furniture"/>
    <x v="3"/>
    <s v="Master Caster Door Stop, Brown"/>
    <n v="6.0960000000000001"/>
    <n v="3"/>
    <n v="-3.9624000000000001"/>
    <x v="2"/>
    <x v="0"/>
  </r>
  <r>
    <x v="461"/>
    <x v="376"/>
    <m/>
    <n v="42495"/>
    <x v="1"/>
    <s v="BO-11350"/>
    <s v="Bill Overfelt"/>
    <x v="1"/>
    <s v="United States"/>
    <x v="2"/>
    <x v="2"/>
    <x v="1"/>
    <s v="FUR-CH-10002304"/>
    <s v="Furniture"/>
    <x v="1"/>
    <s v="Global Stack Chair without Arms, Black"/>
    <n v="41.567999999999998"/>
    <n v="2"/>
    <n v="2.5979999999999999"/>
    <x v="1"/>
    <x v="6"/>
  </r>
  <r>
    <x v="462"/>
    <x v="377"/>
    <m/>
    <n v="41762"/>
    <x v="1"/>
    <s v="AG-10300"/>
    <s v="Aleksandra Gannaway"/>
    <x v="1"/>
    <s v="United States"/>
    <x v="2"/>
    <x v="2"/>
    <x v="1"/>
    <s v="FUR-CH-10004886"/>
    <s v="Furniture"/>
    <x v="1"/>
    <s v="Bevis Steel Folding Chairs"/>
    <n v="230.28"/>
    <n v="3"/>
    <n v="23.027999999999999"/>
    <x v="1"/>
    <x v="6"/>
  </r>
  <r>
    <x v="463"/>
    <x v="378"/>
    <m/>
    <n v="42875"/>
    <x v="1"/>
    <s v="JF-15295"/>
    <s v="Jason Fortune-"/>
    <x v="0"/>
    <s v="United States"/>
    <x v="15"/>
    <x v="13"/>
    <x v="1"/>
    <s v="FUR-FU-10000076"/>
    <s v="Furniture"/>
    <x v="3"/>
    <s v="24-Hour Round Wall Clock"/>
    <n v="39.96"/>
    <n v="2"/>
    <n v="17.1828"/>
    <x v="2"/>
    <x v="7"/>
  </r>
  <r>
    <x v="463"/>
    <x v="378"/>
    <m/>
    <n v="42875"/>
    <x v="1"/>
    <s v="JF-15295"/>
    <s v="Jason Fortune-"/>
    <x v="0"/>
    <s v="United States"/>
    <x v="15"/>
    <x v="13"/>
    <x v="1"/>
    <s v="FUR-CH-10002017"/>
    <s v="Furniture"/>
    <x v="1"/>
    <s v="SAFCO Optional Arm Kit for Workspace Cribbage Stacking Chair"/>
    <n v="42.624000000000002"/>
    <n v="2"/>
    <n v="4.2624000000000004"/>
    <x v="2"/>
    <x v="7"/>
  </r>
  <r>
    <x v="463"/>
    <x v="378"/>
    <m/>
    <n v="42875"/>
    <x v="1"/>
    <s v="JF-15295"/>
    <s v="Jason Fortune-"/>
    <x v="0"/>
    <s v="United States"/>
    <x v="15"/>
    <x v="13"/>
    <x v="1"/>
    <s v="FUR-CH-10004287"/>
    <s v="Furniture"/>
    <x v="1"/>
    <s v="SAFCO Arco Folding Chair"/>
    <n v="220.96"/>
    <n v="1"/>
    <n v="24.858000000000001"/>
    <x v="2"/>
    <x v="7"/>
  </r>
  <r>
    <x v="464"/>
    <x v="379"/>
    <m/>
    <n v="42195"/>
    <x v="0"/>
    <s v="BF-10975"/>
    <s v="Barbara Fisher"/>
    <x v="1"/>
    <s v="United States"/>
    <x v="160"/>
    <x v="30"/>
    <x v="0"/>
    <s v="FUR-FU-10003829"/>
    <s v="Furniture"/>
    <x v="3"/>
    <s v="Stackable Trays"/>
    <n v="4.9279999999999999"/>
    <n v="2"/>
    <n v="0.73919999999999997"/>
    <x v="2"/>
    <x v="3"/>
  </r>
  <r>
    <x v="465"/>
    <x v="235"/>
    <m/>
    <n v="42904"/>
    <x v="1"/>
    <s v="SB-20170"/>
    <s v="Sarah Bern"/>
    <x v="0"/>
    <s v="United States"/>
    <x v="13"/>
    <x v="7"/>
    <x v="2"/>
    <s v="FUR-CH-10000595"/>
    <s v="Furniture"/>
    <x v="1"/>
    <s v="Safco Contoured Stacking Chairs"/>
    <n v="858.24"/>
    <n v="4"/>
    <n v="143.04"/>
    <x v="6"/>
    <x v="2"/>
  </r>
  <r>
    <x v="466"/>
    <x v="380"/>
    <m/>
    <n v="42481"/>
    <x v="0"/>
    <s v="BF-11170"/>
    <s v="Ben Ferrer"/>
    <x v="2"/>
    <s v="United States"/>
    <x v="168"/>
    <x v="30"/>
    <x v="0"/>
    <s v="FUR-FU-10000206"/>
    <s v="Furniture"/>
    <x v="3"/>
    <s v="GE General Purpose, Extra Long Life, Showcase &amp; Floodlight Incandescent Bulbs"/>
    <n v="18.623999999999999"/>
    <n v="8"/>
    <n v="6.2855999999999996"/>
    <x v="4"/>
    <x v="6"/>
  </r>
  <r>
    <x v="467"/>
    <x v="266"/>
    <m/>
    <n v="41894"/>
    <x v="0"/>
    <s v="TB-21400"/>
    <s v="Tom Boeckenhauer"/>
    <x v="0"/>
    <s v="United States"/>
    <x v="169"/>
    <x v="37"/>
    <x v="3"/>
    <s v="FUR-FU-10004270"/>
    <s v="Furniture"/>
    <x v="3"/>
    <s v="Executive Impressions 13&quot; Clairmont Wall Clock"/>
    <n v="57.69"/>
    <n v="3"/>
    <n v="23.652899999999999"/>
    <x v="2"/>
    <x v="4"/>
  </r>
  <r>
    <x v="467"/>
    <x v="266"/>
    <m/>
    <n v="41894"/>
    <x v="0"/>
    <s v="TB-21400"/>
    <s v="Tom Boeckenhauer"/>
    <x v="0"/>
    <s v="United States"/>
    <x v="169"/>
    <x v="37"/>
    <x v="3"/>
    <s v="FUR-FU-10004665"/>
    <s v="Furniture"/>
    <x v="3"/>
    <s v="3M Polarizing Task Lamp with Clamp Arm, Light Gray"/>
    <n v="821.88"/>
    <n v="6"/>
    <n v="213.68879999999999"/>
    <x v="2"/>
    <x v="4"/>
  </r>
  <r>
    <x v="468"/>
    <x v="73"/>
    <m/>
    <n v="42644"/>
    <x v="1"/>
    <s v="SH-19975"/>
    <s v="Sally Hughsby"/>
    <x v="1"/>
    <s v="United States"/>
    <x v="170"/>
    <x v="2"/>
    <x v="1"/>
    <s v="FUR-BO-10004467"/>
    <s v="Furniture"/>
    <x v="0"/>
    <s v="Bestar Classic Bookcase"/>
    <n v="424.95749999999998"/>
    <n v="5"/>
    <n v="19.998000000000001"/>
    <x v="2"/>
    <x v="4"/>
  </r>
  <r>
    <x v="469"/>
    <x v="342"/>
    <m/>
    <n v="42999"/>
    <x v="0"/>
    <s v="AS-10225"/>
    <s v="Alan Schoenberger"/>
    <x v="1"/>
    <s v="United States"/>
    <x v="106"/>
    <x v="4"/>
    <x v="1"/>
    <s v="FUR-BO-10003404"/>
    <s v="Furniture"/>
    <x v="0"/>
    <s v="Global Adaptabilites Bookcase, Cherry/Storm Gray Finish"/>
    <n v="1292.94"/>
    <n v="3"/>
    <n v="77.576400000000007"/>
    <x v="4"/>
    <x v="4"/>
  </r>
  <r>
    <x v="470"/>
    <x v="37"/>
    <m/>
    <n v="42366"/>
    <x v="1"/>
    <s v="HR-14830"/>
    <s v="Harold Ryan"/>
    <x v="1"/>
    <s v="United States"/>
    <x v="171"/>
    <x v="22"/>
    <x v="1"/>
    <s v="FUR-CH-10004287"/>
    <s v="Furniture"/>
    <x v="1"/>
    <s v="SAFCO Arco Folding Chair"/>
    <n v="883.84"/>
    <n v="4"/>
    <n v="99.432000000000002"/>
    <x v="4"/>
    <x v="5"/>
  </r>
  <r>
    <x v="471"/>
    <x v="381"/>
    <m/>
    <n v="42494"/>
    <x v="2"/>
    <s v="HF-14995"/>
    <s v="Herbert Flentye"/>
    <x v="0"/>
    <s v="United States"/>
    <x v="10"/>
    <x v="9"/>
    <x v="0"/>
    <s v="FUR-TA-10004534"/>
    <s v="Furniture"/>
    <x v="2"/>
    <s v="Bevis 44 x 96 Conference Tables"/>
    <n v="370.62"/>
    <n v="3"/>
    <n v="-142.071"/>
    <x v="0"/>
    <x v="7"/>
  </r>
  <r>
    <x v="472"/>
    <x v="382"/>
    <m/>
    <n v="42246"/>
    <x v="1"/>
    <s v="NL-18310"/>
    <s v="Nancy Lomonaco"/>
    <x v="2"/>
    <s v="United States"/>
    <x v="2"/>
    <x v="2"/>
    <x v="1"/>
    <s v="FUR-CH-10002774"/>
    <s v="Furniture"/>
    <x v="1"/>
    <s v="Global Deluxe Stacking Chair, Gray"/>
    <n v="40.783999999999999"/>
    <n v="1"/>
    <n v="4.5881999999999996"/>
    <x v="2"/>
    <x v="10"/>
  </r>
  <r>
    <x v="473"/>
    <x v="383"/>
    <m/>
    <n v="41894"/>
    <x v="0"/>
    <s v="RR-19525"/>
    <s v="Rick Reed"/>
    <x v="1"/>
    <s v="United States"/>
    <x v="172"/>
    <x v="20"/>
    <x v="2"/>
    <s v="FUR-CH-10003761"/>
    <s v="Furniture"/>
    <x v="1"/>
    <s v="Global Italian Leather Office Chair"/>
    <n v="785.88"/>
    <n v="6"/>
    <n v="212.1876"/>
    <x v="0"/>
    <x v="4"/>
  </r>
  <r>
    <x v="474"/>
    <x v="360"/>
    <m/>
    <n v="42397"/>
    <x v="1"/>
    <s v="AJ-10795"/>
    <s v="Anthony Johnson"/>
    <x v="1"/>
    <s v="United States"/>
    <x v="15"/>
    <x v="13"/>
    <x v="1"/>
    <s v="FUR-FU-10001475"/>
    <s v="Furniture"/>
    <x v="3"/>
    <s v="Contract Clock, 14&quot;, Brown"/>
    <n v="109.9"/>
    <n v="5"/>
    <n v="37.366"/>
    <x v="6"/>
    <x v="8"/>
  </r>
  <r>
    <x v="475"/>
    <x v="384"/>
    <m/>
    <n v="41932"/>
    <x v="1"/>
    <s v="DL-12865"/>
    <s v="Dan Lawera"/>
    <x v="0"/>
    <s v="United States"/>
    <x v="173"/>
    <x v="1"/>
    <x v="0"/>
    <s v="FUR-FU-10004270"/>
    <s v="Furniture"/>
    <x v="3"/>
    <s v="Executive Impressions 13&quot; Clairmont Wall Clock"/>
    <n v="15.384"/>
    <n v="1"/>
    <n v="4.0382999999999996"/>
    <x v="2"/>
    <x v="1"/>
  </r>
  <r>
    <x v="476"/>
    <x v="385"/>
    <m/>
    <n v="41721"/>
    <x v="1"/>
    <s v="SM-20320"/>
    <s v="Sean Miller"/>
    <x v="2"/>
    <s v="United States"/>
    <x v="51"/>
    <x v="1"/>
    <x v="0"/>
    <s v="FUR-FU-10004270"/>
    <s v="Furniture"/>
    <x v="3"/>
    <s v="Executive Impressions 13&quot; Clairmont Wall Clock"/>
    <n v="30.768000000000001"/>
    <n v="2"/>
    <n v="8.0765999999999991"/>
    <x v="2"/>
    <x v="9"/>
  </r>
  <r>
    <x v="476"/>
    <x v="385"/>
    <m/>
    <n v="41721"/>
    <x v="1"/>
    <s v="SM-20320"/>
    <s v="Sean Miller"/>
    <x v="2"/>
    <s v="United States"/>
    <x v="51"/>
    <x v="1"/>
    <x v="0"/>
    <s v="FUR-FU-10001986"/>
    <s v="Furniture"/>
    <x v="3"/>
    <s v="Dana Fluorescent Magnifying Lamp, White, 36&quot;"/>
    <n v="122.352"/>
    <n v="3"/>
    <n v="15.294"/>
    <x v="2"/>
    <x v="9"/>
  </r>
  <r>
    <x v="477"/>
    <x v="386"/>
    <m/>
    <n v="42041"/>
    <x v="1"/>
    <s v="CC-12145"/>
    <s v="Charles Crestani"/>
    <x v="0"/>
    <s v="United States"/>
    <x v="2"/>
    <x v="2"/>
    <x v="1"/>
    <s v="FUR-FU-10001876"/>
    <s v="Furniture"/>
    <x v="3"/>
    <s v="Computer Room Manger, 14&quot;"/>
    <n v="227.36"/>
    <n v="7"/>
    <n v="81.849599999999995"/>
    <x v="1"/>
    <x v="8"/>
  </r>
  <r>
    <x v="478"/>
    <x v="224"/>
    <m/>
    <n v="43019"/>
    <x v="2"/>
    <s v="CP-12085"/>
    <s v="Cathy Prescott"/>
    <x v="1"/>
    <s v="United States"/>
    <x v="174"/>
    <x v="15"/>
    <x v="2"/>
    <s v="FUR-FU-10003577"/>
    <s v="Furniture"/>
    <x v="3"/>
    <s v="Nu-Dell Leatherette Frames"/>
    <n v="45.887999999999998"/>
    <n v="4"/>
    <n v="9.1776"/>
    <x v="3"/>
    <x v="1"/>
  </r>
  <r>
    <x v="479"/>
    <x v="387"/>
    <m/>
    <n v="41981"/>
    <x v="0"/>
    <s v="LF-17185"/>
    <s v="Luke Foster"/>
    <x v="0"/>
    <s v="United States"/>
    <x v="6"/>
    <x v="5"/>
    <x v="3"/>
    <s v="FUR-FU-10002759"/>
    <s v="Furniture"/>
    <x v="3"/>
    <s v="12-1/2 Diameter Round Wall Clock"/>
    <n v="23.975999999999999"/>
    <n v="3"/>
    <n v="-14.3856"/>
    <x v="3"/>
    <x v="5"/>
  </r>
  <r>
    <x v="480"/>
    <x v="388"/>
    <m/>
    <n v="43052"/>
    <x v="1"/>
    <s v="EP-13915"/>
    <s v="Emily Phan"/>
    <x v="0"/>
    <s v="United States"/>
    <x v="3"/>
    <x v="3"/>
    <x v="2"/>
    <s v="FUR-TA-10000849"/>
    <s v="Furniture"/>
    <x v="2"/>
    <s v="Bevis Rectangular Conference Tables"/>
    <n v="350.35199999999998"/>
    <n v="4"/>
    <n v="-140.14080000000001"/>
    <x v="6"/>
    <x v="0"/>
  </r>
  <r>
    <x v="481"/>
    <x v="389"/>
    <m/>
    <n v="42785"/>
    <x v="1"/>
    <s v="FH-14350"/>
    <s v="Fred Harton"/>
    <x v="0"/>
    <s v="United States"/>
    <x v="15"/>
    <x v="13"/>
    <x v="1"/>
    <s v="FUR-FU-10004017"/>
    <s v="Furniture"/>
    <x v="3"/>
    <s v="Tenex Contemporary Contur Chairmats for Low and Medium Pile Carpet, Computer, 39&quot; x 49&quot;"/>
    <n v="107.53"/>
    <n v="1"/>
    <n v="21.506"/>
    <x v="6"/>
    <x v="11"/>
  </r>
  <r>
    <x v="482"/>
    <x v="18"/>
    <m/>
    <n v="42327"/>
    <x v="1"/>
    <s v="KL-16645"/>
    <s v="Ken Lonsdale"/>
    <x v="0"/>
    <s v="United States"/>
    <x v="19"/>
    <x v="14"/>
    <x v="2"/>
    <s v="FUR-BO-10004467"/>
    <s v="Furniture"/>
    <x v="0"/>
    <s v="Bestar Classic Bookcase"/>
    <n v="299.97000000000003"/>
    <n v="3"/>
    <n v="56.994300000000003"/>
    <x v="6"/>
    <x v="0"/>
  </r>
  <r>
    <x v="483"/>
    <x v="53"/>
    <m/>
    <n v="41951"/>
    <x v="1"/>
    <s v="MS-17530"/>
    <s v="MaryBeth Skach"/>
    <x v="0"/>
    <s v="United States"/>
    <x v="53"/>
    <x v="2"/>
    <x v="1"/>
    <s v="FUR-FU-10004671"/>
    <s v="Furniture"/>
    <x v="3"/>
    <s v="Executive Impressions 12&quot; Wall Clock"/>
    <n v="35.340000000000003"/>
    <n v="2"/>
    <n v="13.4292"/>
    <x v="4"/>
    <x v="0"/>
  </r>
  <r>
    <x v="484"/>
    <x v="390"/>
    <m/>
    <n v="42180"/>
    <x v="0"/>
    <s v="SC-20770"/>
    <s v="Stewart Carmichael"/>
    <x v="1"/>
    <s v="United States"/>
    <x v="28"/>
    <x v="2"/>
    <x v="1"/>
    <s v="FUR-FU-10002253"/>
    <s v="Furniture"/>
    <x v="3"/>
    <s v="Howard Miller 13&quot; Diameter Pewter Finish Round Wall Clock"/>
    <n v="257.64"/>
    <n v="6"/>
    <n v="100.4796"/>
    <x v="2"/>
    <x v="2"/>
  </r>
  <r>
    <x v="485"/>
    <x v="264"/>
    <m/>
    <n v="41776"/>
    <x v="1"/>
    <s v="KT-16480"/>
    <s v="Kean Thornton"/>
    <x v="0"/>
    <s v="United States"/>
    <x v="20"/>
    <x v="20"/>
    <x v="2"/>
    <s v="FUR-TA-10002228"/>
    <s v="Furniture"/>
    <x v="2"/>
    <s v="Bevis Traditional Conference Table Top, Plinth Base"/>
    <n v="700.05600000000004"/>
    <n v="3"/>
    <n v="-130.0104"/>
    <x v="2"/>
    <x v="7"/>
  </r>
  <r>
    <x v="486"/>
    <x v="391"/>
    <m/>
    <n v="41804"/>
    <x v="1"/>
    <s v="CS-11950"/>
    <s v="Carlos Soltero"/>
    <x v="0"/>
    <s v="United States"/>
    <x v="15"/>
    <x v="13"/>
    <x v="1"/>
    <s v="FUR-CH-10002758"/>
    <s v="Furniture"/>
    <x v="1"/>
    <s v="Hon Deluxe Fabric Upholstered Stacking Chairs, Squared Back"/>
    <n v="585.55200000000002"/>
    <n v="3"/>
    <n v="73.194000000000003"/>
    <x v="6"/>
    <x v="2"/>
  </r>
  <r>
    <x v="487"/>
    <x v="261"/>
    <m/>
    <n v="41789"/>
    <x v="1"/>
    <s v="HF-14995"/>
    <s v="Herbert Flentye"/>
    <x v="0"/>
    <s v="United States"/>
    <x v="2"/>
    <x v="2"/>
    <x v="1"/>
    <s v="FUR-CH-10000988"/>
    <s v="Furniture"/>
    <x v="1"/>
    <s v="Hon Olson Stacker Stools"/>
    <n v="225.29599999999999"/>
    <n v="2"/>
    <n v="22.529599999999999"/>
    <x v="4"/>
    <x v="7"/>
  </r>
  <r>
    <x v="488"/>
    <x v="237"/>
    <m/>
    <n v="42444"/>
    <x v="1"/>
    <s v="JP-16135"/>
    <s v="Julie Prescott"/>
    <x v="2"/>
    <s v="United States"/>
    <x v="29"/>
    <x v="24"/>
    <x v="0"/>
    <s v="FUR-FU-10004270"/>
    <s v="Furniture"/>
    <x v="3"/>
    <s v="Executive Impressions 13&quot; Clairmont Wall Clock"/>
    <n v="76.92"/>
    <n v="4"/>
    <n v="31.537199999999999"/>
    <x v="4"/>
    <x v="9"/>
  </r>
  <r>
    <x v="489"/>
    <x v="247"/>
    <m/>
    <n v="43081"/>
    <x v="2"/>
    <s v="BT-11680"/>
    <s v="Brian Thompson"/>
    <x v="0"/>
    <s v="United States"/>
    <x v="1"/>
    <x v="1"/>
    <x v="0"/>
    <s v="FUR-FU-10001940"/>
    <s v="Furniture"/>
    <x v="3"/>
    <s v="Staple-based wall hangings"/>
    <n v="19.103999999999999"/>
    <n v="3"/>
    <n v="5.7312000000000003"/>
    <x v="3"/>
    <x v="5"/>
  </r>
  <r>
    <x v="490"/>
    <x v="392"/>
    <m/>
    <n v="42204"/>
    <x v="0"/>
    <s v="JM-15535"/>
    <s v="Jessica Myrick"/>
    <x v="0"/>
    <s v="United States"/>
    <x v="175"/>
    <x v="2"/>
    <x v="1"/>
    <s v="FUR-BO-10003159"/>
    <s v="Furniture"/>
    <x v="0"/>
    <s v="Sauder Camden County Collection Libraries, Planked Cherry Finish"/>
    <n v="195.46600000000001"/>
    <n v="2"/>
    <n v="-13.797599999999999"/>
    <x v="3"/>
    <x v="3"/>
  </r>
  <r>
    <x v="491"/>
    <x v="393"/>
    <m/>
    <n v="42860"/>
    <x v="1"/>
    <s v="SS-20140"/>
    <s v="Saphhira Shifley"/>
    <x v="1"/>
    <s v="United States"/>
    <x v="176"/>
    <x v="1"/>
    <x v="0"/>
    <s v="FUR-FU-10001935"/>
    <s v="Furniture"/>
    <x v="3"/>
    <s v="3M Hangers With Command Adhesive"/>
    <n v="23.68"/>
    <n v="8"/>
    <n v="6.2160000000000002"/>
    <x v="2"/>
    <x v="6"/>
  </r>
  <r>
    <x v="492"/>
    <x v="231"/>
    <m/>
    <n v="42270"/>
    <x v="2"/>
    <s v="CD-12790"/>
    <s v="Cynthia Delaney"/>
    <x v="2"/>
    <s v="United States"/>
    <x v="2"/>
    <x v="2"/>
    <x v="1"/>
    <s v="FUR-CH-10004997"/>
    <s v="Furniture"/>
    <x v="1"/>
    <s v="Hon Every-Day Series Multi-Task Chairs"/>
    <n v="601.53599999999994"/>
    <n v="4"/>
    <n v="0"/>
    <x v="3"/>
    <x v="4"/>
  </r>
  <r>
    <x v="493"/>
    <x v="116"/>
    <m/>
    <n v="41979"/>
    <x v="1"/>
    <s v="MD-17860"/>
    <s v="Michael Dominguez"/>
    <x v="1"/>
    <s v="United States"/>
    <x v="177"/>
    <x v="5"/>
    <x v="3"/>
    <s v="FUR-FU-10001588"/>
    <s v="Furniture"/>
    <x v="3"/>
    <s v="Deflect-o SuperTray Unbreakable Stackable Tray, Letter, Black"/>
    <n v="58.36"/>
    <n v="5"/>
    <n v="-24.803000000000001"/>
    <x v="4"/>
    <x v="5"/>
  </r>
  <r>
    <x v="493"/>
    <x v="116"/>
    <m/>
    <n v="41979"/>
    <x v="1"/>
    <s v="MD-17860"/>
    <s v="Michael Dominguez"/>
    <x v="1"/>
    <s v="United States"/>
    <x v="177"/>
    <x v="5"/>
    <x v="3"/>
    <s v="FUR-FU-10002759"/>
    <s v="Furniture"/>
    <x v="3"/>
    <s v="12-1/2 Diameter Round Wall Clock"/>
    <n v="39.96"/>
    <n v="5"/>
    <n v="-23.975999999999999"/>
    <x v="4"/>
    <x v="5"/>
  </r>
  <r>
    <x v="494"/>
    <x v="394"/>
    <m/>
    <n v="41746"/>
    <x v="1"/>
    <s v="KN-16450"/>
    <s v="Kean Nguyen"/>
    <x v="1"/>
    <s v="United States"/>
    <x v="178"/>
    <x v="2"/>
    <x v="1"/>
    <s v="FUR-BO-10001337"/>
    <s v="Furniture"/>
    <x v="0"/>
    <s v="O'Sullivan Living Dimensions 2-Shelf Bookcases"/>
    <n v="308.49900000000002"/>
    <n v="3"/>
    <n v="-18.146999999999998"/>
    <x v="2"/>
    <x v="6"/>
  </r>
  <r>
    <x v="495"/>
    <x v="54"/>
    <m/>
    <n v="43047"/>
    <x v="1"/>
    <s v="DL-13330"/>
    <s v="Denise Leinenbach"/>
    <x v="0"/>
    <s v="United States"/>
    <x v="179"/>
    <x v="41"/>
    <x v="1"/>
    <s v="FUR-FU-10000629"/>
    <s v="Furniture"/>
    <x v="3"/>
    <s v="9-3/4 Diameter Round Wall Clock"/>
    <n v="41.37"/>
    <n v="3"/>
    <n v="17.375399999999999"/>
    <x v="2"/>
    <x v="0"/>
  </r>
  <r>
    <x v="496"/>
    <x v="395"/>
    <m/>
    <n v="42258"/>
    <x v="1"/>
    <s v="CC-12145"/>
    <s v="Charles Crestani"/>
    <x v="0"/>
    <s v="United States"/>
    <x v="116"/>
    <x v="5"/>
    <x v="3"/>
    <s v="FUR-CH-10000553"/>
    <s v="Furniture"/>
    <x v="1"/>
    <s v="Metal Folding Chairs, Beige, 4/Carton"/>
    <n v="47.515999999999998"/>
    <n v="2"/>
    <n v="-2.0364"/>
    <x v="4"/>
    <x v="4"/>
  </r>
  <r>
    <x v="497"/>
    <x v="396"/>
    <m/>
    <n v="42212"/>
    <x v="0"/>
    <s v="MH-18025"/>
    <s v="Michelle Huthwaite"/>
    <x v="0"/>
    <s v="United States"/>
    <x v="15"/>
    <x v="13"/>
    <x v="1"/>
    <s v="FUR-BO-10002213"/>
    <s v="Furniture"/>
    <x v="0"/>
    <s v="Sauder Forest Hills Library, Woodland Oak Finish"/>
    <n v="704.9"/>
    <n v="5"/>
    <n v="56.392000000000003"/>
    <x v="3"/>
    <x v="3"/>
  </r>
  <r>
    <x v="497"/>
    <x v="396"/>
    <m/>
    <n v="42212"/>
    <x v="0"/>
    <s v="MH-18025"/>
    <s v="Michelle Huthwaite"/>
    <x v="0"/>
    <s v="United States"/>
    <x v="15"/>
    <x v="13"/>
    <x v="1"/>
    <s v="FUR-CH-10001854"/>
    <s v="Furniture"/>
    <x v="1"/>
    <s v="Office Star - Professional Matrix Back Chair with 2-to-1 Synchro Tilt and Mesh Fabric Seat"/>
    <n v="561.56799999999998"/>
    <n v="2"/>
    <n v="28.078399999999998"/>
    <x v="3"/>
    <x v="3"/>
  </r>
  <r>
    <x v="498"/>
    <x v="397"/>
    <m/>
    <n v="42326"/>
    <x v="0"/>
    <s v="MP-18175"/>
    <s v="Mike Pelletier"/>
    <x v="2"/>
    <s v="United States"/>
    <x v="79"/>
    <x v="16"/>
    <x v="3"/>
    <s v="FUR-FU-10001185"/>
    <s v="Furniture"/>
    <x v="3"/>
    <s v="Advantus Employee of the Month Certificate Frame, 11 x 13-1/2"/>
    <n v="185.58"/>
    <n v="6"/>
    <n v="76.087800000000001"/>
    <x v="3"/>
    <x v="0"/>
  </r>
  <r>
    <x v="498"/>
    <x v="397"/>
    <m/>
    <n v="42326"/>
    <x v="0"/>
    <s v="MP-18175"/>
    <s v="Mike Pelletier"/>
    <x v="2"/>
    <s v="United States"/>
    <x v="79"/>
    <x v="16"/>
    <x v="3"/>
    <s v="FUR-TA-10001520"/>
    <s v="Furniture"/>
    <x v="2"/>
    <s v="Lesro Sheffield Collection Coffee Table, End Table, Center Table, Corner Table"/>
    <n v="214.11"/>
    <n v="3"/>
    <n v="36.398699999999998"/>
    <x v="3"/>
    <x v="0"/>
  </r>
  <r>
    <x v="498"/>
    <x v="397"/>
    <m/>
    <n v="42326"/>
    <x v="0"/>
    <s v="MP-18175"/>
    <s v="Mike Pelletier"/>
    <x v="2"/>
    <s v="United States"/>
    <x v="79"/>
    <x v="16"/>
    <x v="3"/>
    <s v="FUR-TA-10000688"/>
    <s v="Furniture"/>
    <x v="2"/>
    <s v="Chromcraft Bull-Nose Wood Round Conference Table Top, Wood Base"/>
    <n v="653.54999999999995"/>
    <n v="3"/>
    <n v="111.1035"/>
    <x v="3"/>
    <x v="0"/>
  </r>
  <r>
    <x v="499"/>
    <x v="398"/>
    <m/>
    <n v="42255"/>
    <x v="1"/>
    <s v="DR-12940"/>
    <s v="Daniel Raglin"/>
    <x v="2"/>
    <s v="United States"/>
    <x v="20"/>
    <x v="20"/>
    <x v="2"/>
    <s v="FUR-CH-10003817"/>
    <s v="Furniture"/>
    <x v="1"/>
    <s v="Global Value Steno Chair, Gray"/>
    <n v="60.74"/>
    <n v="1"/>
    <n v="15.185"/>
    <x v="1"/>
    <x v="4"/>
  </r>
  <r>
    <x v="499"/>
    <x v="398"/>
    <m/>
    <n v="42255"/>
    <x v="1"/>
    <s v="DR-12940"/>
    <s v="Daniel Raglin"/>
    <x v="2"/>
    <s v="United States"/>
    <x v="20"/>
    <x v="20"/>
    <x v="2"/>
    <s v="FUR-FU-10000308"/>
    <s v="Furniture"/>
    <x v="3"/>
    <s v="Deflect-o Glass Clear Studded Chair Mats"/>
    <n v="124.36"/>
    <n v="2"/>
    <n v="27.359200000000001"/>
    <x v="1"/>
    <x v="4"/>
  </r>
  <r>
    <x v="500"/>
    <x v="399"/>
    <m/>
    <n v="42498"/>
    <x v="2"/>
    <s v="DM-13015"/>
    <s v="Darrin Martin"/>
    <x v="0"/>
    <s v="United States"/>
    <x v="92"/>
    <x v="2"/>
    <x v="1"/>
    <s v="FUR-TA-10003748"/>
    <s v="Furniture"/>
    <x v="2"/>
    <s v="Bevis 36 x 72 Conference Tables"/>
    <n v="298.77600000000001"/>
    <n v="3"/>
    <n v="7.4694000000000003"/>
    <x v="0"/>
    <x v="7"/>
  </r>
  <r>
    <x v="501"/>
    <x v="400"/>
    <m/>
    <n v="41912"/>
    <x v="1"/>
    <s v="MT-18070"/>
    <s v="Michelle Tran"/>
    <x v="2"/>
    <s v="United States"/>
    <x v="6"/>
    <x v="5"/>
    <x v="3"/>
    <s v="FUR-BO-10003272"/>
    <s v="Furniture"/>
    <x v="0"/>
    <s v="O'Sullivan Living Dimensions 5-Shelf Bookcases"/>
    <n v="300.53280000000001"/>
    <n v="2"/>
    <n v="-97.231200000000001"/>
    <x v="2"/>
    <x v="4"/>
  </r>
  <r>
    <x v="502"/>
    <x v="401"/>
    <m/>
    <n v="41717"/>
    <x v="1"/>
    <s v="CK-12325"/>
    <s v="Christine Kargatis"/>
    <x v="2"/>
    <s v="United States"/>
    <x v="180"/>
    <x v="25"/>
    <x v="0"/>
    <s v="FUR-CH-10003379"/>
    <s v="Furniture"/>
    <x v="1"/>
    <s v="Global Commerce Series High-Back Swivel/Tilt Chairs"/>
    <n v="1139.92"/>
    <n v="4"/>
    <n v="284.98"/>
    <x v="2"/>
    <x v="9"/>
  </r>
  <r>
    <x v="503"/>
    <x v="402"/>
    <m/>
    <n v="42735"/>
    <x v="1"/>
    <s v="BG-11695"/>
    <s v="Brooke Gillingham"/>
    <x v="1"/>
    <s v="United States"/>
    <x v="181"/>
    <x v="8"/>
    <x v="3"/>
    <s v="FUR-CH-10004853"/>
    <s v="Furniture"/>
    <x v="1"/>
    <s v="Global Manager's Adjustable Task Chair, Storm"/>
    <n v="845.48800000000006"/>
    <n v="8"/>
    <n v="-12.0784"/>
    <x v="4"/>
    <x v="5"/>
  </r>
  <r>
    <x v="504"/>
    <x v="403"/>
    <m/>
    <n v="42840"/>
    <x v="1"/>
    <s v="DM-13345"/>
    <s v="Denise Monton"/>
    <x v="1"/>
    <s v="United States"/>
    <x v="153"/>
    <x v="24"/>
    <x v="0"/>
    <s v="FUR-FU-10003832"/>
    <s v="Furniture"/>
    <x v="3"/>
    <s v="Eldon Expressions Punched Metal &amp; Wood Desk Accessories, Black &amp; Cherry"/>
    <n v="56.28"/>
    <n v="6"/>
    <n v="15.7584"/>
    <x v="1"/>
    <x v="6"/>
  </r>
  <r>
    <x v="505"/>
    <x v="331"/>
    <m/>
    <n v="42450"/>
    <x v="0"/>
    <s v="SV-20935"/>
    <s v="Susan Vittorini"/>
    <x v="0"/>
    <s v="United States"/>
    <x v="64"/>
    <x v="7"/>
    <x v="2"/>
    <s v="FUR-FU-10000409"/>
    <s v="Furniture"/>
    <x v="3"/>
    <s v="GE 4 Foot Flourescent Tube, 40 Watt"/>
    <n v="14.98"/>
    <n v="1"/>
    <n v="6.8907999999999996"/>
    <x v="3"/>
    <x v="9"/>
  </r>
  <r>
    <x v="505"/>
    <x v="331"/>
    <m/>
    <n v="42450"/>
    <x v="0"/>
    <s v="SV-20935"/>
    <s v="Susan Vittorini"/>
    <x v="0"/>
    <s v="United States"/>
    <x v="64"/>
    <x v="7"/>
    <x v="2"/>
    <s v="FUR-FU-10000221"/>
    <s v="Furniture"/>
    <x v="3"/>
    <s v="Master Caster Door Stop, Brown"/>
    <n v="20.32"/>
    <n v="4"/>
    <n v="6.9088000000000003"/>
    <x v="3"/>
    <x v="9"/>
  </r>
  <r>
    <x v="506"/>
    <x v="238"/>
    <m/>
    <n v="42611"/>
    <x v="2"/>
    <s v="DJ-13510"/>
    <s v="Don Jones"/>
    <x v="1"/>
    <s v="United States"/>
    <x v="53"/>
    <x v="2"/>
    <x v="1"/>
    <s v="FUR-CH-10001215"/>
    <s v="Furniture"/>
    <x v="1"/>
    <s v="Global Troy Executive Leather Low-Back Tilter"/>
    <n v="1603.136"/>
    <n v="4"/>
    <n v="100.196"/>
    <x v="0"/>
    <x v="10"/>
  </r>
  <r>
    <x v="507"/>
    <x v="404"/>
    <m/>
    <n v="42599"/>
    <x v="0"/>
    <s v="CC-12370"/>
    <s v="Christopher Conant"/>
    <x v="0"/>
    <s v="United States"/>
    <x v="160"/>
    <x v="30"/>
    <x v="0"/>
    <s v="FUR-CH-10000988"/>
    <s v="Furniture"/>
    <x v="1"/>
    <s v="Hon Olson Stacker Stools"/>
    <n v="225.29599999999999"/>
    <n v="2"/>
    <n v="22.529599999999999"/>
    <x v="3"/>
    <x v="10"/>
  </r>
  <r>
    <x v="508"/>
    <x v="405"/>
    <m/>
    <n v="42878"/>
    <x v="1"/>
    <s v="SC-20380"/>
    <s v="Shahid Collister"/>
    <x v="0"/>
    <s v="United States"/>
    <x v="182"/>
    <x v="24"/>
    <x v="0"/>
    <s v="FUR-BO-10004695"/>
    <s v="Furniture"/>
    <x v="0"/>
    <s v="O'Sullivan 2-Door Barrister Bookcase in Odessa Pine"/>
    <n v="1628.82"/>
    <n v="9"/>
    <n v="374.62860000000001"/>
    <x v="4"/>
    <x v="7"/>
  </r>
  <r>
    <x v="509"/>
    <x v="235"/>
    <m/>
    <n v="42905"/>
    <x v="1"/>
    <s v="LC-16885"/>
    <s v="Lena Creighton"/>
    <x v="0"/>
    <s v="United States"/>
    <x v="66"/>
    <x v="1"/>
    <x v="0"/>
    <s v="FUR-FU-10001546"/>
    <s v="Furniture"/>
    <x v="3"/>
    <s v="Dana Swing-Arm Lamps"/>
    <n v="17.088000000000001"/>
    <n v="2"/>
    <n v="1.0680000000000001"/>
    <x v="1"/>
    <x v="2"/>
  </r>
  <r>
    <x v="510"/>
    <x v="406"/>
    <m/>
    <n v="41724"/>
    <x v="1"/>
    <s v="BF-11275"/>
    <s v="Beth Fritzler"/>
    <x v="1"/>
    <s v="United States"/>
    <x v="104"/>
    <x v="22"/>
    <x v="1"/>
    <s v="FUR-CH-10001482"/>
    <s v="Furniture"/>
    <x v="1"/>
    <s v="Office Star - Mesh Screen back chair with Vinyl seat"/>
    <n v="314.35199999999998"/>
    <n v="3"/>
    <n v="-35.364600000000003"/>
    <x v="4"/>
    <x v="9"/>
  </r>
  <r>
    <x v="511"/>
    <x v="407"/>
    <m/>
    <n v="42392"/>
    <x v="0"/>
    <s v="TD-20995"/>
    <s v="Tamara Dahlen"/>
    <x v="0"/>
    <s v="United States"/>
    <x v="53"/>
    <x v="2"/>
    <x v="1"/>
    <s v="FUR-CH-10004289"/>
    <s v="Furniture"/>
    <x v="1"/>
    <s v="Global Super Steno Chair"/>
    <n v="153.56800000000001"/>
    <n v="2"/>
    <n v="-5.7587999999999999"/>
    <x v="3"/>
    <x v="8"/>
  </r>
  <r>
    <x v="511"/>
    <x v="407"/>
    <m/>
    <n v="42392"/>
    <x v="0"/>
    <s v="TD-20995"/>
    <s v="Tamara Dahlen"/>
    <x v="0"/>
    <s v="United States"/>
    <x v="53"/>
    <x v="2"/>
    <x v="1"/>
    <s v="FUR-CH-10000785"/>
    <s v="Furniture"/>
    <x v="1"/>
    <s v="Global Ergonomic Managers Chair"/>
    <n v="1013.4880000000001"/>
    <n v="7"/>
    <n v="76.011600000000001"/>
    <x v="3"/>
    <x v="8"/>
  </r>
  <r>
    <x v="512"/>
    <x v="367"/>
    <m/>
    <n v="42690"/>
    <x v="0"/>
    <s v="BK-11260"/>
    <s v="Berenike Kampe"/>
    <x v="0"/>
    <s v="United States"/>
    <x v="28"/>
    <x v="2"/>
    <x v="1"/>
    <s v="FUR-FU-10001852"/>
    <s v="Furniture"/>
    <x v="3"/>
    <s v="Eldon Regeneration Recycled Desk Accessories, Smoke"/>
    <n v="6.96"/>
    <n v="4"/>
    <n v="2.2271999999999998"/>
    <x v="2"/>
    <x v="0"/>
  </r>
  <r>
    <x v="513"/>
    <x v="408"/>
    <m/>
    <n v="42665"/>
    <x v="1"/>
    <s v="EP-13915"/>
    <s v="Emily Phan"/>
    <x v="0"/>
    <s v="United States"/>
    <x v="183"/>
    <x v="22"/>
    <x v="1"/>
    <s v="FUR-CH-10003396"/>
    <s v="Furniture"/>
    <x v="1"/>
    <s v="Global Deluxe Steno Chair"/>
    <n v="307.92"/>
    <n v="5"/>
    <n v="-34.640999999999998"/>
    <x v="4"/>
    <x v="1"/>
  </r>
  <r>
    <x v="514"/>
    <x v="149"/>
    <m/>
    <n v="41760"/>
    <x v="0"/>
    <s v="HG-14845"/>
    <s v="Harry Greene"/>
    <x v="0"/>
    <s v="United States"/>
    <x v="184"/>
    <x v="35"/>
    <x v="0"/>
    <s v="FUR-CH-10002304"/>
    <s v="Furniture"/>
    <x v="1"/>
    <s v="Global Stack Chair without Arms, Black"/>
    <n v="51.96"/>
    <n v="2"/>
    <n v="12.99"/>
    <x v="3"/>
    <x v="6"/>
  </r>
  <r>
    <x v="515"/>
    <x v="409"/>
    <m/>
    <n v="43037"/>
    <x v="1"/>
    <s v="JC-16105"/>
    <s v="Julie Creighton"/>
    <x v="1"/>
    <s v="United States"/>
    <x v="77"/>
    <x v="7"/>
    <x v="2"/>
    <s v="FUR-FU-10000771"/>
    <s v="Furniture"/>
    <x v="3"/>
    <s v="Eldon 200 Class Desk Accessories, Smoke"/>
    <n v="69.08"/>
    <n v="11"/>
    <n v="29.0136"/>
    <x v="6"/>
    <x v="1"/>
  </r>
  <r>
    <x v="516"/>
    <x v="12"/>
    <m/>
    <n v="42124"/>
    <x v="1"/>
    <s v="PW-19240"/>
    <s v="Pierre Wener"/>
    <x v="0"/>
    <s v="United States"/>
    <x v="6"/>
    <x v="5"/>
    <x v="3"/>
    <s v="FUR-CH-10004086"/>
    <s v="Furniture"/>
    <x v="1"/>
    <s v="Hon 4070 Series Pagoda Armless Upholstered Stacking Chairs"/>
    <n v="408.42200000000003"/>
    <n v="2"/>
    <n v="-5.8346"/>
    <x v="4"/>
    <x v="6"/>
  </r>
  <r>
    <x v="517"/>
    <x v="410"/>
    <m/>
    <n v="42552"/>
    <x v="1"/>
    <s v="KH-16330"/>
    <s v="Katharine Harms"/>
    <x v="1"/>
    <s v="United States"/>
    <x v="185"/>
    <x v="8"/>
    <x v="3"/>
    <s v="FUR-CH-10003981"/>
    <s v="Furniture"/>
    <x v="1"/>
    <s v="Global Commerce Series Low-Back Swivel/Tilt Chairs"/>
    <n v="539.65800000000002"/>
    <n v="3"/>
    <n v="-7.7093999999999996"/>
    <x v="4"/>
    <x v="2"/>
  </r>
  <r>
    <x v="518"/>
    <x v="411"/>
    <m/>
    <n v="42697"/>
    <x v="3"/>
    <s v="LS-17200"/>
    <s v="Luke Schmidt"/>
    <x v="1"/>
    <s v="United States"/>
    <x v="3"/>
    <x v="3"/>
    <x v="2"/>
    <s v="FUR-FU-10002088"/>
    <s v="Furniture"/>
    <x v="3"/>
    <s v="Nu-Dell Float Frame 11 x 14 1/2"/>
    <n v="14.368"/>
    <n v="2"/>
    <n v="3.9512"/>
    <x v="7"/>
    <x v="0"/>
  </r>
  <r>
    <x v="518"/>
    <x v="411"/>
    <m/>
    <n v="42697"/>
    <x v="3"/>
    <s v="LS-17200"/>
    <s v="Luke Schmidt"/>
    <x v="1"/>
    <s v="United States"/>
    <x v="3"/>
    <x v="3"/>
    <x v="2"/>
    <s v="FUR-FU-10003976"/>
    <s v="Furniture"/>
    <x v="3"/>
    <s v="DAX Executive Solid Wood Document Frame, Desktop or Hang, Mahogany, 5 x 7"/>
    <n v="70.447999999999993"/>
    <n v="7"/>
    <n v="12.3284"/>
    <x v="7"/>
    <x v="0"/>
  </r>
  <r>
    <x v="519"/>
    <x v="412"/>
    <m/>
    <n v="41887"/>
    <x v="2"/>
    <s v="JM-16195"/>
    <s v="Justin MacKendrick"/>
    <x v="0"/>
    <s v="United States"/>
    <x v="115"/>
    <x v="7"/>
    <x v="2"/>
    <s v="FUR-FU-10002116"/>
    <s v="Furniture"/>
    <x v="3"/>
    <s v="Tenex Carpeted, Granite-Look or Clear Contemporary Contour Shape Chair Mats"/>
    <n v="70.709999999999994"/>
    <n v="1"/>
    <n v="4.9497"/>
    <x v="0"/>
    <x v="4"/>
  </r>
  <r>
    <x v="520"/>
    <x v="413"/>
    <m/>
    <n v="42930"/>
    <x v="0"/>
    <s v="BP-11155"/>
    <s v="Becky Pak"/>
    <x v="0"/>
    <s v="United States"/>
    <x v="29"/>
    <x v="24"/>
    <x v="0"/>
    <s v="FUR-FU-10000771"/>
    <s v="Furniture"/>
    <x v="3"/>
    <s v="Eldon 200 Class Desk Accessories, Smoke"/>
    <n v="18.84"/>
    <n v="3"/>
    <n v="7.9127999999999998"/>
    <x v="4"/>
    <x v="3"/>
  </r>
  <r>
    <x v="521"/>
    <x v="414"/>
    <m/>
    <n v="43063"/>
    <x v="1"/>
    <s v="ME-17320"/>
    <s v="Maria Etezadi"/>
    <x v="2"/>
    <s v="United States"/>
    <x v="186"/>
    <x v="17"/>
    <x v="3"/>
    <s v="FUR-FU-10002597"/>
    <s v="Furniture"/>
    <x v="3"/>
    <s v="C-Line Magnetic Cubicle Keepers, Clear Polypropylene"/>
    <n v="19.760000000000002"/>
    <n v="4"/>
    <n v="8.2992000000000008"/>
    <x v="6"/>
    <x v="0"/>
  </r>
  <r>
    <x v="522"/>
    <x v="415"/>
    <m/>
    <n v="42224"/>
    <x v="3"/>
    <s v="TT-21220"/>
    <s v="Thomas Thornton"/>
    <x v="0"/>
    <s v="United States"/>
    <x v="28"/>
    <x v="2"/>
    <x v="1"/>
    <s v="FUR-CH-10000785"/>
    <s v="Furniture"/>
    <x v="1"/>
    <s v="Global Ergonomic Managers Chair"/>
    <n v="144.78399999999999"/>
    <n v="1"/>
    <n v="10.8588"/>
    <x v="7"/>
    <x v="10"/>
  </r>
  <r>
    <x v="523"/>
    <x v="416"/>
    <m/>
    <n v="42825"/>
    <x v="1"/>
    <s v="JD-16150"/>
    <s v="Justin Deggeller"/>
    <x v="1"/>
    <s v="United States"/>
    <x v="79"/>
    <x v="16"/>
    <x v="3"/>
    <s v="FUR-CH-10000422"/>
    <s v="Furniture"/>
    <x v="1"/>
    <s v="Global Highback Leather Tilter in Burgundy"/>
    <n v="90.99"/>
    <n v="1"/>
    <n v="14.558400000000001"/>
    <x v="6"/>
    <x v="9"/>
  </r>
  <r>
    <x v="523"/>
    <x v="416"/>
    <m/>
    <n v="42825"/>
    <x v="1"/>
    <s v="JD-16150"/>
    <s v="Justin Deggeller"/>
    <x v="1"/>
    <s v="United States"/>
    <x v="79"/>
    <x v="16"/>
    <x v="3"/>
    <s v="FUR-CH-10004675"/>
    <s v="Furniture"/>
    <x v="1"/>
    <s v="Lifetime Advantage Folding Chairs, 4/Carton"/>
    <n v="1526.56"/>
    <n v="7"/>
    <n v="427.43680000000001"/>
    <x v="6"/>
    <x v="9"/>
  </r>
  <r>
    <x v="523"/>
    <x v="416"/>
    <m/>
    <n v="42825"/>
    <x v="1"/>
    <s v="JD-16150"/>
    <s v="Justin Deggeller"/>
    <x v="1"/>
    <s v="United States"/>
    <x v="79"/>
    <x v="16"/>
    <x v="3"/>
    <s v="FUR-CH-10002880"/>
    <s v="Furniture"/>
    <x v="1"/>
    <s v="Global High-Back Leather Tilter, Burgundy"/>
    <n v="368.97"/>
    <n v="3"/>
    <n v="40.5867"/>
    <x v="6"/>
    <x v="9"/>
  </r>
  <r>
    <x v="524"/>
    <x v="49"/>
    <m/>
    <n v="43063"/>
    <x v="1"/>
    <s v="MC-18100"/>
    <s v="Mick Crebagga"/>
    <x v="0"/>
    <s v="United States"/>
    <x v="2"/>
    <x v="2"/>
    <x v="1"/>
    <s v="FUR-FU-10002685"/>
    <s v="Furniture"/>
    <x v="3"/>
    <s v="Executive Impressions 13-1/2&quot; Indoor/Outdoor Wall Clock"/>
    <n v="18.7"/>
    <n v="1"/>
    <n v="7.1059999999999999"/>
    <x v="2"/>
    <x v="0"/>
  </r>
  <r>
    <x v="525"/>
    <x v="114"/>
    <m/>
    <n v="42679"/>
    <x v="2"/>
    <s v="LH-17020"/>
    <s v="Lisa Hazard"/>
    <x v="0"/>
    <s v="United States"/>
    <x v="28"/>
    <x v="2"/>
    <x v="1"/>
    <s v="FUR-FU-10004020"/>
    <s v="Furniture"/>
    <x v="3"/>
    <s v="Advantus Panel Wall Acrylic Frame"/>
    <n v="38.29"/>
    <n v="7"/>
    <n v="16.464700000000001"/>
    <x v="5"/>
    <x v="0"/>
  </r>
  <r>
    <x v="526"/>
    <x v="417"/>
    <m/>
    <n v="43087"/>
    <x v="1"/>
    <s v="MP-18175"/>
    <s v="Mike Pelletier"/>
    <x v="2"/>
    <s v="United States"/>
    <x v="53"/>
    <x v="2"/>
    <x v="1"/>
    <s v="FUR-FU-10004963"/>
    <s v="Furniture"/>
    <x v="3"/>
    <s v="Eldon 400 Class Desk Accessories, Black Carbon"/>
    <n v="26.25"/>
    <n v="3"/>
    <n v="11.025"/>
    <x v="4"/>
    <x v="5"/>
  </r>
  <r>
    <x v="527"/>
    <x v="418"/>
    <m/>
    <n v="43051"/>
    <x v="3"/>
    <s v="EM-14140"/>
    <s v="Eugene Moren"/>
    <x v="2"/>
    <s v="United States"/>
    <x v="110"/>
    <x v="22"/>
    <x v="1"/>
    <s v="FUR-CH-10004875"/>
    <s v="Furniture"/>
    <x v="1"/>
    <s v="Harbour Creations 67200 Series Stacking Chairs"/>
    <n v="113.88800000000001"/>
    <n v="2"/>
    <n v="9.9651999999999994"/>
    <x v="7"/>
    <x v="0"/>
  </r>
  <r>
    <x v="527"/>
    <x v="418"/>
    <m/>
    <n v="43051"/>
    <x v="3"/>
    <s v="EM-14140"/>
    <s v="Eugene Moren"/>
    <x v="2"/>
    <s v="United States"/>
    <x v="110"/>
    <x v="22"/>
    <x v="1"/>
    <s v="FUR-FU-10000305"/>
    <s v="Furniture"/>
    <x v="3"/>
    <s v="Tenex V2T-RE Standard Weight Series Chair Mat, 45&quot; x 53&quot;, Lip 25&quot; x 12&quot;"/>
    <n v="113.568"/>
    <n v="2"/>
    <n v="-5.6783999999999999"/>
    <x v="7"/>
    <x v="0"/>
  </r>
  <r>
    <x v="528"/>
    <x v="419"/>
    <m/>
    <n v="42920"/>
    <x v="1"/>
    <s v="MA-17995"/>
    <s v="Michelle Arnett"/>
    <x v="2"/>
    <s v="United States"/>
    <x v="115"/>
    <x v="7"/>
    <x v="2"/>
    <s v="FUR-CH-10002647"/>
    <s v="Furniture"/>
    <x v="1"/>
    <s v="Situations Contoured Folding Chairs, 4/Set"/>
    <n v="191.64599999999999"/>
    <n v="3"/>
    <n v="31.940999999999999"/>
    <x v="1"/>
    <x v="2"/>
  </r>
  <r>
    <x v="529"/>
    <x v="420"/>
    <m/>
    <n v="43090"/>
    <x v="0"/>
    <s v="AY-10555"/>
    <s v="Andy Yotov"/>
    <x v="1"/>
    <s v="United States"/>
    <x v="64"/>
    <x v="2"/>
    <x v="1"/>
    <s v="FUR-CH-10002774"/>
    <s v="Furniture"/>
    <x v="1"/>
    <s v="Global Deluxe Stacking Chair, Gray"/>
    <n v="81.567999999999998"/>
    <n v="2"/>
    <n v="9.1763999999999992"/>
    <x v="2"/>
    <x v="5"/>
  </r>
  <r>
    <x v="529"/>
    <x v="420"/>
    <m/>
    <n v="43090"/>
    <x v="0"/>
    <s v="AY-10555"/>
    <s v="Andy Yotov"/>
    <x v="1"/>
    <s v="United States"/>
    <x v="64"/>
    <x v="2"/>
    <x v="1"/>
    <s v="FUR-CH-10003817"/>
    <s v="Furniture"/>
    <x v="1"/>
    <s v="Global Value Steno Chair, Gray"/>
    <n v="97.183999999999997"/>
    <n v="2"/>
    <n v="6.0739999999999998"/>
    <x v="2"/>
    <x v="5"/>
  </r>
  <r>
    <x v="529"/>
    <x v="420"/>
    <m/>
    <n v="43090"/>
    <x v="0"/>
    <s v="AY-10555"/>
    <s v="Andy Yotov"/>
    <x v="1"/>
    <s v="United States"/>
    <x v="64"/>
    <x v="2"/>
    <x v="1"/>
    <s v="FUR-FU-10002445"/>
    <s v="Furniture"/>
    <x v="3"/>
    <s v="DAX Two-Tone Rosewood/Black Document Frame, Desktop, 5 x 7"/>
    <n v="18.96"/>
    <n v="2"/>
    <n v="7.5839999999999996"/>
    <x v="2"/>
    <x v="5"/>
  </r>
  <r>
    <x v="530"/>
    <x v="421"/>
    <m/>
    <n v="42004"/>
    <x v="1"/>
    <s v="Co-12640"/>
    <s v="Corey-Lock"/>
    <x v="0"/>
    <s v="United States"/>
    <x v="187"/>
    <x v="8"/>
    <x v="3"/>
    <s v="FUR-FU-10001473"/>
    <s v="Furniture"/>
    <x v="3"/>
    <s v="DAX Wood Document Frame"/>
    <n v="32.951999999999998"/>
    <n v="6"/>
    <n v="-19.7712"/>
    <x v="4"/>
    <x v="5"/>
  </r>
  <r>
    <x v="531"/>
    <x v="200"/>
    <m/>
    <n v="43048"/>
    <x v="0"/>
    <s v="JF-15565"/>
    <s v="Jill Fjeld"/>
    <x v="0"/>
    <s v="United States"/>
    <x v="160"/>
    <x v="30"/>
    <x v="0"/>
    <s v="FUR-FU-10004671"/>
    <s v="Furniture"/>
    <x v="3"/>
    <s v="Executive Impressions 12&quot; Wall Clock"/>
    <n v="28.271999999999998"/>
    <n v="2"/>
    <n v="6.3612000000000002"/>
    <x v="0"/>
    <x v="0"/>
  </r>
  <r>
    <x v="532"/>
    <x v="422"/>
    <m/>
    <n v="42136"/>
    <x v="1"/>
    <s v="AG-10675"/>
    <s v="Anna Gayman"/>
    <x v="0"/>
    <s v="United States"/>
    <x v="188"/>
    <x v="5"/>
    <x v="3"/>
    <s v="FUR-TA-10001095"/>
    <s v="Furniture"/>
    <x v="2"/>
    <s v="Chromcraft Round Conference Tables"/>
    <n v="244.006"/>
    <n v="2"/>
    <n v="-31.372199999999999"/>
    <x v="2"/>
    <x v="7"/>
  </r>
  <r>
    <x v="533"/>
    <x v="423"/>
    <m/>
    <n v="43073"/>
    <x v="3"/>
    <s v="DV-13045"/>
    <s v="Darrin Van Huff"/>
    <x v="1"/>
    <s v="United States"/>
    <x v="3"/>
    <x v="3"/>
    <x v="2"/>
    <s v="FUR-CH-10001797"/>
    <s v="Furniture"/>
    <x v="1"/>
    <s v="Safco Chair Connectors, 6/Carton"/>
    <n v="188.55199999999999"/>
    <n v="7"/>
    <n v="-2.6936"/>
    <x v="7"/>
    <x v="5"/>
  </r>
  <r>
    <x v="534"/>
    <x v="424"/>
    <m/>
    <n v="41655"/>
    <x v="0"/>
    <s v="ND-18370"/>
    <s v="Natalie DeCherney"/>
    <x v="0"/>
    <s v="United States"/>
    <x v="189"/>
    <x v="10"/>
    <x v="0"/>
    <s v="FUR-CH-10000422"/>
    <s v="Furniture"/>
    <x v="1"/>
    <s v="Global Highback Leather Tilter in Burgundy"/>
    <n v="545.94000000000005"/>
    <n v="6"/>
    <n v="87.350399999999993"/>
    <x v="0"/>
    <x v="8"/>
  </r>
  <r>
    <x v="535"/>
    <x v="425"/>
    <m/>
    <n v="42172"/>
    <x v="1"/>
    <s v="GB-14575"/>
    <s v="Giulietta Baptist"/>
    <x v="0"/>
    <s v="United States"/>
    <x v="3"/>
    <x v="3"/>
    <x v="2"/>
    <s v="FUR-FU-10003623"/>
    <s v="Furniture"/>
    <x v="3"/>
    <s v="DataProducts Ampli Magnifier Task Lamp, Black,"/>
    <n v="43.295999999999999"/>
    <n v="2"/>
    <n v="4.3296000000000001"/>
    <x v="2"/>
    <x v="2"/>
  </r>
  <r>
    <x v="536"/>
    <x v="56"/>
    <m/>
    <n v="41838"/>
    <x v="1"/>
    <s v="CL-12565"/>
    <s v="Clay Ludtke"/>
    <x v="0"/>
    <s v="United States"/>
    <x v="15"/>
    <x v="13"/>
    <x v="1"/>
    <s v="FUR-CH-10001797"/>
    <s v="Furniture"/>
    <x v="1"/>
    <s v="Safco Chair Connectors, 6/Carton"/>
    <n v="123.136"/>
    <n v="4"/>
    <n v="13.8528"/>
    <x v="6"/>
    <x v="3"/>
  </r>
  <r>
    <x v="537"/>
    <x v="387"/>
    <m/>
    <n v="41984"/>
    <x v="0"/>
    <s v="RC-19960"/>
    <s v="Ryan Crowe"/>
    <x v="0"/>
    <s v="United States"/>
    <x v="76"/>
    <x v="36"/>
    <x v="1"/>
    <s v="FUR-TA-10003238"/>
    <s v="Furniture"/>
    <x v="2"/>
    <s v="Chromcraft Bull-Nose Wood 48&quot; x 96&quot; Rectangular Conference Tables"/>
    <n v="275.49"/>
    <n v="1"/>
    <n v="-170.8038"/>
    <x v="2"/>
    <x v="5"/>
  </r>
  <r>
    <x v="538"/>
    <x v="426"/>
    <m/>
    <n v="42520"/>
    <x v="1"/>
    <s v="JB-16045"/>
    <s v="Julia Barnett"/>
    <x v="2"/>
    <s v="United States"/>
    <x v="29"/>
    <x v="24"/>
    <x v="0"/>
    <s v="FUR-FU-10000755"/>
    <s v="Furniture"/>
    <x v="3"/>
    <s v="Eldon Expressions Mahogany Wood Desk Collection"/>
    <n v="24.96"/>
    <n v="4"/>
    <n v="6.24"/>
    <x v="2"/>
    <x v="7"/>
  </r>
  <r>
    <x v="539"/>
    <x v="112"/>
    <m/>
    <n v="41815"/>
    <x v="1"/>
    <s v="NW-18400"/>
    <s v="Natalie Webber"/>
    <x v="0"/>
    <s v="United States"/>
    <x v="3"/>
    <x v="3"/>
    <x v="2"/>
    <s v="FUR-FU-10000550"/>
    <s v="Furniture"/>
    <x v="3"/>
    <s v="Stacking Trays by OIC"/>
    <n v="3.984"/>
    <n v="1"/>
    <n v="0.64739999999999998"/>
    <x v="4"/>
    <x v="2"/>
  </r>
  <r>
    <x v="540"/>
    <x v="28"/>
    <m/>
    <n v="42710"/>
    <x v="2"/>
    <s v="JG-15160"/>
    <s v="James Galang"/>
    <x v="0"/>
    <s v="United States"/>
    <x v="190"/>
    <x v="0"/>
    <x v="0"/>
    <s v="FUR-FU-10004748"/>
    <s v="Furniture"/>
    <x v="3"/>
    <s v="Howard Miller 16&quot; Diameter Gallery Wall Clock"/>
    <n v="191.82"/>
    <n v="3"/>
    <n v="74.809799999999996"/>
    <x v="5"/>
    <x v="5"/>
  </r>
  <r>
    <x v="541"/>
    <x v="5"/>
    <m/>
    <n v="42268"/>
    <x v="1"/>
    <s v="LS-16975"/>
    <s v="Lindsay Shagiari"/>
    <x v="2"/>
    <s v="United States"/>
    <x v="13"/>
    <x v="7"/>
    <x v="2"/>
    <s v="FUR-TA-10004154"/>
    <s v="Furniture"/>
    <x v="2"/>
    <s v="Riverside Furniture Oval Coffee Table, Oval End Table, End Table with Drawer"/>
    <n v="344.22"/>
    <n v="2"/>
    <n v="-103.26600000000001"/>
    <x v="4"/>
    <x v="4"/>
  </r>
  <r>
    <x v="542"/>
    <x v="427"/>
    <m/>
    <n v="42612"/>
    <x v="1"/>
    <s v="MH-18115"/>
    <s v="Mick Hernandez"/>
    <x v="2"/>
    <s v="United States"/>
    <x v="191"/>
    <x v="5"/>
    <x v="3"/>
    <s v="FUR-FU-10004973"/>
    <s v="Furniture"/>
    <x v="3"/>
    <s v="Flat Face Poster Frame"/>
    <n v="22.608000000000001"/>
    <n v="3"/>
    <n v="-10.1736"/>
    <x v="1"/>
    <x v="10"/>
  </r>
  <r>
    <x v="543"/>
    <x v="428"/>
    <m/>
    <n v="42322"/>
    <x v="1"/>
    <s v="SC-20095"/>
    <s v="Sanjit Chand"/>
    <x v="0"/>
    <s v="United States"/>
    <x v="192"/>
    <x v="4"/>
    <x v="1"/>
    <s v="FUR-FU-10004090"/>
    <s v="Furniture"/>
    <x v="3"/>
    <s v="Executive Impressions 14&quot; Contract Wall Clock"/>
    <n v="66.69"/>
    <n v="3"/>
    <n v="22.0077"/>
    <x v="6"/>
    <x v="0"/>
  </r>
  <r>
    <x v="544"/>
    <x v="429"/>
    <m/>
    <n v="43062"/>
    <x v="1"/>
    <s v="JB-16000"/>
    <s v="Joy Bell-"/>
    <x v="0"/>
    <s v="United States"/>
    <x v="193"/>
    <x v="5"/>
    <x v="3"/>
    <s v="FUR-BO-10002202"/>
    <s v="Furniture"/>
    <x v="0"/>
    <s v="Atlantic Metals Mobile 2-Shelf Bookcases, Custom Colors"/>
    <n v="327.7328"/>
    <n v="2"/>
    <n v="-14.4588"/>
    <x v="6"/>
    <x v="0"/>
  </r>
  <r>
    <x v="545"/>
    <x v="135"/>
    <m/>
    <n v="42851"/>
    <x v="1"/>
    <s v="MO-17800"/>
    <s v="Meg O'Connel"/>
    <x v="2"/>
    <s v="United States"/>
    <x v="3"/>
    <x v="3"/>
    <x v="2"/>
    <s v="FUR-FU-10001488"/>
    <s v="Furniture"/>
    <x v="3"/>
    <s v="Tenex 46&quot; x 60&quot; Computer Anti-Static Chairmat, Rectangular Shaped"/>
    <n v="254.352"/>
    <n v="3"/>
    <n v="0"/>
    <x v="4"/>
    <x v="6"/>
  </r>
  <r>
    <x v="546"/>
    <x v="430"/>
    <m/>
    <n v="43090"/>
    <x v="1"/>
    <s v="AI-10855"/>
    <s v="Arianne Irving"/>
    <x v="0"/>
    <s v="United States"/>
    <x v="180"/>
    <x v="25"/>
    <x v="0"/>
    <s v="FUR-CH-10003846"/>
    <s v="Furniture"/>
    <x v="1"/>
    <s v="Hon Valutask Swivel Chairs"/>
    <n v="504.9"/>
    <n v="5"/>
    <n v="80.784000000000006"/>
    <x v="4"/>
    <x v="5"/>
  </r>
  <r>
    <x v="547"/>
    <x v="231"/>
    <m/>
    <n v="42274"/>
    <x v="1"/>
    <s v="DM-12955"/>
    <s v="Dario Medina"/>
    <x v="1"/>
    <s v="United States"/>
    <x v="194"/>
    <x v="17"/>
    <x v="3"/>
    <s v="FUR-BO-10000468"/>
    <s v="Furniture"/>
    <x v="0"/>
    <s v="O'Sullivan 2-Shelf Heavy-Duty Bookcases"/>
    <n v="194.32"/>
    <n v="4"/>
    <n v="31.091200000000001"/>
    <x v="6"/>
    <x v="4"/>
  </r>
  <r>
    <x v="548"/>
    <x v="431"/>
    <m/>
    <n v="42700"/>
    <x v="1"/>
    <s v="JH-16180"/>
    <s v="Justin Hirsh"/>
    <x v="0"/>
    <s v="United States"/>
    <x v="195"/>
    <x v="36"/>
    <x v="1"/>
    <s v="FUR-CH-10003833"/>
    <s v="Furniture"/>
    <x v="1"/>
    <s v="Novimex Fabric Task Chair"/>
    <n v="195.136"/>
    <n v="4"/>
    <n v="-12.196"/>
    <x v="2"/>
    <x v="0"/>
  </r>
  <r>
    <x v="549"/>
    <x v="432"/>
    <m/>
    <n v="42171"/>
    <x v="1"/>
    <s v="BD-11605"/>
    <s v="Brian Dahlen"/>
    <x v="0"/>
    <s v="United States"/>
    <x v="91"/>
    <x v="35"/>
    <x v="0"/>
    <s v="FUR-FU-10004666"/>
    <s v="Furniture"/>
    <x v="3"/>
    <s v="DAX Clear Channel Poster Frame"/>
    <n v="29.16"/>
    <n v="2"/>
    <n v="10.789199999999999"/>
    <x v="2"/>
    <x v="2"/>
  </r>
  <r>
    <x v="550"/>
    <x v="433"/>
    <m/>
    <n v="43016"/>
    <x v="1"/>
    <s v="AS-10045"/>
    <s v="Aaron Smayling"/>
    <x v="1"/>
    <s v="United States"/>
    <x v="102"/>
    <x v="2"/>
    <x v="1"/>
    <s v="FUR-TA-10001520"/>
    <s v="Furniture"/>
    <x v="2"/>
    <s v="Lesro Sheffield Collection Coffee Table, End Table, Center Table, Corner Table"/>
    <n v="171.28800000000001"/>
    <n v="3"/>
    <n v="-6.4233000000000002"/>
    <x v="2"/>
    <x v="1"/>
  </r>
  <r>
    <x v="551"/>
    <x v="399"/>
    <m/>
    <n v="42499"/>
    <x v="1"/>
    <s v="ZD-21925"/>
    <s v="Zuschuss Donatelli"/>
    <x v="0"/>
    <s v="United States"/>
    <x v="196"/>
    <x v="9"/>
    <x v="0"/>
    <s v="FUR-FU-10004270"/>
    <s v="Furniture"/>
    <x v="3"/>
    <s v="Eldon Image Series Desk Accessories, Burgundy"/>
    <n v="16.72"/>
    <n v="5"/>
    <n v="3.3439999999999999"/>
    <x v="4"/>
    <x v="7"/>
  </r>
  <r>
    <x v="552"/>
    <x v="91"/>
    <m/>
    <n v="42990"/>
    <x v="3"/>
    <s v="KF-16285"/>
    <s v="Karen Ferguson"/>
    <x v="2"/>
    <s v="United States"/>
    <x v="62"/>
    <x v="2"/>
    <x v="1"/>
    <s v="FUR-CH-10002320"/>
    <s v="Furniture"/>
    <x v="1"/>
    <s v="Hon Pagoda Stacking Chairs"/>
    <n v="2054.2719999999999"/>
    <n v="8"/>
    <n v="256.78399999999999"/>
    <x v="5"/>
    <x v="4"/>
  </r>
  <r>
    <x v="553"/>
    <x v="214"/>
    <m/>
    <n v="42829"/>
    <x v="2"/>
    <s v="TC-21475"/>
    <s v="Tony Chapman"/>
    <x v="2"/>
    <s v="United States"/>
    <x v="29"/>
    <x v="24"/>
    <x v="0"/>
    <s v="FUR-TA-10004534"/>
    <s v="Furniture"/>
    <x v="2"/>
    <s v="Bevis 44 x 96 Conference Tables"/>
    <n v="411.8"/>
    <n v="2"/>
    <n v="70.006"/>
    <x v="3"/>
    <x v="6"/>
  </r>
  <r>
    <x v="554"/>
    <x v="434"/>
    <m/>
    <n v="43019"/>
    <x v="1"/>
    <s v="NZ-18565"/>
    <s v="Nick Zandusky"/>
    <x v="2"/>
    <s v="United States"/>
    <x v="197"/>
    <x v="42"/>
    <x v="1"/>
    <s v="FUR-FU-10003247"/>
    <s v="Furniture"/>
    <x v="3"/>
    <s v="36X48 HARDFLOOR CHAIRMAT"/>
    <n v="41.96"/>
    <n v="2"/>
    <n v="2.9371999999999998"/>
    <x v="2"/>
    <x v="1"/>
  </r>
  <r>
    <x v="555"/>
    <x v="66"/>
    <m/>
    <n v="43032"/>
    <x v="0"/>
    <s v="HH-15010"/>
    <s v="Hilary Holden"/>
    <x v="1"/>
    <s v="United States"/>
    <x v="28"/>
    <x v="2"/>
    <x v="1"/>
    <s v="FUR-FU-10003878"/>
    <s v="Furniture"/>
    <x v="3"/>
    <s v="Linden 10&quot; Round Wall Clock, Black"/>
    <n v="30.56"/>
    <n v="2"/>
    <n v="10.3904"/>
    <x v="2"/>
    <x v="1"/>
  </r>
  <r>
    <x v="555"/>
    <x v="66"/>
    <m/>
    <n v="43032"/>
    <x v="0"/>
    <s v="HH-15010"/>
    <s v="Hilary Holden"/>
    <x v="1"/>
    <s v="United States"/>
    <x v="28"/>
    <x v="2"/>
    <x v="1"/>
    <s v="FUR-TA-10003837"/>
    <s v="Furniture"/>
    <x v="2"/>
    <s v="Anderson Hickey Conga Table Tops &amp; Accessories"/>
    <n v="24.367999999999999"/>
    <n v="2"/>
    <n v="-3.3506"/>
    <x v="2"/>
    <x v="1"/>
  </r>
  <r>
    <x v="556"/>
    <x v="317"/>
    <m/>
    <n v="41965"/>
    <x v="1"/>
    <s v="YC-21895"/>
    <s v="Yoseph Carroll"/>
    <x v="1"/>
    <s v="United States"/>
    <x v="19"/>
    <x v="14"/>
    <x v="2"/>
    <s v="FUR-FU-10002379"/>
    <s v="Furniture"/>
    <x v="3"/>
    <s v="Eldon Econocleat Chair Mats for Low Pile Carpets"/>
    <n v="124.41"/>
    <n v="3"/>
    <n v="14.9292"/>
    <x v="2"/>
    <x v="0"/>
  </r>
  <r>
    <x v="557"/>
    <x v="131"/>
    <m/>
    <n v="42285"/>
    <x v="1"/>
    <s v="BS-11755"/>
    <s v="Bruce Stewart"/>
    <x v="0"/>
    <s v="United States"/>
    <x v="2"/>
    <x v="2"/>
    <x v="1"/>
    <s v="FUR-BO-10004409"/>
    <s v="Furniture"/>
    <x v="0"/>
    <s v="Safco Value Mate Series Steel Bookcases, Baked Enamel Finish on Steel, Gray"/>
    <n v="120.666"/>
    <n v="2"/>
    <n v="18.454799999999999"/>
    <x v="2"/>
    <x v="1"/>
  </r>
  <r>
    <x v="558"/>
    <x v="435"/>
    <m/>
    <n v="41844"/>
    <x v="1"/>
    <s v="KM-16375"/>
    <s v="Katherine Murray"/>
    <x v="2"/>
    <s v="United States"/>
    <x v="144"/>
    <x v="5"/>
    <x v="3"/>
    <s v="FUR-FU-10003724"/>
    <s v="Furniture"/>
    <x v="3"/>
    <s v="Westinghouse Clip-On Gooseneck Lamps"/>
    <n v="16.739999999999998"/>
    <n v="5"/>
    <n v="-14.228999999999999"/>
    <x v="4"/>
    <x v="3"/>
  </r>
  <r>
    <x v="558"/>
    <x v="435"/>
    <m/>
    <n v="41844"/>
    <x v="1"/>
    <s v="KM-16375"/>
    <s v="Katherine Murray"/>
    <x v="2"/>
    <s v="United States"/>
    <x v="144"/>
    <x v="5"/>
    <x v="3"/>
    <s v="FUR-CH-10002024"/>
    <s v="Furniture"/>
    <x v="1"/>
    <s v="HON 5400 Series Task Chairs for Big and Tall"/>
    <n v="981.37199999999996"/>
    <n v="2"/>
    <n v="-140.196"/>
    <x v="4"/>
    <x v="3"/>
  </r>
  <r>
    <x v="559"/>
    <x v="436"/>
    <m/>
    <n v="42780"/>
    <x v="1"/>
    <s v="TP-21415"/>
    <s v="Tom Prescott"/>
    <x v="0"/>
    <s v="United States"/>
    <x v="6"/>
    <x v="5"/>
    <x v="3"/>
    <s v="FUR-FU-10000550"/>
    <s v="Furniture"/>
    <x v="3"/>
    <s v="Stacking Trays by OIC"/>
    <n v="3.984"/>
    <n v="2"/>
    <n v="-2.6892"/>
    <x v="2"/>
    <x v="11"/>
  </r>
  <r>
    <x v="560"/>
    <x v="76"/>
    <m/>
    <n v="42827"/>
    <x v="0"/>
    <s v="DB-12910"/>
    <s v="Daniel Byrd"/>
    <x v="2"/>
    <s v="United States"/>
    <x v="0"/>
    <x v="0"/>
    <x v="0"/>
    <s v="FUR-FU-10001591"/>
    <s v="Furniture"/>
    <x v="3"/>
    <s v="Advantus Panel Wall Certificate Holder - 8.5x11"/>
    <n v="61"/>
    <n v="5"/>
    <n v="25.62"/>
    <x v="3"/>
    <x v="9"/>
  </r>
  <r>
    <x v="561"/>
    <x v="437"/>
    <m/>
    <n v="42856"/>
    <x v="1"/>
    <s v="CV-12805"/>
    <s v="Cynthia Voltz"/>
    <x v="1"/>
    <s v="United States"/>
    <x v="50"/>
    <x v="5"/>
    <x v="3"/>
    <s v="FUR-BO-10002268"/>
    <s v="Furniture"/>
    <x v="0"/>
    <s v="Sauder Barrister Bookcases"/>
    <n v="220.26560000000001"/>
    <n v="4"/>
    <n v="-42.1096"/>
    <x v="4"/>
    <x v="6"/>
  </r>
  <r>
    <x v="562"/>
    <x v="438"/>
    <m/>
    <n v="42844"/>
    <x v="1"/>
    <s v="CS-12355"/>
    <s v="Christine Sundaresam"/>
    <x v="0"/>
    <s v="United States"/>
    <x v="13"/>
    <x v="7"/>
    <x v="2"/>
    <s v="FUR-BO-10003441"/>
    <s v="Furniture"/>
    <x v="0"/>
    <s v="Bush Westfield Collection Bookcases, Fully Assembled"/>
    <n v="242.352"/>
    <n v="3"/>
    <n v="9.0882000000000005"/>
    <x v="2"/>
    <x v="6"/>
  </r>
  <r>
    <x v="563"/>
    <x v="313"/>
    <m/>
    <n v="43096"/>
    <x v="0"/>
    <s v="JG-15310"/>
    <s v="Jason Gross"/>
    <x v="1"/>
    <s v="United States"/>
    <x v="134"/>
    <x v="38"/>
    <x v="2"/>
    <s v="FUR-BO-10003660"/>
    <s v="Furniture"/>
    <x v="0"/>
    <s v="Bush Cubix Collection Bookcases, Fully Assembled"/>
    <n v="220.98"/>
    <n v="1"/>
    <n v="50.825400000000002"/>
    <x v="2"/>
    <x v="5"/>
  </r>
  <r>
    <x v="564"/>
    <x v="427"/>
    <m/>
    <n v="42612"/>
    <x v="1"/>
    <s v="MS-17770"/>
    <s v="Maxwell Schwartz"/>
    <x v="0"/>
    <s v="United States"/>
    <x v="15"/>
    <x v="13"/>
    <x v="1"/>
    <s v="FUR-CH-10001973"/>
    <s v="Furniture"/>
    <x v="1"/>
    <s v="Office Star Flex Back Scooter Chair with White Frame"/>
    <n v="532.70399999999995"/>
    <n v="6"/>
    <n v="-39.952800000000003"/>
    <x v="1"/>
    <x v="10"/>
  </r>
  <r>
    <x v="565"/>
    <x v="432"/>
    <m/>
    <n v="42167"/>
    <x v="2"/>
    <s v="JE-15610"/>
    <s v="Jim Epp"/>
    <x v="1"/>
    <s v="United States"/>
    <x v="49"/>
    <x v="1"/>
    <x v="0"/>
    <s v="FUR-CH-10003312"/>
    <s v="Furniture"/>
    <x v="1"/>
    <s v="Hon 2090 Ã’Pillow SoftÃ“ Series Mid Back Swivel/Tilt Chairs"/>
    <n v="1123.92"/>
    <n v="5"/>
    <n v="-182.637"/>
    <x v="5"/>
    <x v="2"/>
  </r>
  <r>
    <x v="565"/>
    <x v="432"/>
    <m/>
    <n v="42167"/>
    <x v="2"/>
    <s v="JE-15610"/>
    <s v="Jim Epp"/>
    <x v="1"/>
    <s v="United States"/>
    <x v="49"/>
    <x v="1"/>
    <x v="0"/>
    <s v="FUR-FU-10003464"/>
    <s v="Furniture"/>
    <x v="3"/>
    <s v="Seth Thomas 8 1/2&quot; Cubicle Clock"/>
    <n v="48.671999999999997"/>
    <n v="3"/>
    <n v="7.3007999999999997"/>
    <x v="5"/>
    <x v="2"/>
  </r>
  <r>
    <x v="566"/>
    <x v="439"/>
    <m/>
    <n v="41990"/>
    <x v="2"/>
    <s v="CC-12100"/>
    <s v="Chad Cunningham"/>
    <x v="2"/>
    <s v="United States"/>
    <x v="2"/>
    <x v="2"/>
    <x v="1"/>
    <s v="FUR-FU-10004090"/>
    <s v="Furniture"/>
    <x v="3"/>
    <s v="Executive Impressions 14&quot; Contract Wall Clock"/>
    <n v="44.46"/>
    <n v="2"/>
    <n v="14.671799999999999"/>
    <x v="5"/>
    <x v="5"/>
  </r>
  <r>
    <x v="566"/>
    <x v="439"/>
    <m/>
    <n v="41990"/>
    <x v="2"/>
    <s v="CC-12100"/>
    <s v="Chad Cunningham"/>
    <x v="2"/>
    <s v="United States"/>
    <x v="2"/>
    <x v="2"/>
    <x v="1"/>
    <s v="FUR-CH-10002602"/>
    <s v="Furniture"/>
    <x v="1"/>
    <s v="DMI Arturo Collection Mission-style Design Wood Chair"/>
    <n v="241.56800000000001"/>
    <n v="2"/>
    <n v="18.117599999999999"/>
    <x v="5"/>
    <x v="5"/>
  </r>
  <r>
    <x v="567"/>
    <x v="440"/>
    <m/>
    <n v="41877"/>
    <x v="2"/>
    <s v="JP-15460"/>
    <s v="Jennifer Patt"/>
    <x v="1"/>
    <s v="United States"/>
    <x v="64"/>
    <x v="7"/>
    <x v="2"/>
    <s v="FUR-FU-10004586"/>
    <s v="Furniture"/>
    <x v="3"/>
    <s v="G.E. Longer-Life Indoor Recessed Floodlight Bulbs"/>
    <n v="13.28"/>
    <n v="2"/>
    <n v="6.3743999999999996"/>
    <x v="3"/>
    <x v="10"/>
  </r>
  <r>
    <x v="568"/>
    <x v="418"/>
    <m/>
    <n v="43057"/>
    <x v="1"/>
    <s v="LS-16975"/>
    <s v="Lindsay Shagiari"/>
    <x v="2"/>
    <s v="United States"/>
    <x v="144"/>
    <x v="5"/>
    <x v="3"/>
    <s v="FUR-FU-10001756"/>
    <s v="Furniture"/>
    <x v="3"/>
    <s v="Eldon Expressions Desk Accessory, Wood Photo Frame, Mahogany"/>
    <n v="22.847999999999999"/>
    <n v="3"/>
    <n v="-17.7072"/>
    <x v="6"/>
    <x v="0"/>
  </r>
  <r>
    <x v="569"/>
    <x v="26"/>
    <m/>
    <n v="42624"/>
    <x v="1"/>
    <s v="AR-10825"/>
    <s v="Anthony Rawles"/>
    <x v="1"/>
    <s v="United States"/>
    <x v="198"/>
    <x v="5"/>
    <x v="3"/>
    <s v="FUR-CH-10002647"/>
    <s v="Furniture"/>
    <x v="1"/>
    <s v="Situations Contoured Folding Chairs, 4/Set"/>
    <n v="347.80200000000002"/>
    <n v="7"/>
    <n v="-24.843"/>
    <x v="6"/>
    <x v="4"/>
  </r>
  <r>
    <x v="570"/>
    <x v="441"/>
    <m/>
    <n v="42779"/>
    <x v="0"/>
    <s v="CS-11845"/>
    <s v="Cari Sayre"/>
    <x v="1"/>
    <s v="United States"/>
    <x v="15"/>
    <x v="13"/>
    <x v="1"/>
    <s v="FUR-CH-10004495"/>
    <s v="Furniture"/>
    <x v="1"/>
    <s v="Global Leather and Oak Executive Chair, Black"/>
    <n v="963.13599999999997"/>
    <n v="4"/>
    <n v="108.3528"/>
    <x v="3"/>
    <x v="11"/>
  </r>
  <r>
    <x v="571"/>
    <x v="442"/>
    <m/>
    <n v="42356"/>
    <x v="2"/>
    <s v="NF-18385"/>
    <s v="Natalie Fritzler"/>
    <x v="0"/>
    <s v="United States"/>
    <x v="19"/>
    <x v="15"/>
    <x v="2"/>
    <s v="FUR-FU-10004091"/>
    <s v="Furniture"/>
    <x v="3"/>
    <s v="Howard Miller 13&quot; Diameter Goldtone Round Wall Clock"/>
    <n v="262.86399999999998"/>
    <n v="7"/>
    <n v="69.001800000000003"/>
    <x v="0"/>
    <x v="5"/>
  </r>
  <r>
    <x v="572"/>
    <x v="108"/>
    <m/>
    <n v="42244"/>
    <x v="1"/>
    <s v="EM-13810"/>
    <s v="Eleni McCrary"/>
    <x v="1"/>
    <s v="United States"/>
    <x v="13"/>
    <x v="7"/>
    <x v="2"/>
    <s v="FUR-TA-10001539"/>
    <s v="Furniture"/>
    <x v="2"/>
    <s v="Chromcraft Rectangular Conference Tables"/>
    <n v="284.36399999999998"/>
    <n v="2"/>
    <n v="-75.830399999999997"/>
    <x v="4"/>
    <x v="10"/>
  </r>
  <r>
    <x v="573"/>
    <x v="443"/>
    <m/>
    <n v="42674"/>
    <x v="2"/>
    <s v="KW-16435"/>
    <s v="Katrina Willman"/>
    <x v="0"/>
    <s v="United States"/>
    <x v="140"/>
    <x v="17"/>
    <x v="3"/>
    <s v="FUR-FU-10002671"/>
    <s v="Furniture"/>
    <x v="3"/>
    <s v="Electrix 20W Halogen Replacement Bulb for Zoom-In Desk Lamp"/>
    <n v="67"/>
    <n v="5"/>
    <n v="32.159999999999997"/>
    <x v="3"/>
    <x v="1"/>
  </r>
  <r>
    <x v="574"/>
    <x v="444"/>
    <m/>
    <n v="42524"/>
    <x v="1"/>
    <s v="KC-16675"/>
    <s v="Kimberly Carter"/>
    <x v="1"/>
    <s v="United States"/>
    <x v="199"/>
    <x v="1"/>
    <x v="0"/>
    <s v="FUR-CH-10003833"/>
    <s v="Furniture"/>
    <x v="1"/>
    <s v="Novimex Fabric Task Chair"/>
    <n v="390.27199999999999"/>
    <n v="8"/>
    <n v="-24.391999999999999"/>
    <x v="6"/>
    <x v="7"/>
  </r>
  <r>
    <x v="575"/>
    <x v="445"/>
    <m/>
    <n v="42457"/>
    <x v="1"/>
    <s v="KT-16465"/>
    <s v="Kean Takahito"/>
    <x v="0"/>
    <s v="United States"/>
    <x v="9"/>
    <x v="8"/>
    <x v="3"/>
    <s v="FUR-CH-10000665"/>
    <s v="Furniture"/>
    <x v="1"/>
    <s v="Global Airflow Leather Mesh Back Chair, Black"/>
    <n v="528.42999999999995"/>
    <n v="5"/>
    <n v="0"/>
    <x v="1"/>
    <x v="9"/>
  </r>
  <r>
    <x v="576"/>
    <x v="204"/>
    <m/>
    <n v="43007"/>
    <x v="1"/>
    <s v="AP-10915"/>
    <s v="Arthur Prichep"/>
    <x v="0"/>
    <s v="United States"/>
    <x v="200"/>
    <x v="12"/>
    <x v="1"/>
    <s v="FUR-BO-10001811"/>
    <s v="Furniture"/>
    <x v="0"/>
    <s v="Atlantic Metals Mobile 5-Shelf Bookcases, Custom Colors"/>
    <n v="180.58799999999999"/>
    <n v="2"/>
    <n v="-240.78399999999999"/>
    <x v="6"/>
    <x v="4"/>
  </r>
  <r>
    <x v="577"/>
    <x v="446"/>
    <m/>
    <n v="43080"/>
    <x v="1"/>
    <s v="SM-20950"/>
    <s v="Suzanne McNair"/>
    <x v="1"/>
    <s v="United States"/>
    <x v="13"/>
    <x v="7"/>
    <x v="2"/>
    <s v="FUR-FU-10001487"/>
    <s v="Furniture"/>
    <x v="3"/>
    <s v="Eldon Expressions Wood and Plastic Desk Accessories, Cherry Wood"/>
    <n v="20.94"/>
    <n v="3"/>
    <n v="6.0726000000000004"/>
    <x v="6"/>
    <x v="5"/>
  </r>
  <r>
    <x v="577"/>
    <x v="446"/>
    <m/>
    <n v="43080"/>
    <x v="1"/>
    <s v="SM-20950"/>
    <s v="Suzanne McNair"/>
    <x v="1"/>
    <s v="United States"/>
    <x v="13"/>
    <x v="7"/>
    <x v="2"/>
    <s v="FUR-FU-10000521"/>
    <s v="Furniture"/>
    <x v="3"/>
    <s v="Seth Thomas 14&quot; Putty-Colored Wall Clock"/>
    <n v="58.68"/>
    <n v="2"/>
    <n v="18.190799999999999"/>
    <x v="6"/>
    <x v="5"/>
  </r>
  <r>
    <x v="578"/>
    <x v="447"/>
    <m/>
    <n v="41779"/>
    <x v="0"/>
    <s v="TT-21070"/>
    <s v="Ted Trevino"/>
    <x v="0"/>
    <s v="United States"/>
    <x v="40"/>
    <x v="15"/>
    <x v="2"/>
    <s v="FUR-FU-10000308"/>
    <s v="Furniture"/>
    <x v="3"/>
    <s v="Deflect-o Glass Clear Studded Chair Mats"/>
    <n v="149.232"/>
    <n v="3"/>
    <n v="3.7307999999999999"/>
    <x v="3"/>
    <x v="7"/>
  </r>
  <r>
    <x v="579"/>
    <x v="448"/>
    <m/>
    <n v="41959"/>
    <x v="1"/>
    <s v="RD-19900"/>
    <s v="Ruben Dartt"/>
    <x v="0"/>
    <s v="United States"/>
    <x v="53"/>
    <x v="2"/>
    <x v="1"/>
    <s v="FUR-FU-10000397"/>
    <s v="Furniture"/>
    <x v="3"/>
    <s v="Luxo Economy Swing Arm Lamp"/>
    <n v="39.880000000000003"/>
    <n v="2"/>
    <n v="11.166399999999999"/>
    <x v="6"/>
    <x v="0"/>
  </r>
  <r>
    <x v="579"/>
    <x v="448"/>
    <m/>
    <n v="41959"/>
    <x v="1"/>
    <s v="RD-19900"/>
    <s v="Ruben Dartt"/>
    <x v="0"/>
    <s v="United States"/>
    <x v="53"/>
    <x v="2"/>
    <x v="1"/>
    <s v="FUR-FU-10001867"/>
    <s v="Furniture"/>
    <x v="3"/>
    <s v="Eldon Expressions Punched Metal &amp; Wood Desk Accessories, Pewter &amp; Cherry"/>
    <n v="53.2"/>
    <n v="5"/>
    <n v="14.896000000000001"/>
    <x v="6"/>
    <x v="0"/>
  </r>
  <r>
    <x v="580"/>
    <x v="449"/>
    <m/>
    <n v="42983"/>
    <x v="0"/>
    <s v="BN-11515"/>
    <s v="Bradley Nguyen"/>
    <x v="0"/>
    <s v="United States"/>
    <x v="13"/>
    <x v="7"/>
    <x v="2"/>
    <s v="FUR-FU-10004960"/>
    <s v="Furniture"/>
    <x v="3"/>
    <s v="Seth Thomas 12&quot; Clock w/ Goldtone Case"/>
    <n v="114.9"/>
    <n v="5"/>
    <n v="39.066000000000003"/>
    <x v="4"/>
    <x v="4"/>
  </r>
  <r>
    <x v="581"/>
    <x v="450"/>
    <m/>
    <n v="42384"/>
    <x v="3"/>
    <s v="RC-19825"/>
    <s v="Roy Collins"/>
    <x v="0"/>
    <s v="United States"/>
    <x v="130"/>
    <x v="19"/>
    <x v="2"/>
    <s v="FUR-TA-10002903"/>
    <s v="Furniture"/>
    <x v="2"/>
    <s v="Bevis Round Bullnose 29&quot; High Table Top"/>
    <n v="181.797"/>
    <n v="1"/>
    <n v="-15.582599999999999"/>
    <x v="7"/>
    <x v="8"/>
  </r>
  <r>
    <x v="582"/>
    <x v="47"/>
    <m/>
    <n v="42701"/>
    <x v="1"/>
    <s v="DW-13195"/>
    <s v="David Wiener"/>
    <x v="1"/>
    <s v="United States"/>
    <x v="6"/>
    <x v="5"/>
    <x v="3"/>
    <s v="FUR-CH-10003774"/>
    <s v="Furniture"/>
    <x v="1"/>
    <s v="Global Wood Trimmed Manager's Task Chair, Khaki"/>
    <n v="318.43"/>
    <n v="5"/>
    <n v="-77.332999999999998"/>
    <x v="1"/>
    <x v="0"/>
  </r>
  <r>
    <x v="582"/>
    <x v="47"/>
    <m/>
    <n v="42701"/>
    <x v="1"/>
    <s v="DW-13195"/>
    <s v="David Wiener"/>
    <x v="1"/>
    <s v="United States"/>
    <x v="6"/>
    <x v="5"/>
    <x v="3"/>
    <s v="FUR-FU-10000023"/>
    <s v="Furniture"/>
    <x v="3"/>
    <s v="Eldon Wave Desk Accessories"/>
    <n v="7.0679999999999996"/>
    <n v="3"/>
    <n v="-2.8271999999999999"/>
    <x v="1"/>
    <x v="0"/>
  </r>
  <r>
    <x v="583"/>
    <x v="451"/>
    <m/>
    <n v="43074"/>
    <x v="1"/>
    <s v="SJ-20215"/>
    <s v="Sarah Jordon"/>
    <x v="0"/>
    <s v="United States"/>
    <x v="141"/>
    <x v="5"/>
    <x v="3"/>
    <s v="FUR-CH-10002602"/>
    <s v="Furniture"/>
    <x v="1"/>
    <s v="DMI Arturo Collection Mission-style Design Wood Chair"/>
    <n v="317.05799999999999"/>
    <n v="3"/>
    <n v="-18.117599999999999"/>
    <x v="4"/>
    <x v="5"/>
  </r>
  <r>
    <x v="584"/>
    <x v="334"/>
    <m/>
    <n v="42634"/>
    <x v="1"/>
    <s v="SJ-20125"/>
    <s v="Sanjit Jacobs"/>
    <x v="2"/>
    <s v="United States"/>
    <x v="15"/>
    <x v="13"/>
    <x v="1"/>
    <s v="FUR-CH-10004875"/>
    <s v="Furniture"/>
    <x v="1"/>
    <s v="Harbour Creations 67200 Series Stacking Chairs"/>
    <n v="113.88800000000001"/>
    <n v="2"/>
    <n v="9.9651999999999994"/>
    <x v="4"/>
    <x v="4"/>
  </r>
  <r>
    <x v="585"/>
    <x v="452"/>
    <m/>
    <n v="42844"/>
    <x v="2"/>
    <s v="BG-11740"/>
    <s v="Bruce Geld"/>
    <x v="0"/>
    <s v="United States"/>
    <x v="3"/>
    <x v="3"/>
    <x v="2"/>
    <s v="FUR-FU-10001473"/>
    <s v="Furniture"/>
    <x v="3"/>
    <s v="Eldon Executive Woodline II Desk Accessories, Mahogany"/>
    <n v="60.311999999999998"/>
    <n v="3"/>
    <n v="5.2773000000000003"/>
    <x v="3"/>
    <x v="6"/>
  </r>
  <r>
    <x v="586"/>
    <x v="453"/>
    <m/>
    <n v="42718"/>
    <x v="0"/>
    <s v="DK-12835"/>
    <s v="Damala Kotsonis"/>
    <x v="1"/>
    <s v="United States"/>
    <x v="20"/>
    <x v="9"/>
    <x v="0"/>
    <s v="FUR-TA-10001676"/>
    <s v="Furniture"/>
    <x v="2"/>
    <s v="Hon 61000 Series Interactive Training Tables"/>
    <n v="79.974000000000004"/>
    <n v="3"/>
    <n v="-29.323799999999999"/>
    <x v="2"/>
    <x v="5"/>
  </r>
  <r>
    <x v="587"/>
    <x v="289"/>
    <m/>
    <n v="42051"/>
    <x v="1"/>
    <s v="SJ-20215"/>
    <s v="Sarah Jordon"/>
    <x v="0"/>
    <s v="United States"/>
    <x v="2"/>
    <x v="2"/>
    <x v="1"/>
    <s v="FUR-CH-10002774"/>
    <s v="Furniture"/>
    <x v="1"/>
    <s v="Global Deluxe Stacking Chair, Gray"/>
    <n v="203.92"/>
    <n v="5"/>
    <n v="22.940999999999999"/>
    <x v="1"/>
    <x v="11"/>
  </r>
  <r>
    <x v="588"/>
    <x v="454"/>
    <m/>
    <n v="41918"/>
    <x v="1"/>
    <s v="MH-17785"/>
    <s v="Maya Herman"/>
    <x v="1"/>
    <s v="United States"/>
    <x v="13"/>
    <x v="7"/>
    <x v="2"/>
    <s v="FUR-FU-10000221"/>
    <s v="Furniture"/>
    <x v="3"/>
    <s v="Master Caster Door Stop, Brown"/>
    <n v="15.24"/>
    <n v="3"/>
    <n v="5.1816000000000004"/>
    <x v="6"/>
    <x v="4"/>
  </r>
  <r>
    <x v="589"/>
    <x v="22"/>
    <m/>
    <n v="42003"/>
    <x v="1"/>
    <s v="CK-12595"/>
    <s v="Clytie Kelty"/>
    <x v="0"/>
    <s v="United States"/>
    <x v="53"/>
    <x v="2"/>
    <x v="1"/>
    <s v="FUR-FU-10001852"/>
    <s v="Furniture"/>
    <x v="3"/>
    <s v="Eldon Regeneration Recycled Desk Accessories, Smoke"/>
    <n v="3.48"/>
    <n v="2"/>
    <n v="1.1135999999999999"/>
    <x v="4"/>
    <x v="5"/>
  </r>
  <r>
    <x v="590"/>
    <x v="356"/>
    <m/>
    <n v="41965"/>
    <x v="1"/>
    <s v="CS-11950"/>
    <s v="Carlos Soltero"/>
    <x v="0"/>
    <s v="United States"/>
    <x v="3"/>
    <x v="3"/>
    <x v="2"/>
    <s v="FUR-FU-10001473"/>
    <s v="Furniture"/>
    <x v="3"/>
    <s v="Eldon Executive Woodline II Desk Accessories, Mahogany"/>
    <n v="60.311999999999998"/>
    <n v="3"/>
    <n v="5.2773000000000003"/>
    <x v="4"/>
    <x v="0"/>
  </r>
  <r>
    <x v="591"/>
    <x v="174"/>
    <m/>
    <n v="42454"/>
    <x v="0"/>
    <s v="AH-10030"/>
    <s v="Aaron Hawkins"/>
    <x v="1"/>
    <s v="United States"/>
    <x v="201"/>
    <x v="21"/>
    <x v="0"/>
    <s v="FUR-FU-10003691"/>
    <s v="Furniture"/>
    <x v="3"/>
    <s v="Eldon Image Series Desk Accessories, Ebony"/>
    <n v="86.45"/>
    <n v="7"/>
    <n v="38.037999999999997"/>
    <x v="2"/>
    <x v="9"/>
  </r>
  <r>
    <x v="592"/>
    <x v="52"/>
    <m/>
    <n v="41913"/>
    <x v="1"/>
    <s v="TH-21100"/>
    <s v="Thea Hendricks"/>
    <x v="0"/>
    <s v="United States"/>
    <x v="53"/>
    <x v="2"/>
    <x v="1"/>
    <s v="FUR-CH-10002602"/>
    <s v="Furniture"/>
    <x v="1"/>
    <s v="DMI Arturo Collection Mission-style Design Wood Chair"/>
    <n v="603.91999999999996"/>
    <n v="5"/>
    <n v="45.293999999999997"/>
    <x v="4"/>
    <x v="4"/>
  </r>
  <r>
    <x v="593"/>
    <x v="455"/>
    <m/>
    <n v="43097"/>
    <x v="1"/>
    <s v="HG-15025"/>
    <s v="Hunter Glantz"/>
    <x v="0"/>
    <s v="United States"/>
    <x v="64"/>
    <x v="7"/>
    <x v="2"/>
    <s v="FUR-CH-10002602"/>
    <s v="Furniture"/>
    <x v="1"/>
    <s v="DMI Arturo Collection Mission-style Design Wood Chair"/>
    <n v="271.76400000000001"/>
    <n v="2"/>
    <n v="48.313600000000001"/>
    <x v="4"/>
    <x v="5"/>
  </r>
  <r>
    <x v="594"/>
    <x v="219"/>
    <m/>
    <n v="43054"/>
    <x v="0"/>
    <s v="EB-13750"/>
    <s v="Edward Becker"/>
    <x v="1"/>
    <s v="United States"/>
    <x v="82"/>
    <x v="5"/>
    <x v="3"/>
    <s v="FUR-FU-10001468"/>
    <s v="Furniture"/>
    <x v="3"/>
    <s v="Tenex Antistatic Computer Chair Mats"/>
    <n v="341.96"/>
    <n v="5"/>
    <n v="-427.45"/>
    <x v="2"/>
    <x v="0"/>
  </r>
  <r>
    <x v="595"/>
    <x v="191"/>
    <m/>
    <n v="41998"/>
    <x v="1"/>
    <s v="TS-21505"/>
    <s v="Tony Sayre"/>
    <x v="0"/>
    <s v="United States"/>
    <x v="11"/>
    <x v="9"/>
    <x v="0"/>
    <s v="FUR-CH-10004287"/>
    <s v="Furniture"/>
    <x v="1"/>
    <s v="SAFCO Arco Folding Chair"/>
    <n v="662.88"/>
    <n v="3"/>
    <n v="74.573999999999998"/>
    <x v="2"/>
    <x v="5"/>
  </r>
  <r>
    <x v="596"/>
    <x v="456"/>
    <m/>
    <n v="42212"/>
    <x v="1"/>
    <s v="TH-21550"/>
    <s v="Tracy Hopkins"/>
    <x v="2"/>
    <s v="United States"/>
    <x v="13"/>
    <x v="7"/>
    <x v="2"/>
    <s v="FUR-FU-10002253"/>
    <s v="Furniture"/>
    <x v="3"/>
    <s v="Howard Miller 13&quot; Diameter Pewter Finish Round Wall Clock"/>
    <n v="128.82"/>
    <n v="3"/>
    <n v="50.239800000000002"/>
    <x v="4"/>
    <x v="3"/>
  </r>
  <r>
    <x v="597"/>
    <x v="417"/>
    <m/>
    <n v="43089"/>
    <x v="1"/>
    <s v="GM-14455"/>
    <s v="Gary Mitchum"/>
    <x v="2"/>
    <s v="United States"/>
    <x v="9"/>
    <x v="8"/>
    <x v="3"/>
    <s v="FUR-FU-10002963"/>
    <s v="Furniture"/>
    <x v="3"/>
    <s v="Master Caster Door Stop, Gray"/>
    <n v="2.032"/>
    <n v="1"/>
    <n v="-1.3208"/>
    <x v="6"/>
    <x v="5"/>
  </r>
  <r>
    <x v="598"/>
    <x v="67"/>
    <m/>
    <n v="42969"/>
    <x v="2"/>
    <s v="PR-18880"/>
    <s v="Patrick Ryan"/>
    <x v="0"/>
    <s v="United States"/>
    <x v="121"/>
    <x v="2"/>
    <x v="1"/>
    <s v="FUR-FU-10000193"/>
    <s v="Furniture"/>
    <x v="3"/>
    <s v="Tenex Chairmats For Use with Hard Floors"/>
    <n v="129.91999999999999"/>
    <n v="4"/>
    <n v="10.393599999999999"/>
    <x v="5"/>
    <x v="10"/>
  </r>
  <r>
    <x v="598"/>
    <x v="67"/>
    <m/>
    <n v="42969"/>
    <x v="2"/>
    <s v="PR-18880"/>
    <s v="Patrick Ryan"/>
    <x v="0"/>
    <s v="United States"/>
    <x v="121"/>
    <x v="2"/>
    <x v="1"/>
    <s v="FUR-TA-10001539"/>
    <s v="Furniture"/>
    <x v="2"/>
    <s v="Chromcraft Rectangular Conference Tables"/>
    <n v="568.72799999999995"/>
    <n v="3"/>
    <n v="28.436399999999999"/>
    <x v="5"/>
    <x v="10"/>
  </r>
  <r>
    <x v="599"/>
    <x v="457"/>
    <m/>
    <n v="42614"/>
    <x v="0"/>
    <s v="TB-21055"/>
    <s v="Ted Butterfield"/>
    <x v="0"/>
    <s v="United States"/>
    <x v="202"/>
    <x v="20"/>
    <x v="2"/>
    <s v="FUR-TA-10001307"/>
    <s v="Furniture"/>
    <x v="2"/>
    <s v="SAFCO PlanMaster Heigh-Adjustable Drafting Table Base, 43w x 30d x 30-37h, Black"/>
    <n v="244.61500000000001"/>
    <n v="1"/>
    <n v="20.966999999999999"/>
    <x v="2"/>
    <x v="10"/>
  </r>
  <r>
    <x v="600"/>
    <x v="458"/>
    <m/>
    <n v="41910"/>
    <x v="1"/>
    <s v="BM-11650"/>
    <s v="Brian Moss"/>
    <x v="1"/>
    <s v="United States"/>
    <x v="53"/>
    <x v="2"/>
    <x v="1"/>
    <s v="FUR-BO-10002916"/>
    <s v="Furniture"/>
    <x v="0"/>
    <s v="Rush Hierlooms Collection 1&quot; Thick Stackable Bookcases"/>
    <n v="435.99900000000002"/>
    <n v="3"/>
    <n v="20.517600000000002"/>
    <x v="2"/>
    <x v="4"/>
  </r>
  <r>
    <x v="601"/>
    <x v="459"/>
    <m/>
    <n v="41844"/>
    <x v="1"/>
    <s v="CA-12310"/>
    <s v="Christine Abelman"/>
    <x v="1"/>
    <s v="United States"/>
    <x v="203"/>
    <x v="19"/>
    <x v="2"/>
    <s v="FUR-TA-10004152"/>
    <s v="Furniture"/>
    <x v="2"/>
    <s v="Barricks 18&quot; x 48&quot; Non-Folding Utility Table with Bottom Storage Shelf"/>
    <n v="70.56"/>
    <n v="1"/>
    <n v="-4.032"/>
    <x v="2"/>
    <x v="3"/>
  </r>
  <r>
    <x v="602"/>
    <x v="460"/>
    <m/>
    <n v="42163"/>
    <x v="0"/>
    <s v="TC-21535"/>
    <s v="Tracy Collins"/>
    <x v="2"/>
    <s v="United States"/>
    <x v="13"/>
    <x v="7"/>
    <x v="2"/>
    <s v="FUR-FU-10000672"/>
    <s v="Furniture"/>
    <x v="3"/>
    <s v="Executive Impressions 10&quot; Spectator Wall Clock"/>
    <n v="35.28"/>
    <n v="3"/>
    <n v="11.995200000000001"/>
    <x v="4"/>
    <x v="2"/>
  </r>
  <r>
    <x v="603"/>
    <x v="461"/>
    <m/>
    <n v="42569"/>
    <x v="0"/>
    <s v="MC-17425"/>
    <s v="Mark Cousins"/>
    <x v="1"/>
    <s v="United States"/>
    <x v="6"/>
    <x v="5"/>
    <x v="3"/>
    <s v="FUR-FU-10001940"/>
    <s v="Furniture"/>
    <x v="3"/>
    <s v="Staple-based wall hangings"/>
    <n v="9.5519999999999996"/>
    <n v="3"/>
    <n v="-3.8208000000000002"/>
    <x v="3"/>
    <x v="3"/>
  </r>
  <r>
    <x v="604"/>
    <x v="462"/>
    <m/>
    <n v="41672"/>
    <x v="2"/>
    <s v="LC-17050"/>
    <s v="Liz Carlisle"/>
    <x v="0"/>
    <s v="United States"/>
    <x v="204"/>
    <x v="2"/>
    <x v="1"/>
    <s v="FUR-BO-10003966"/>
    <s v="Furniture"/>
    <x v="0"/>
    <s v="Sauder Facets Collection Library, Sky Alder Finish"/>
    <n v="290.666"/>
    <n v="2"/>
    <n v="3.4196"/>
    <x v="3"/>
    <x v="8"/>
  </r>
  <r>
    <x v="605"/>
    <x v="32"/>
    <m/>
    <n v="42333"/>
    <x v="1"/>
    <s v="NW-18400"/>
    <s v="Natalie Webber"/>
    <x v="0"/>
    <s v="United States"/>
    <x v="205"/>
    <x v="34"/>
    <x v="1"/>
    <s v="FUR-BO-10002598"/>
    <s v="Furniture"/>
    <x v="0"/>
    <s v="Hon Metal Bookcases, Putty"/>
    <n v="141.96"/>
    <n v="2"/>
    <n v="41.168399999999998"/>
    <x v="4"/>
    <x v="0"/>
  </r>
  <r>
    <x v="606"/>
    <x v="463"/>
    <m/>
    <n v="42348"/>
    <x v="1"/>
    <s v="SO-20335"/>
    <s v="Sean O'Donnell"/>
    <x v="0"/>
    <s v="United States"/>
    <x v="206"/>
    <x v="7"/>
    <x v="2"/>
    <s v="FUR-FU-10002445"/>
    <s v="Furniture"/>
    <x v="3"/>
    <s v="DAX Two-Tone Rosewood/Black Document Frame, Desktop, 5 x 7"/>
    <n v="28.44"/>
    <n v="3"/>
    <n v="11.375999999999999"/>
    <x v="6"/>
    <x v="5"/>
  </r>
  <r>
    <x v="606"/>
    <x v="463"/>
    <m/>
    <n v="42348"/>
    <x v="1"/>
    <s v="SO-20335"/>
    <s v="Sean O'Donnell"/>
    <x v="0"/>
    <s v="United States"/>
    <x v="206"/>
    <x v="7"/>
    <x v="2"/>
    <s v="FUR-CH-10002372"/>
    <s v="Furniture"/>
    <x v="1"/>
    <s v="Office Star - Ergonomically Designed Knee Chair"/>
    <n v="364.41"/>
    <n v="5"/>
    <n v="8.0980000000000008"/>
    <x v="6"/>
    <x v="5"/>
  </r>
  <r>
    <x v="606"/>
    <x v="463"/>
    <m/>
    <n v="42348"/>
    <x v="1"/>
    <s v="SO-20335"/>
    <s v="Sean O'Donnell"/>
    <x v="0"/>
    <s v="United States"/>
    <x v="206"/>
    <x v="7"/>
    <x v="2"/>
    <s v="FUR-CH-10002965"/>
    <s v="Furniture"/>
    <x v="1"/>
    <s v="Global Leather Highback Executive Chair with Pneumatic Height Adjustment, Black"/>
    <n v="361.76400000000001"/>
    <n v="2"/>
    <n v="68.333200000000005"/>
    <x v="6"/>
    <x v="5"/>
  </r>
  <r>
    <x v="607"/>
    <x v="68"/>
    <m/>
    <n v="43063"/>
    <x v="2"/>
    <s v="TD-20995"/>
    <s v="Tamara Dahlen"/>
    <x v="0"/>
    <s v="United States"/>
    <x v="3"/>
    <x v="3"/>
    <x v="2"/>
    <s v="FUR-FU-10000320"/>
    <s v="Furniture"/>
    <x v="3"/>
    <s v="OIC Stacking Trays"/>
    <n v="24.047999999999998"/>
    <n v="9"/>
    <n v="7.2144000000000004"/>
    <x v="5"/>
    <x v="0"/>
  </r>
  <r>
    <x v="608"/>
    <x v="463"/>
    <m/>
    <n v="42347"/>
    <x v="0"/>
    <s v="MS-17365"/>
    <s v="Maribeth Schnelling"/>
    <x v="0"/>
    <s v="United States"/>
    <x v="13"/>
    <x v="7"/>
    <x v="2"/>
    <s v="FUR-CH-10003535"/>
    <s v="Furniture"/>
    <x v="1"/>
    <s v="Global Armless Task Chair, Royal Blue"/>
    <n v="384.17399999999998"/>
    <n v="7"/>
    <n v="29.880199999999999"/>
    <x v="2"/>
    <x v="5"/>
  </r>
  <r>
    <x v="609"/>
    <x v="273"/>
    <m/>
    <n v="43019"/>
    <x v="1"/>
    <s v="Dp-13240"/>
    <s v="Dean percer"/>
    <x v="2"/>
    <s v="United States"/>
    <x v="127"/>
    <x v="30"/>
    <x v="0"/>
    <s v="FUR-TA-10001039"/>
    <s v="Furniture"/>
    <x v="2"/>
    <s v="KI Adjustable-Height Table"/>
    <n v="154.76400000000001"/>
    <n v="3"/>
    <n v="-36.111600000000003"/>
    <x v="4"/>
    <x v="1"/>
  </r>
  <r>
    <x v="610"/>
    <x v="50"/>
    <m/>
    <n v="42129"/>
    <x v="2"/>
    <s v="LA-16780"/>
    <s v="Laura Armstrong"/>
    <x v="1"/>
    <s v="United States"/>
    <x v="207"/>
    <x v="8"/>
    <x v="3"/>
    <s v="FUR-FU-10001940"/>
    <s v="Furniture"/>
    <x v="3"/>
    <s v="Staple-based wall hangings"/>
    <n v="22.288"/>
    <n v="7"/>
    <n v="-8.9152000000000005"/>
    <x v="5"/>
    <x v="7"/>
  </r>
  <r>
    <x v="611"/>
    <x v="464"/>
    <m/>
    <n v="42891"/>
    <x v="1"/>
    <s v="HZ-14950"/>
    <s v="Henia Zydlo"/>
    <x v="0"/>
    <s v="United States"/>
    <x v="6"/>
    <x v="5"/>
    <x v="3"/>
    <s v="FUR-FU-10003919"/>
    <s v="Furniture"/>
    <x v="3"/>
    <s v="Eldon Executive Woodline II Cherry Finish Desk Accessories"/>
    <n v="65.424000000000007"/>
    <n v="4"/>
    <n v="-52.339199999999998"/>
    <x v="1"/>
    <x v="7"/>
  </r>
  <r>
    <x v="612"/>
    <x v="465"/>
    <m/>
    <n v="41756"/>
    <x v="1"/>
    <s v="LB-16795"/>
    <s v="Laurel Beltran"/>
    <x v="2"/>
    <s v="United States"/>
    <x v="29"/>
    <x v="15"/>
    <x v="2"/>
    <s v="FUR-CH-10002965"/>
    <s v="Furniture"/>
    <x v="1"/>
    <s v="Global Leather Highback Executive Chair with Pneumatic Height Adjustment, Black"/>
    <n v="281.37200000000001"/>
    <n v="2"/>
    <n v="-12.0588"/>
    <x v="4"/>
    <x v="6"/>
  </r>
  <r>
    <x v="612"/>
    <x v="465"/>
    <m/>
    <n v="41756"/>
    <x v="1"/>
    <s v="LB-16795"/>
    <s v="Laurel Beltran"/>
    <x v="2"/>
    <s v="United States"/>
    <x v="29"/>
    <x v="15"/>
    <x v="2"/>
    <s v="FUR-CH-10002965"/>
    <s v="Furniture"/>
    <x v="1"/>
    <s v="Global Leather Highback Executive Chair with Pneumatic Height Adjustment, Black"/>
    <n v="281.37200000000001"/>
    <n v="2"/>
    <n v="-12.0588"/>
    <x v="4"/>
    <x v="6"/>
  </r>
  <r>
    <x v="612"/>
    <x v="465"/>
    <m/>
    <n v="41756"/>
    <x v="1"/>
    <s v="LB-16795"/>
    <s v="Laurel Beltran"/>
    <x v="2"/>
    <s v="United States"/>
    <x v="29"/>
    <x v="15"/>
    <x v="2"/>
    <s v="FUR-FU-10002191"/>
    <s v="Furniture"/>
    <x v="3"/>
    <s v="G.E. Halogen Desk Lamp Bulbs"/>
    <n v="22.335999999999999"/>
    <n v="4"/>
    <n v="7.8175999999999997"/>
    <x v="4"/>
    <x v="6"/>
  </r>
  <r>
    <x v="613"/>
    <x v="329"/>
    <m/>
    <n v="42260"/>
    <x v="1"/>
    <s v="CC-12430"/>
    <s v="Chuck Clark"/>
    <x v="2"/>
    <s v="United States"/>
    <x v="13"/>
    <x v="7"/>
    <x v="2"/>
    <s v="FUR-CH-10000665"/>
    <s v="Furniture"/>
    <x v="1"/>
    <s v="Global Airflow Leather Mesh Back Chair, Black"/>
    <n v="271.76400000000001"/>
    <n v="2"/>
    <n v="60.392000000000003"/>
    <x v="1"/>
    <x v="4"/>
  </r>
  <r>
    <x v="614"/>
    <x v="262"/>
    <m/>
    <n v="42275"/>
    <x v="1"/>
    <s v="DE-13255"/>
    <s v="Deanra Eno"/>
    <x v="2"/>
    <s v="United States"/>
    <x v="208"/>
    <x v="26"/>
    <x v="3"/>
    <s v="FUR-CH-10000988"/>
    <s v="Furniture"/>
    <x v="1"/>
    <s v="Hon Olson Stacker Stools"/>
    <n v="1408.1"/>
    <n v="10"/>
    <n v="394.26799999999997"/>
    <x v="4"/>
    <x v="4"/>
  </r>
  <r>
    <x v="615"/>
    <x v="209"/>
    <m/>
    <n v="42922"/>
    <x v="0"/>
    <s v="SZ-20035"/>
    <s v="Sam Zeldin"/>
    <x v="2"/>
    <s v="United States"/>
    <x v="68"/>
    <x v="15"/>
    <x v="2"/>
    <s v="FUR-TA-10002041"/>
    <s v="Furniture"/>
    <x v="2"/>
    <s v="Bevis Round Conference Table Top, X-Base"/>
    <n v="215.148"/>
    <n v="2"/>
    <n v="-103.98820000000001"/>
    <x v="0"/>
    <x v="3"/>
  </r>
  <r>
    <x v="616"/>
    <x v="64"/>
    <m/>
    <n v="43078"/>
    <x v="2"/>
    <s v="LF-17185"/>
    <s v="Luke Foster"/>
    <x v="0"/>
    <s v="United States"/>
    <x v="209"/>
    <x v="2"/>
    <x v="1"/>
    <s v="FUR-FU-10002703"/>
    <s v="Furniture"/>
    <x v="3"/>
    <s v="Tenex Traditional Chairmats for Hard Floors, Average Lip, 36&quot; x 48&quot;"/>
    <n v="128.9"/>
    <n v="2"/>
    <n v="15.468"/>
    <x v="5"/>
    <x v="5"/>
  </r>
  <r>
    <x v="617"/>
    <x v="466"/>
    <m/>
    <n v="42276"/>
    <x v="2"/>
    <s v="NM-18520"/>
    <s v="Neoma Murray"/>
    <x v="0"/>
    <s v="United States"/>
    <x v="9"/>
    <x v="8"/>
    <x v="3"/>
    <s v="FUR-FU-10003849"/>
    <s v="Furniture"/>
    <x v="3"/>
    <s v="DAX Metal Frame, Desktop, Stepped-Edge"/>
    <n v="24.288"/>
    <n v="3"/>
    <n v="-12.751200000000001"/>
    <x v="3"/>
    <x v="4"/>
  </r>
  <r>
    <x v="618"/>
    <x v="242"/>
    <m/>
    <n v="43038"/>
    <x v="3"/>
    <s v="RA-19945"/>
    <s v="Ryan Akin"/>
    <x v="0"/>
    <s v="United States"/>
    <x v="144"/>
    <x v="5"/>
    <x v="3"/>
    <s v="FUR-FU-10003849"/>
    <s v="Furniture"/>
    <x v="3"/>
    <s v="DAX Metal Frame, Desktop, Stepped-Edge"/>
    <n v="16.192"/>
    <n v="2"/>
    <n v="-8.5007999999999999"/>
    <x v="7"/>
    <x v="1"/>
  </r>
  <r>
    <x v="618"/>
    <x v="242"/>
    <m/>
    <n v="43038"/>
    <x v="3"/>
    <s v="RA-19945"/>
    <s v="Ryan Akin"/>
    <x v="0"/>
    <s v="United States"/>
    <x v="144"/>
    <x v="5"/>
    <x v="3"/>
    <s v="FUR-TA-10002041"/>
    <s v="Furniture"/>
    <x v="2"/>
    <s v="Bevis Round Conference Table Top, X-Base"/>
    <n v="251.006"/>
    <n v="2"/>
    <n v="-68.130200000000002"/>
    <x v="7"/>
    <x v="1"/>
  </r>
  <r>
    <x v="619"/>
    <x v="467"/>
    <m/>
    <n v="42996"/>
    <x v="2"/>
    <s v="AS-10090"/>
    <s v="Adam Shillingsburg"/>
    <x v="0"/>
    <s v="United States"/>
    <x v="3"/>
    <x v="3"/>
    <x v="2"/>
    <s v="FUR-FU-10003832"/>
    <s v="Furniture"/>
    <x v="3"/>
    <s v="Eldon Expressions Punched Metal &amp; Wood Desk Accessories, Black &amp; Cherry"/>
    <n v="22.512"/>
    <n v="3"/>
    <n v="2.2511999999999999"/>
    <x v="3"/>
    <x v="4"/>
  </r>
  <r>
    <x v="620"/>
    <x v="468"/>
    <m/>
    <n v="42261"/>
    <x v="1"/>
    <s v="EH-13765"/>
    <s v="Edward Hooks"/>
    <x v="1"/>
    <s v="United States"/>
    <x v="210"/>
    <x v="20"/>
    <x v="2"/>
    <s v="FUR-BO-10004695"/>
    <s v="Furniture"/>
    <x v="0"/>
    <s v="O'Sullivan 2-Door Barrister Bookcase in Odessa Pine"/>
    <n v="361.96"/>
    <n v="2"/>
    <n v="83.250799999999998"/>
    <x v="4"/>
    <x v="4"/>
  </r>
  <r>
    <x v="621"/>
    <x v="469"/>
    <m/>
    <n v="42723"/>
    <x v="1"/>
    <s v="MC-17845"/>
    <s v="Michael Chen"/>
    <x v="0"/>
    <s v="United States"/>
    <x v="38"/>
    <x v="21"/>
    <x v="0"/>
    <s v="FUR-FU-10002045"/>
    <s v="Furniture"/>
    <x v="3"/>
    <s v="Executive Impressions 14&quot;"/>
    <n v="133.38"/>
    <n v="6"/>
    <n v="58.687199999999997"/>
    <x v="2"/>
    <x v="5"/>
  </r>
  <r>
    <x v="622"/>
    <x v="193"/>
    <m/>
    <n v="42709"/>
    <x v="1"/>
    <s v="CL-11890"/>
    <s v="Carl Ludwig"/>
    <x v="0"/>
    <s v="United States"/>
    <x v="28"/>
    <x v="2"/>
    <x v="1"/>
    <s v="FUR-FU-10003724"/>
    <s v="Furniture"/>
    <x v="3"/>
    <s v="Westinghouse Clip-On Gooseneck Lamps"/>
    <n v="16.739999999999998"/>
    <n v="2"/>
    <n v="4.3524000000000003"/>
    <x v="4"/>
    <x v="5"/>
  </r>
  <r>
    <x v="623"/>
    <x v="470"/>
    <m/>
    <n v="42804"/>
    <x v="1"/>
    <s v="EP-13915"/>
    <s v="Emily Phan"/>
    <x v="0"/>
    <s v="United States"/>
    <x v="211"/>
    <x v="17"/>
    <x v="3"/>
    <s v="FUR-CH-10000785"/>
    <s v="Furniture"/>
    <x v="1"/>
    <s v="Global Ergonomic Managers Chair"/>
    <n v="180.98"/>
    <n v="1"/>
    <n v="47.0548"/>
    <x v="1"/>
    <x v="9"/>
  </r>
  <r>
    <x v="624"/>
    <x v="6"/>
    <m/>
    <n v="42718"/>
    <x v="1"/>
    <s v="SP-20620"/>
    <s v="Stefania Perrino"/>
    <x v="1"/>
    <s v="United States"/>
    <x v="28"/>
    <x v="2"/>
    <x v="1"/>
    <s v="FUR-TA-10003954"/>
    <s v="Furniture"/>
    <x v="2"/>
    <s v="Hon 94000 Series Round Tables"/>
    <n v="1421.664"/>
    <n v="6"/>
    <n v="-195.47880000000001"/>
    <x v="6"/>
    <x v="5"/>
  </r>
  <r>
    <x v="625"/>
    <x v="471"/>
    <m/>
    <n v="41739"/>
    <x v="2"/>
    <s v="PJ-19015"/>
    <s v="Pauline Johnson"/>
    <x v="0"/>
    <s v="United States"/>
    <x v="212"/>
    <x v="33"/>
    <x v="0"/>
    <s v="FUR-FU-10004415"/>
    <s v="Furniture"/>
    <x v="3"/>
    <s v="Stacking Tray, Side-Loading, Legal, Smoke"/>
    <n v="8.9600000000000009"/>
    <n v="2"/>
    <n v="2.7776000000000001"/>
    <x v="0"/>
    <x v="6"/>
  </r>
  <r>
    <x v="626"/>
    <x v="472"/>
    <m/>
    <n v="41880"/>
    <x v="2"/>
    <s v="CC-12610"/>
    <s v="Corey Catlett"/>
    <x v="1"/>
    <s v="United States"/>
    <x v="76"/>
    <x v="25"/>
    <x v="0"/>
    <s v="FUR-FU-10002456"/>
    <s v="Furniture"/>
    <x v="3"/>
    <s v="Master Caster Door Stop, Large Neon Orange"/>
    <n v="29.12"/>
    <n v="4"/>
    <n v="12.521599999999999"/>
    <x v="3"/>
    <x v="10"/>
  </r>
  <r>
    <x v="626"/>
    <x v="472"/>
    <m/>
    <n v="41880"/>
    <x v="2"/>
    <s v="CC-12610"/>
    <s v="Corey Catlett"/>
    <x v="1"/>
    <s v="United States"/>
    <x v="76"/>
    <x v="25"/>
    <x v="0"/>
    <s v="FUR-TA-10003569"/>
    <s v="Furniture"/>
    <x v="2"/>
    <s v="Bretford CR8500 Series Meeting Room Furniture"/>
    <n v="1202.94"/>
    <n v="3"/>
    <n v="300.73500000000001"/>
    <x v="3"/>
    <x v="10"/>
  </r>
  <r>
    <x v="627"/>
    <x v="473"/>
    <m/>
    <n v="42191"/>
    <x v="1"/>
    <s v="RH-19600"/>
    <s v="Rob Haberlin"/>
    <x v="0"/>
    <s v="United States"/>
    <x v="213"/>
    <x v="8"/>
    <x v="3"/>
    <s v="FUR-CH-10004086"/>
    <s v="Furniture"/>
    <x v="1"/>
    <s v="Hon 4070 Series Pagoda Armless Upholstered Stacking Chairs"/>
    <n v="408.42200000000003"/>
    <n v="2"/>
    <n v="-5.8346"/>
    <x v="4"/>
    <x v="3"/>
  </r>
  <r>
    <x v="627"/>
    <x v="473"/>
    <m/>
    <n v="42191"/>
    <x v="1"/>
    <s v="RH-19600"/>
    <s v="Rob Haberlin"/>
    <x v="0"/>
    <s v="United States"/>
    <x v="213"/>
    <x v="8"/>
    <x v="3"/>
    <s v="FUR-CH-10003774"/>
    <s v="Furniture"/>
    <x v="1"/>
    <s v="Global Wood Trimmed Manager's Task Chair, Khaki"/>
    <n v="382.11599999999999"/>
    <n v="6"/>
    <n v="-92.799599999999998"/>
    <x v="4"/>
    <x v="3"/>
  </r>
  <r>
    <x v="628"/>
    <x v="118"/>
    <m/>
    <n v="43006"/>
    <x v="1"/>
    <s v="KB-16240"/>
    <s v="Karen Bern"/>
    <x v="1"/>
    <s v="United States"/>
    <x v="214"/>
    <x v="11"/>
    <x v="3"/>
    <s v="FUR-CH-10000665"/>
    <s v="Furniture"/>
    <x v="1"/>
    <s v="Global Airflow Leather Mesh Back Chair, Black"/>
    <n v="603.91999999999996"/>
    <n v="4"/>
    <n v="181.17599999999999"/>
    <x v="4"/>
    <x v="4"/>
  </r>
  <r>
    <x v="629"/>
    <x v="474"/>
    <m/>
    <n v="42597"/>
    <x v="1"/>
    <s v="CA-12055"/>
    <s v="Cathy Armstrong"/>
    <x v="2"/>
    <s v="United States"/>
    <x v="2"/>
    <x v="2"/>
    <x v="1"/>
    <s v="FUR-TA-10001932"/>
    <s v="Furniture"/>
    <x v="2"/>
    <s v="Chromcraft 48&quot; x 96&quot; Racetrack Double Pedestal Table"/>
    <n v="513.024"/>
    <n v="2"/>
    <n v="12.8256"/>
    <x v="1"/>
    <x v="10"/>
  </r>
  <r>
    <x v="630"/>
    <x v="475"/>
    <m/>
    <n v="41814"/>
    <x v="1"/>
    <s v="SC-20020"/>
    <s v="Sam Craven"/>
    <x v="0"/>
    <s v="United States"/>
    <x v="215"/>
    <x v="5"/>
    <x v="3"/>
    <s v="FUR-BO-10001608"/>
    <s v="Furniture"/>
    <x v="0"/>
    <s v="Hon Metal Bookcases, Black"/>
    <n v="193.06559999999999"/>
    <n v="4"/>
    <n v="-19.874400000000001"/>
    <x v="4"/>
    <x v="2"/>
  </r>
  <r>
    <x v="631"/>
    <x v="362"/>
    <m/>
    <n v="42984"/>
    <x v="2"/>
    <s v="HW-14935"/>
    <s v="Helen Wasserman"/>
    <x v="1"/>
    <s v="United States"/>
    <x v="9"/>
    <x v="8"/>
    <x v="3"/>
    <s v="FUR-BO-10000112"/>
    <s v="Furniture"/>
    <x v="0"/>
    <s v="Bush Birmingham Collection Bookcase, Dark Cherry"/>
    <n v="825.17399999999998"/>
    <n v="9"/>
    <n v="-117.88200000000001"/>
    <x v="3"/>
    <x v="4"/>
  </r>
  <r>
    <x v="632"/>
    <x v="476"/>
    <m/>
    <n v="42180"/>
    <x v="2"/>
    <s v="MG-17875"/>
    <s v="Michael Grace"/>
    <x v="2"/>
    <s v="United States"/>
    <x v="14"/>
    <x v="8"/>
    <x v="3"/>
    <s v="FUR-TA-10002645"/>
    <s v="Furniture"/>
    <x v="2"/>
    <s v="Hon Rectangular Conference Tables"/>
    <n v="796.42499999999995"/>
    <n v="7"/>
    <n v="-525.64049999999997"/>
    <x v="0"/>
    <x v="2"/>
  </r>
  <r>
    <x v="633"/>
    <x v="126"/>
    <m/>
    <n v="42633"/>
    <x v="2"/>
    <s v="SV-20365"/>
    <s v="Seth Vernon"/>
    <x v="0"/>
    <s v="United States"/>
    <x v="29"/>
    <x v="15"/>
    <x v="2"/>
    <s v="FUR-FU-10002107"/>
    <s v="Furniture"/>
    <x v="3"/>
    <s v="Eldon Pizzaz Desk Accessories"/>
    <n v="5.3520000000000003"/>
    <n v="3"/>
    <n v="1.6055999999999999"/>
    <x v="3"/>
    <x v="4"/>
  </r>
  <r>
    <x v="633"/>
    <x v="126"/>
    <m/>
    <n v="42633"/>
    <x v="2"/>
    <s v="SV-20365"/>
    <s v="Seth Vernon"/>
    <x v="0"/>
    <s v="United States"/>
    <x v="29"/>
    <x v="15"/>
    <x v="2"/>
    <s v="FUR-CH-10002647"/>
    <s v="Furniture"/>
    <x v="1"/>
    <s v="Situations Contoured Folding Chairs, 4/Set"/>
    <n v="99.372"/>
    <n v="2"/>
    <n v="-7.0979999999999999"/>
    <x v="3"/>
    <x v="4"/>
  </r>
  <r>
    <x v="634"/>
    <x v="242"/>
    <m/>
    <n v="43040"/>
    <x v="2"/>
    <s v="RD-19810"/>
    <s v="Ross DeVincentis"/>
    <x v="2"/>
    <s v="United States"/>
    <x v="52"/>
    <x v="0"/>
    <x v="0"/>
    <s v="FUR-CH-10000553"/>
    <s v="Furniture"/>
    <x v="1"/>
    <s v="Metal Folding Chairs, Beige, 4/Carton"/>
    <n v="33.94"/>
    <n v="1"/>
    <n v="9.1638000000000002"/>
    <x v="3"/>
    <x v="1"/>
  </r>
  <r>
    <x v="635"/>
    <x v="477"/>
    <m/>
    <n v="42462"/>
    <x v="0"/>
    <s v="ME-17320"/>
    <s v="Maria Etezadi"/>
    <x v="2"/>
    <s v="United States"/>
    <x v="9"/>
    <x v="8"/>
    <x v="3"/>
    <s v="FUR-CH-10002965"/>
    <s v="Furniture"/>
    <x v="1"/>
    <s v="Global Leather Highback Executive Chair with Pneumatic Height Adjustment, Black"/>
    <n v="844.11599999999999"/>
    <n v="6"/>
    <n v="-36.176400000000001"/>
    <x v="4"/>
    <x v="9"/>
  </r>
  <r>
    <x v="636"/>
    <x v="478"/>
    <m/>
    <n v="42627"/>
    <x v="0"/>
    <s v="DB-12910"/>
    <s v="Daniel Byrd"/>
    <x v="2"/>
    <s v="United States"/>
    <x v="144"/>
    <x v="5"/>
    <x v="3"/>
    <s v="FUR-FU-10003832"/>
    <s v="Furniture"/>
    <x v="3"/>
    <s v="Eldon Expressions Punched Metal &amp; Wood Desk Accessories, Black &amp; Cherry"/>
    <n v="15.007999999999999"/>
    <n v="4"/>
    <n v="-12.006399999999999"/>
    <x v="2"/>
    <x v="4"/>
  </r>
  <r>
    <x v="637"/>
    <x v="81"/>
    <m/>
    <n v="42580"/>
    <x v="1"/>
    <s v="MT-17815"/>
    <s v="Meg Tillman"/>
    <x v="0"/>
    <s v="United States"/>
    <x v="38"/>
    <x v="21"/>
    <x v="0"/>
    <s v="FUR-TA-10004915"/>
    <s v="Furniture"/>
    <x v="2"/>
    <s v="Office Impressions End Table, 20-1/2&quot;H x 24&quot;W x 20&quot;D"/>
    <n v="2430.08"/>
    <n v="8"/>
    <n v="388.81279999999998"/>
    <x v="4"/>
    <x v="3"/>
  </r>
  <r>
    <x v="638"/>
    <x v="479"/>
    <m/>
    <n v="42354"/>
    <x v="1"/>
    <s v="KD-16495"/>
    <s v="Keith Dawkins"/>
    <x v="1"/>
    <s v="United States"/>
    <x v="38"/>
    <x v="17"/>
    <x v="3"/>
    <s v="FUR-TA-10003569"/>
    <s v="Furniture"/>
    <x v="2"/>
    <s v="Bretford CR8500 Series Meeting Room Furniture"/>
    <n v="801.96"/>
    <n v="2"/>
    <n v="200.49"/>
    <x v="6"/>
    <x v="5"/>
  </r>
  <r>
    <x v="638"/>
    <x v="479"/>
    <m/>
    <n v="42354"/>
    <x v="1"/>
    <s v="KD-16495"/>
    <s v="Keith Dawkins"/>
    <x v="1"/>
    <s v="United States"/>
    <x v="38"/>
    <x v="17"/>
    <x v="3"/>
    <s v="FUR-CH-10004289"/>
    <s v="Furniture"/>
    <x v="1"/>
    <s v="Global Super Steno Chair"/>
    <n v="191.96"/>
    <n v="2"/>
    <n v="32.633200000000002"/>
    <x v="6"/>
    <x v="5"/>
  </r>
  <r>
    <x v="639"/>
    <x v="383"/>
    <m/>
    <n v="41896"/>
    <x v="0"/>
    <s v="LC-17140"/>
    <s v="Logan Currie"/>
    <x v="0"/>
    <s v="United States"/>
    <x v="3"/>
    <x v="3"/>
    <x v="2"/>
    <s v="FUR-FU-10002456"/>
    <s v="Furniture"/>
    <x v="3"/>
    <s v="Master Caster Door Stop, Large Neon Orange"/>
    <n v="17.472000000000001"/>
    <n v="3"/>
    <n v="5.0232000000000001"/>
    <x v="2"/>
    <x v="4"/>
  </r>
  <r>
    <x v="640"/>
    <x v="317"/>
    <m/>
    <n v="41967"/>
    <x v="1"/>
    <s v="RB-19330"/>
    <s v="Randy Bradley"/>
    <x v="0"/>
    <s v="United States"/>
    <x v="3"/>
    <x v="3"/>
    <x v="2"/>
    <s v="FUR-CH-10004997"/>
    <s v="Furniture"/>
    <x v="1"/>
    <s v="Hon Every-Day Series Multi-Task Chairs"/>
    <n v="657.93"/>
    <n v="5"/>
    <n v="-93.99"/>
    <x v="1"/>
    <x v="0"/>
  </r>
  <r>
    <x v="641"/>
    <x v="67"/>
    <m/>
    <n v="42974"/>
    <x v="1"/>
    <s v="TH-21550"/>
    <s v="Tracy Hopkins"/>
    <x v="2"/>
    <s v="United States"/>
    <x v="11"/>
    <x v="32"/>
    <x v="2"/>
    <s v="FUR-FU-10003976"/>
    <s v="Furniture"/>
    <x v="3"/>
    <s v="DAX Executive Solid Wood Document Frame, Desktop or Hang, Mahogany, 5 x 7"/>
    <n v="25.16"/>
    <n v="2"/>
    <n v="8.5543999999999993"/>
    <x v="6"/>
    <x v="10"/>
  </r>
  <r>
    <x v="641"/>
    <x v="67"/>
    <m/>
    <n v="42974"/>
    <x v="1"/>
    <s v="TH-21550"/>
    <s v="Tracy Hopkins"/>
    <x v="2"/>
    <s v="United States"/>
    <x v="11"/>
    <x v="32"/>
    <x v="2"/>
    <s v="FUR-FU-10004960"/>
    <s v="Furniture"/>
    <x v="3"/>
    <s v="Seth Thomas 12&quot; Clock w/ Goldtone Case"/>
    <n v="91.92"/>
    <n v="4"/>
    <n v="31.252800000000001"/>
    <x v="6"/>
    <x v="10"/>
  </r>
  <r>
    <x v="642"/>
    <x v="49"/>
    <m/>
    <n v="43060"/>
    <x v="2"/>
    <s v="SC-20770"/>
    <s v="Stewart Carmichael"/>
    <x v="1"/>
    <s v="United States"/>
    <x v="21"/>
    <x v="5"/>
    <x v="3"/>
    <s v="FUR-TA-10002622"/>
    <s v="Furniture"/>
    <x v="2"/>
    <s v="Bush Andora Conference Table, Maple/Graphite Gray Finish"/>
    <n v="718.11599999999999"/>
    <n v="6"/>
    <n v="-71.811599999999999"/>
    <x v="3"/>
    <x v="0"/>
  </r>
  <r>
    <x v="643"/>
    <x v="94"/>
    <m/>
    <n v="41901"/>
    <x v="1"/>
    <s v="JC-15775"/>
    <s v="John Castell"/>
    <x v="0"/>
    <s v="United States"/>
    <x v="216"/>
    <x v="24"/>
    <x v="0"/>
    <s v="FUR-FU-10002878"/>
    <s v="Furniture"/>
    <x v="3"/>
    <s v="Seth Thomas 14&quot; Day/Date Wall Clock"/>
    <n v="142.4"/>
    <n v="5"/>
    <n v="52.688000000000002"/>
    <x v="2"/>
    <x v="4"/>
  </r>
  <r>
    <x v="644"/>
    <x v="405"/>
    <m/>
    <n v="42876"/>
    <x v="0"/>
    <s v="BC-11125"/>
    <s v="Becky Castell"/>
    <x v="2"/>
    <s v="United States"/>
    <x v="28"/>
    <x v="2"/>
    <x v="1"/>
    <s v="FUR-CH-10002647"/>
    <s v="Furniture"/>
    <x v="1"/>
    <s v="Situations Contoured Folding Chairs, 4/Set"/>
    <n v="681.40800000000002"/>
    <n v="12"/>
    <n v="42.588000000000001"/>
    <x v="3"/>
    <x v="7"/>
  </r>
  <r>
    <x v="645"/>
    <x v="480"/>
    <m/>
    <n v="42688"/>
    <x v="1"/>
    <s v="PP-18955"/>
    <s v="Paul Prost"/>
    <x v="2"/>
    <s v="United States"/>
    <x v="76"/>
    <x v="15"/>
    <x v="2"/>
    <s v="FUR-FU-10000758"/>
    <s v="Furniture"/>
    <x v="3"/>
    <s v="DAX Natural Wood-Tone Poster Frame"/>
    <n v="148.28800000000001"/>
    <n v="7"/>
    <n v="29.657599999999999"/>
    <x v="4"/>
    <x v="0"/>
  </r>
  <r>
    <x v="646"/>
    <x v="481"/>
    <m/>
    <n v="42080"/>
    <x v="1"/>
    <s v="EB-13750"/>
    <s v="Edward Becker"/>
    <x v="1"/>
    <s v="United States"/>
    <x v="217"/>
    <x v="1"/>
    <x v="0"/>
    <s v="FUR-FU-10003194"/>
    <s v="Furniture"/>
    <x v="3"/>
    <s v="Eldon Expressions Desk Accessory, Wood Pencil Holder, Oak"/>
    <n v="30.88"/>
    <n v="4"/>
    <n v="3.86"/>
    <x v="2"/>
    <x v="9"/>
  </r>
  <r>
    <x v="646"/>
    <x v="481"/>
    <m/>
    <n v="42080"/>
    <x v="1"/>
    <s v="EB-13750"/>
    <s v="Edward Becker"/>
    <x v="1"/>
    <s v="United States"/>
    <x v="217"/>
    <x v="1"/>
    <x v="0"/>
    <s v="FUR-FU-10001731"/>
    <s v="Furniture"/>
    <x v="3"/>
    <s v="Acrylic Self-Standing Desk Frames"/>
    <n v="6.4080000000000004"/>
    <n v="3"/>
    <n v="1.4418"/>
    <x v="2"/>
    <x v="9"/>
  </r>
  <r>
    <x v="647"/>
    <x v="200"/>
    <m/>
    <n v="43050"/>
    <x v="1"/>
    <s v="ML-17410"/>
    <s v="Maris LaWare"/>
    <x v="0"/>
    <s v="United States"/>
    <x v="3"/>
    <x v="3"/>
    <x v="2"/>
    <s v="FUR-CH-10003774"/>
    <s v="Furniture"/>
    <x v="1"/>
    <s v="Global Wood Trimmed Manager's Task Chair, Khaki"/>
    <n v="127.372"/>
    <n v="2"/>
    <n v="-30.933199999999999"/>
    <x v="2"/>
    <x v="0"/>
  </r>
  <r>
    <x v="648"/>
    <x v="482"/>
    <m/>
    <n v="42347"/>
    <x v="1"/>
    <s v="MH-17620"/>
    <s v="Matt Hagelstein"/>
    <x v="1"/>
    <s v="United States"/>
    <x v="53"/>
    <x v="2"/>
    <x v="1"/>
    <s v="FUR-FU-10004090"/>
    <s v="Furniture"/>
    <x v="3"/>
    <s v="Executive Impressions 14&quot; Contract Wall Clock"/>
    <n v="44.46"/>
    <n v="2"/>
    <n v="14.671799999999999"/>
    <x v="4"/>
    <x v="5"/>
  </r>
  <r>
    <x v="649"/>
    <x v="483"/>
    <m/>
    <n v="42199"/>
    <x v="1"/>
    <s v="BT-11680"/>
    <s v="Brian Thompson"/>
    <x v="0"/>
    <s v="United States"/>
    <x v="218"/>
    <x v="32"/>
    <x v="2"/>
    <s v="FUR-FU-10002918"/>
    <s v="Furniture"/>
    <x v="3"/>
    <s v="Eldon ClusterMat Chair Mat with Cordless Antistatic Protection"/>
    <n v="181.96"/>
    <n v="2"/>
    <n v="20.015599999999999"/>
    <x v="2"/>
    <x v="3"/>
  </r>
  <r>
    <x v="650"/>
    <x v="484"/>
    <m/>
    <n v="42310"/>
    <x v="0"/>
    <s v="FA-14230"/>
    <s v="Frank Atkinson"/>
    <x v="1"/>
    <s v="United States"/>
    <x v="22"/>
    <x v="12"/>
    <x v="1"/>
    <s v="FUR-FU-10003026"/>
    <s v="Furniture"/>
    <x v="3"/>
    <s v="Eldon Regeneration Recycled Desk Accessories, Black"/>
    <n v="15.488"/>
    <n v="4"/>
    <n v="3.6783999999999999"/>
    <x v="0"/>
    <x v="1"/>
  </r>
  <r>
    <x v="651"/>
    <x v="485"/>
    <m/>
    <n v="42329"/>
    <x v="0"/>
    <s v="TC-21475"/>
    <s v="Tony Chapman"/>
    <x v="2"/>
    <s v="United States"/>
    <x v="15"/>
    <x v="13"/>
    <x v="1"/>
    <s v="FUR-FU-10000305"/>
    <s v="Furniture"/>
    <x v="3"/>
    <s v="Tenex V2T-RE Standard Weight Series Chair Mat, 45&quot; x 53&quot;, Lip 25&quot; x 12&quot;"/>
    <n v="141.96"/>
    <n v="2"/>
    <n v="22.7136"/>
    <x v="3"/>
    <x v="0"/>
  </r>
  <r>
    <x v="652"/>
    <x v="455"/>
    <m/>
    <n v="43098"/>
    <x v="1"/>
    <s v="AC-10615"/>
    <s v="Ann Chong"/>
    <x v="1"/>
    <s v="United States"/>
    <x v="77"/>
    <x v="7"/>
    <x v="2"/>
    <s v="FUR-FU-10001602"/>
    <s v="Furniture"/>
    <x v="3"/>
    <s v="Eldon Delta Triangular Chair Mat, 52&quot; x 58&quot;, Clear"/>
    <n v="37.93"/>
    <n v="1"/>
    <n v="6.8273999999999999"/>
    <x v="2"/>
    <x v="5"/>
  </r>
  <r>
    <x v="653"/>
    <x v="486"/>
    <m/>
    <n v="42382"/>
    <x v="0"/>
    <s v="MF-17665"/>
    <s v="Maureen Fritzler"/>
    <x v="1"/>
    <s v="United States"/>
    <x v="219"/>
    <x v="15"/>
    <x v="2"/>
    <s v="FUR-FU-10002445"/>
    <s v="Furniture"/>
    <x v="3"/>
    <s v="DAX Two-Tone Rosewood/Black Document Frame, Desktop, 5 x 7"/>
    <n v="15.167999999999999"/>
    <n v="2"/>
    <n v="3.7919999999999998"/>
    <x v="4"/>
    <x v="8"/>
  </r>
  <r>
    <x v="654"/>
    <x v="255"/>
    <m/>
    <n v="41970"/>
    <x v="1"/>
    <s v="SS-20140"/>
    <s v="Saphhira Shifley"/>
    <x v="1"/>
    <s v="United States"/>
    <x v="220"/>
    <x v="5"/>
    <x v="3"/>
    <s v="FUR-FU-10001940"/>
    <s v="Furniture"/>
    <x v="3"/>
    <s v="Staple-based wall hangings"/>
    <n v="6.3680000000000003"/>
    <n v="2"/>
    <n v="-2.5472000000000001"/>
    <x v="4"/>
    <x v="0"/>
  </r>
  <r>
    <x v="655"/>
    <x v="487"/>
    <m/>
    <n v="43025"/>
    <x v="2"/>
    <s v="RS-19765"/>
    <s v="Roland Schwarz"/>
    <x v="1"/>
    <s v="United States"/>
    <x v="2"/>
    <x v="2"/>
    <x v="1"/>
    <s v="FUR-TA-10001705"/>
    <s v="Furniture"/>
    <x v="2"/>
    <s v="Bush Advantage Collection Round Conference Table"/>
    <n v="510.24"/>
    <n v="3"/>
    <n v="6.3780000000000001"/>
    <x v="3"/>
    <x v="1"/>
  </r>
  <r>
    <x v="656"/>
    <x v="488"/>
    <m/>
    <n v="42849"/>
    <x v="2"/>
    <s v="JW-15955"/>
    <s v="Joni Wasserman"/>
    <x v="0"/>
    <s v="United States"/>
    <x v="15"/>
    <x v="13"/>
    <x v="1"/>
    <s v="FUR-FU-10004622"/>
    <s v="Furniture"/>
    <x v="3"/>
    <s v="Eldon Advantage Foldable Chair Mats for Low Pile Carpets"/>
    <n v="162.6"/>
    <n v="3"/>
    <n v="34.146000000000001"/>
    <x v="0"/>
    <x v="6"/>
  </r>
  <r>
    <x v="657"/>
    <x v="489"/>
    <m/>
    <n v="41983"/>
    <x v="0"/>
    <s v="JK-15625"/>
    <s v="Jim Karlsson"/>
    <x v="0"/>
    <s v="United States"/>
    <x v="84"/>
    <x v="13"/>
    <x v="1"/>
    <s v="FUR-CH-10002602"/>
    <s v="Furniture"/>
    <x v="1"/>
    <s v="DMI Arturo Collection Mission-style Design Wood Chair"/>
    <n v="603.91999999999996"/>
    <n v="5"/>
    <n v="45.293999999999997"/>
    <x v="3"/>
    <x v="5"/>
  </r>
  <r>
    <x v="658"/>
    <x v="490"/>
    <m/>
    <n v="42728"/>
    <x v="1"/>
    <s v="AB-10255"/>
    <s v="Alejandro Ballentine"/>
    <x v="2"/>
    <s v="United States"/>
    <x v="38"/>
    <x v="21"/>
    <x v="0"/>
    <s v="FUR-FU-10001918"/>
    <s v="Furniture"/>
    <x v="3"/>
    <s v="C-Line Cubicle Keepers Polyproplyene Holder With Velcro Backings"/>
    <n v="18.920000000000002"/>
    <n v="4"/>
    <n v="7.3788"/>
    <x v="4"/>
    <x v="5"/>
  </r>
  <r>
    <x v="659"/>
    <x v="491"/>
    <m/>
    <n v="42805"/>
    <x v="0"/>
    <s v="RM-19750"/>
    <s v="Roland Murray"/>
    <x v="0"/>
    <s v="United States"/>
    <x v="13"/>
    <x v="7"/>
    <x v="2"/>
    <s v="FUR-FU-10002554"/>
    <s v="Furniture"/>
    <x v="3"/>
    <s v="Westinghouse Floor Lamp with Metal Mesh Shade, Black"/>
    <n v="71.97"/>
    <n v="3"/>
    <n v="16.553100000000001"/>
    <x v="2"/>
    <x v="9"/>
  </r>
  <r>
    <x v="660"/>
    <x v="348"/>
    <m/>
    <n v="42641"/>
    <x v="0"/>
    <s v="RA-19915"/>
    <s v="Russell Applegate"/>
    <x v="0"/>
    <s v="United States"/>
    <x v="29"/>
    <x v="24"/>
    <x v="0"/>
    <s v="FUR-CH-10002084"/>
    <s v="Furniture"/>
    <x v="1"/>
    <s v="Hon Mobius Operator's Chair"/>
    <n v="368.97"/>
    <n v="3"/>
    <n v="81.173400000000001"/>
    <x v="2"/>
    <x v="4"/>
  </r>
  <r>
    <x v="661"/>
    <x v="60"/>
    <m/>
    <n v="42976"/>
    <x v="0"/>
    <s v="DR-12880"/>
    <s v="Dan Reichenbach"/>
    <x v="1"/>
    <s v="United States"/>
    <x v="209"/>
    <x v="2"/>
    <x v="1"/>
    <s v="FUR-FU-10002937"/>
    <s v="Furniture"/>
    <x v="3"/>
    <s v="GE 48&quot; Fluorescent Tube, Cool White Energy Saver, 34 Watts, 30/Box"/>
    <n v="198.46"/>
    <n v="2"/>
    <n v="99.23"/>
    <x v="3"/>
    <x v="10"/>
  </r>
  <r>
    <x v="661"/>
    <x v="60"/>
    <m/>
    <n v="42976"/>
    <x v="0"/>
    <s v="DR-12880"/>
    <s v="Dan Reichenbach"/>
    <x v="1"/>
    <s v="United States"/>
    <x v="209"/>
    <x v="2"/>
    <x v="1"/>
    <s v="FUR-CH-10004886"/>
    <s v="Furniture"/>
    <x v="1"/>
    <s v="Bevis Steel Folding Chairs"/>
    <n v="230.28"/>
    <n v="3"/>
    <n v="23.027999999999999"/>
    <x v="3"/>
    <x v="10"/>
  </r>
  <r>
    <x v="662"/>
    <x v="492"/>
    <m/>
    <n v="42435"/>
    <x v="2"/>
    <s v="JG-15310"/>
    <s v="Jason Gross"/>
    <x v="1"/>
    <s v="United States"/>
    <x v="221"/>
    <x v="5"/>
    <x v="3"/>
    <s v="FUR-CH-10004983"/>
    <s v="Furniture"/>
    <x v="1"/>
    <s v="Office Star - Mid Back Dual function Ergonomic High Back Chair with 2-Way Adjustable Arms"/>
    <n v="563.42999999999995"/>
    <n v="5"/>
    <n v="-56.343000000000004"/>
    <x v="0"/>
    <x v="9"/>
  </r>
  <r>
    <x v="663"/>
    <x v="493"/>
    <m/>
    <n v="42270"/>
    <x v="1"/>
    <s v="GB-14530"/>
    <s v="George Bell"/>
    <x v="1"/>
    <s v="United States"/>
    <x v="2"/>
    <x v="2"/>
    <x v="1"/>
    <s v="FUR-FU-10001591"/>
    <s v="Furniture"/>
    <x v="3"/>
    <s v="Advantus Panel Wall Certificate Holder - 8.5x11"/>
    <n v="24.4"/>
    <n v="2"/>
    <n v="10.247999999999999"/>
    <x v="2"/>
    <x v="4"/>
  </r>
  <r>
    <x v="664"/>
    <x v="494"/>
    <m/>
    <n v="42600"/>
    <x v="0"/>
    <s v="TS-21160"/>
    <s v="Theresa Swint"/>
    <x v="1"/>
    <s v="United States"/>
    <x v="222"/>
    <x v="16"/>
    <x v="3"/>
    <s v="FUR-BO-10001337"/>
    <s v="Furniture"/>
    <x v="0"/>
    <s v="O'Sullivan Living Dimensions 2-Shelf Bookcases"/>
    <n v="241.96"/>
    <n v="2"/>
    <n v="24.196000000000002"/>
    <x v="2"/>
    <x v="10"/>
  </r>
  <r>
    <x v="665"/>
    <x v="445"/>
    <m/>
    <n v="42454"/>
    <x v="1"/>
    <s v="DM-12955"/>
    <s v="Dario Medina"/>
    <x v="1"/>
    <s v="United States"/>
    <x v="6"/>
    <x v="5"/>
    <x v="3"/>
    <s v="FUR-TA-10004767"/>
    <s v="Furniture"/>
    <x v="2"/>
    <s v="Safco Drafting Table"/>
    <n v="99.372"/>
    <n v="2"/>
    <n v="-1.4196"/>
    <x v="4"/>
    <x v="9"/>
  </r>
  <r>
    <x v="666"/>
    <x v="439"/>
    <m/>
    <n v="41993"/>
    <x v="0"/>
    <s v="KB-16585"/>
    <s v="Ken Black"/>
    <x v="1"/>
    <s v="United States"/>
    <x v="173"/>
    <x v="1"/>
    <x v="0"/>
    <s v="FUR-CH-10000988"/>
    <s v="Furniture"/>
    <x v="1"/>
    <s v="Hon Olson Stacker Stools"/>
    <n v="1013.832"/>
    <n v="9"/>
    <n v="101.3832"/>
    <x v="4"/>
    <x v="5"/>
  </r>
  <r>
    <x v="667"/>
    <x v="495"/>
    <m/>
    <n v="42725"/>
    <x v="1"/>
    <s v="CM-12160"/>
    <s v="Charles McCrossin"/>
    <x v="0"/>
    <s v="United States"/>
    <x v="28"/>
    <x v="2"/>
    <x v="1"/>
    <s v="FUR-TA-10004256"/>
    <s v="Furniture"/>
    <x v="2"/>
    <s v="Bretford Ã’Just In TimeÃ“ Height-Adjustable Multi-Task Work Tables"/>
    <n v="2003.52"/>
    <n v="6"/>
    <n v="-325.572"/>
    <x v="4"/>
    <x v="5"/>
  </r>
  <r>
    <x v="668"/>
    <x v="496"/>
    <m/>
    <n v="42132"/>
    <x v="1"/>
    <s v="JB-16045"/>
    <s v="Julia Barnett"/>
    <x v="2"/>
    <s v="United States"/>
    <x v="223"/>
    <x v="2"/>
    <x v="1"/>
    <s v="FUR-FU-10002298"/>
    <s v="Furniture"/>
    <x v="3"/>
    <s v="Rubbermaid ClusterMat Chairmats, Mat Size- 66&quot; x 60&quot;, Lip 20&quot; x 11&quot; -90 Degree Angle"/>
    <n v="665.88"/>
    <n v="6"/>
    <n v="106.5408"/>
    <x v="2"/>
    <x v="7"/>
  </r>
  <r>
    <x v="669"/>
    <x v="497"/>
    <m/>
    <n v="41672"/>
    <x v="1"/>
    <s v="EJ-13720"/>
    <s v="Ed Jacobs"/>
    <x v="0"/>
    <s v="United States"/>
    <x v="53"/>
    <x v="2"/>
    <x v="1"/>
    <s v="FUR-TA-10003469"/>
    <s v="Furniture"/>
    <x v="2"/>
    <s v="Balt Split Level Computer Training Table"/>
    <n v="333"/>
    <n v="3"/>
    <n v="-16.649999999999999"/>
    <x v="6"/>
    <x v="8"/>
  </r>
  <r>
    <x v="670"/>
    <x v="498"/>
    <m/>
    <n v="43044"/>
    <x v="2"/>
    <s v="KL-16555"/>
    <s v="Kelly Lampkin"/>
    <x v="1"/>
    <s v="United States"/>
    <x v="224"/>
    <x v="30"/>
    <x v="0"/>
    <s v="FUR-TA-10004575"/>
    <s v="Furniture"/>
    <x v="2"/>
    <s v="Hon 5100 Series Wood Tables"/>
    <n v="523.76400000000001"/>
    <n v="3"/>
    <n v="-192.04679999999999"/>
    <x v="5"/>
    <x v="0"/>
  </r>
  <r>
    <x v="671"/>
    <x v="499"/>
    <m/>
    <n v="42663"/>
    <x v="1"/>
    <s v="NC-18415"/>
    <s v="Nathan Cano"/>
    <x v="0"/>
    <s v="United States"/>
    <x v="51"/>
    <x v="30"/>
    <x v="0"/>
    <s v="FUR-CH-10003606"/>
    <s v="Furniture"/>
    <x v="1"/>
    <s v="SAFCO Folding Chair Trolley"/>
    <n v="102.592"/>
    <n v="1"/>
    <n v="10.2592"/>
    <x v="6"/>
    <x v="1"/>
  </r>
  <r>
    <x v="672"/>
    <x v="500"/>
    <m/>
    <n v="42327"/>
    <x v="1"/>
    <s v="AH-10690"/>
    <s v="Anna HÅ berlin"/>
    <x v="1"/>
    <s v="United States"/>
    <x v="217"/>
    <x v="1"/>
    <x v="0"/>
    <s v="FUR-CH-10003298"/>
    <s v="Furniture"/>
    <x v="1"/>
    <s v="Office Star - Contemporary Task Swivel chair with Loop Arms, Charcoal"/>
    <n v="523.91999999999996"/>
    <n v="5"/>
    <n v="-72.039000000000001"/>
    <x v="1"/>
    <x v="0"/>
  </r>
  <r>
    <x v="672"/>
    <x v="500"/>
    <m/>
    <n v="42327"/>
    <x v="1"/>
    <s v="AH-10690"/>
    <s v="Anna HÅ berlin"/>
    <x v="1"/>
    <s v="United States"/>
    <x v="217"/>
    <x v="1"/>
    <x v="0"/>
    <s v="FUR-CH-10004477"/>
    <s v="Furniture"/>
    <x v="1"/>
    <s v="Global Push Button Manager's Chair, Indigo"/>
    <n v="146.136"/>
    <n v="3"/>
    <n v="16.440300000000001"/>
    <x v="1"/>
    <x v="0"/>
  </r>
  <r>
    <x v="673"/>
    <x v="195"/>
    <m/>
    <n v="42266"/>
    <x v="1"/>
    <s v="NW-18400"/>
    <s v="Natalie Webber"/>
    <x v="0"/>
    <s v="United States"/>
    <x v="212"/>
    <x v="33"/>
    <x v="0"/>
    <s v="FUR-TA-10003569"/>
    <s v="Furniture"/>
    <x v="2"/>
    <s v="Bretford CR8500 Series Meeting Room Furniture"/>
    <n v="801.96"/>
    <n v="2"/>
    <n v="200.49"/>
    <x v="4"/>
    <x v="4"/>
  </r>
  <r>
    <x v="673"/>
    <x v="195"/>
    <m/>
    <n v="42266"/>
    <x v="1"/>
    <s v="NW-18400"/>
    <s v="Natalie Webber"/>
    <x v="0"/>
    <s v="United States"/>
    <x v="212"/>
    <x v="33"/>
    <x v="0"/>
    <s v="FUR-CH-10004853"/>
    <s v="Furniture"/>
    <x v="1"/>
    <s v="Global Manager's Adjustable Task Chair, Storm"/>
    <n v="1056.8599999999999"/>
    <n v="7"/>
    <n v="306.48939999999999"/>
    <x v="4"/>
    <x v="4"/>
  </r>
  <r>
    <x v="674"/>
    <x v="224"/>
    <m/>
    <n v="43022"/>
    <x v="1"/>
    <s v="HG-14845"/>
    <s v="Harry Greene"/>
    <x v="0"/>
    <s v="United States"/>
    <x v="13"/>
    <x v="7"/>
    <x v="2"/>
    <s v="FUR-BO-10003034"/>
    <s v="Furniture"/>
    <x v="0"/>
    <s v="O'Sullivan Elevations Bookcase, Cherry Finish"/>
    <n v="314.35199999999998"/>
    <n v="3"/>
    <n v="-15.717599999999999"/>
    <x v="2"/>
    <x v="1"/>
  </r>
  <r>
    <x v="675"/>
    <x v="501"/>
    <m/>
    <n v="42866"/>
    <x v="1"/>
    <s v="RW-19540"/>
    <s v="Rick Wilson"/>
    <x v="1"/>
    <s v="United States"/>
    <x v="25"/>
    <x v="17"/>
    <x v="3"/>
    <s v="FUR-CH-10004086"/>
    <s v="Furniture"/>
    <x v="1"/>
    <s v="Hon 4070 Series Pagoda Armless Upholstered Stacking Chairs"/>
    <n v="1458.65"/>
    <n v="5"/>
    <n v="423.00850000000003"/>
    <x v="4"/>
    <x v="7"/>
  </r>
  <r>
    <x v="675"/>
    <x v="501"/>
    <m/>
    <n v="42866"/>
    <x v="1"/>
    <s v="RW-19540"/>
    <s v="Rick Wilson"/>
    <x v="1"/>
    <s v="United States"/>
    <x v="25"/>
    <x v="17"/>
    <x v="3"/>
    <s v="FUR-CH-10002017"/>
    <s v="Furniture"/>
    <x v="1"/>
    <s v="SAFCO Optional Arm Kit for Workspace Cribbage Stacking Chair"/>
    <n v="26.64"/>
    <n v="1"/>
    <n v="7.4592000000000001"/>
    <x v="4"/>
    <x v="7"/>
  </r>
  <r>
    <x v="675"/>
    <x v="501"/>
    <m/>
    <n v="42866"/>
    <x v="1"/>
    <s v="RW-19540"/>
    <s v="Rick Wilson"/>
    <x v="1"/>
    <s v="United States"/>
    <x v="25"/>
    <x v="17"/>
    <x v="3"/>
    <s v="FUR-CH-10000595"/>
    <s v="Furniture"/>
    <x v="1"/>
    <s v="Safco Contoured Stacking Chairs"/>
    <n v="476.8"/>
    <n v="2"/>
    <n v="119.2"/>
    <x v="4"/>
    <x v="7"/>
  </r>
  <r>
    <x v="676"/>
    <x v="502"/>
    <m/>
    <n v="42327"/>
    <x v="1"/>
    <s v="LS-17230"/>
    <s v="Lycoris Saunders"/>
    <x v="0"/>
    <s v="United States"/>
    <x v="63"/>
    <x v="14"/>
    <x v="2"/>
    <s v="FUR-FU-10004017"/>
    <s v="Furniture"/>
    <x v="3"/>
    <s v="Executive Impressions 13&quot; Chairman Wall Clock"/>
    <n v="76.14"/>
    <n v="3"/>
    <n v="26.649000000000001"/>
    <x v="2"/>
    <x v="0"/>
  </r>
  <r>
    <x v="677"/>
    <x v="168"/>
    <m/>
    <n v="41967"/>
    <x v="3"/>
    <s v="MY-18295"/>
    <s v="Muhammed Yedwab"/>
    <x v="1"/>
    <s v="United States"/>
    <x v="29"/>
    <x v="15"/>
    <x v="2"/>
    <s v="FUR-CH-10000847"/>
    <s v="Furniture"/>
    <x v="1"/>
    <s v="Global Executive Mid-Back Manager's Chair"/>
    <n v="611.05799999999999"/>
    <n v="3"/>
    <n v="-34.9176"/>
    <x v="7"/>
    <x v="0"/>
  </r>
  <r>
    <x v="678"/>
    <x v="503"/>
    <m/>
    <n v="41853"/>
    <x v="1"/>
    <s v="KM-16720"/>
    <s v="Kunst Miller"/>
    <x v="0"/>
    <s v="United States"/>
    <x v="111"/>
    <x v="34"/>
    <x v="1"/>
    <s v="FUR-CH-10003312"/>
    <s v="Furniture"/>
    <x v="1"/>
    <s v="Hon 2090 Ã’Pillow SoftÃ“ Series Mid Back Swivel/Tilt Chairs"/>
    <n v="674.35199999999998"/>
    <n v="3"/>
    <n v="-109.5822"/>
    <x v="1"/>
    <x v="3"/>
  </r>
  <r>
    <x v="678"/>
    <x v="503"/>
    <m/>
    <n v="41853"/>
    <x v="1"/>
    <s v="KM-16720"/>
    <s v="Kunst Miller"/>
    <x v="0"/>
    <s v="United States"/>
    <x v="111"/>
    <x v="34"/>
    <x v="1"/>
    <s v="FUR-FU-10004018"/>
    <s v="Furniture"/>
    <x v="3"/>
    <s v="Tensor Computer Mounted Lamp"/>
    <n v="134.01"/>
    <n v="9"/>
    <n v="36.182699999999997"/>
    <x v="1"/>
    <x v="3"/>
  </r>
  <r>
    <x v="679"/>
    <x v="391"/>
    <m/>
    <n v="41802"/>
    <x v="1"/>
    <s v="KE-16420"/>
    <s v="Katrina Edelman"/>
    <x v="1"/>
    <s v="United States"/>
    <x v="203"/>
    <x v="9"/>
    <x v="0"/>
    <s v="FUR-CH-10002647"/>
    <s v="Furniture"/>
    <x v="1"/>
    <s v="Situations Contoured Folding Chairs, 4/Set"/>
    <n v="170.352"/>
    <n v="3"/>
    <n v="10.647"/>
    <x v="4"/>
    <x v="2"/>
  </r>
  <r>
    <x v="680"/>
    <x v="504"/>
    <m/>
    <n v="41943"/>
    <x v="2"/>
    <s v="TS-21370"/>
    <s v="Todd Sumrall"/>
    <x v="1"/>
    <s v="United States"/>
    <x v="2"/>
    <x v="2"/>
    <x v="1"/>
    <s v="FUR-BO-10001337"/>
    <s v="Furniture"/>
    <x v="0"/>
    <s v="O'Sullivan Living Dimensions 2-Shelf Bookcases"/>
    <n v="616.99800000000005"/>
    <n v="6"/>
    <n v="-36.293999999999997"/>
    <x v="0"/>
    <x v="1"/>
  </r>
  <r>
    <x v="681"/>
    <x v="231"/>
    <m/>
    <n v="42268"/>
    <x v="3"/>
    <s v="DH-13675"/>
    <s v="Duane Huffman"/>
    <x v="2"/>
    <s v="United States"/>
    <x v="202"/>
    <x v="20"/>
    <x v="2"/>
    <s v="FUR-FU-10004006"/>
    <s v="Furniture"/>
    <x v="3"/>
    <s v="Deflect-o DuraMat Lighweight, Studded, Beveled Mat for Low Pile Carpeting"/>
    <n v="85.3"/>
    <n v="2"/>
    <n v="14.500999999999999"/>
    <x v="7"/>
    <x v="4"/>
  </r>
  <r>
    <x v="682"/>
    <x v="505"/>
    <m/>
    <n v="42896"/>
    <x v="1"/>
    <s v="GH-14410"/>
    <s v="Gary Hansen"/>
    <x v="2"/>
    <s v="United States"/>
    <x v="28"/>
    <x v="2"/>
    <x v="1"/>
    <s v="FUR-FU-10004164"/>
    <s v="Furniture"/>
    <x v="3"/>
    <s v="Eldon 300 Class Desk Accessories, Black"/>
    <n v="4.95"/>
    <n v="1"/>
    <n v="2.1779999999999999"/>
    <x v="4"/>
    <x v="2"/>
  </r>
  <r>
    <x v="683"/>
    <x v="506"/>
    <m/>
    <n v="42788"/>
    <x v="1"/>
    <s v="JK-16120"/>
    <s v="Julie Kriz"/>
    <x v="2"/>
    <s v="United States"/>
    <x v="9"/>
    <x v="8"/>
    <x v="3"/>
    <s v="FUR-TA-10001932"/>
    <s v="Furniture"/>
    <x v="2"/>
    <s v="Chromcraft 48&quot; x 96&quot; Racetrack Double Pedestal Table"/>
    <n v="480.96"/>
    <n v="3"/>
    <n v="-269.33760000000001"/>
    <x v="2"/>
    <x v="11"/>
  </r>
  <r>
    <x v="684"/>
    <x v="44"/>
    <m/>
    <n v="42341"/>
    <x v="1"/>
    <s v="LC-16885"/>
    <s v="Lena Creighton"/>
    <x v="0"/>
    <s v="United States"/>
    <x v="225"/>
    <x v="8"/>
    <x v="3"/>
    <s v="FUR-FU-10004904"/>
    <s v="Furniture"/>
    <x v="3"/>
    <s v="Eldon &quot;L&quot; Workstation Diamond Chairmat"/>
    <n v="151.96"/>
    <n v="5"/>
    <n v="-182.352"/>
    <x v="2"/>
    <x v="0"/>
  </r>
  <r>
    <x v="685"/>
    <x v="507"/>
    <m/>
    <n v="42304"/>
    <x v="0"/>
    <s v="JF-15355"/>
    <s v="Jay Fein"/>
    <x v="0"/>
    <s v="United States"/>
    <x v="53"/>
    <x v="2"/>
    <x v="1"/>
    <s v="FUR-CH-10004495"/>
    <s v="Furniture"/>
    <x v="1"/>
    <s v="Global Leather and Oak Executive Chair, Black"/>
    <n v="240.78399999999999"/>
    <n v="1"/>
    <n v="27.088200000000001"/>
    <x v="4"/>
    <x v="1"/>
  </r>
  <r>
    <x v="685"/>
    <x v="507"/>
    <m/>
    <n v="42304"/>
    <x v="0"/>
    <s v="JF-15355"/>
    <s v="Jay Fein"/>
    <x v="0"/>
    <s v="United States"/>
    <x v="53"/>
    <x v="2"/>
    <x v="1"/>
    <s v="FUR-CH-10004540"/>
    <s v="Furniture"/>
    <x v="1"/>
    <s v="Global Chrome Stack Chair"/>
    <n v="191.96799999999999"/>
    <n v="7"/>
    <n v="16.7972"/>
    <x v="4"/>
    <x v="1"/>
  </r>
  <r>
    <x v="685"/>
    <x v="507"/>
    <m/>
    <n v="42304"/>
    <x v="0"/>
    <s v="JF-15355"/>
    <s v="Jay Fein"/>
    <x v="0"/>
    <s v="United States"/>
    <x v="53"/>
    <x v="2"/>
    <x v="1"/>
    <s v="FUR-CH-10001854"/>
    <s v="Furniture"/>
    <x v="1"/>
    <s v="Office Star - Professional Matrix Back Chair with 2-to-1 Synchro Tilt and Mesh Fabric Seat"/>
    <n v="842.35199999999998"/>
    <n v="3"/>
    <n v="42.117600000000003"/>
    <x v="4"/>
    <x v="1"/>
  </r>
  <r>
    <x v="686"/>
    <x v="508"/>
    <m/>
    <n v="42175"/>
    <x v="1"/>
    <s v="PF-19120"/>
    <s v="Peter Fuller"/>
    <x v="0"/>
    <s v="United States"/>
    <x v="171"/>
    <x v="22"/>
    <x v="1"/>
    <s v="FUR-FU-10004904"/>
    <s v="Furniture"/>
    <x v="3"/>
    <s v="Eldon &quot;L&quot; Workstation Diamond Chairmat"/>
    <n v="364.70400000000001"/>
    <n v="6"/>
    <n v="-36.470399999999998"/>
    <x v="2"/>
    <x v="2"/>
  </r>
  <r>
    <x v="686"/>
    <x v="508"/>
    <m/>
    <n v="42175"/>
    <x v="1"/>
    <s v="PF-19120"/>
    <s v="Peter Fuller"/>
    <x v="0"/>
    <s v="United States"/>
    <x v="171"/>
    <x v="22"/>
    <x v="1"/>
    <s v="FUR-FU-10002396"/>
    <s v="Furniture"/>
    <x v="3"/>
    <s v="DAX Copper Panel Document Frame, 5 x 7 Size"/>
    <n v="40.256"/>
    <n v="4"/>
    <n v="11.070399999999999"/>
    <x v="2"/>
    <x v="2"/>
  </r>
  <r>
    <x v="687"/>
    <x v="243"/>
    <m/>
    <n v="42704"/>
    <x v="1"/>
    <s v="SP-20860"/>
    <s v="Sung Pak"/>
    <x v="1"/>
    <s v="United States"/>
    <x v="2"/>
    <x v="2"/>
    <x v="1"/>
    <s v="FUR-CH-10001394"/>
    <s v="Furniture"/>
    <x v="1"/>
    <s v="Global Leather Executive Chair"/>
    <n v="1684.752"/>
    <n v="6"/>
    <n v="210.59399999999999"/>
    <x v="6"/>
    <x v="0"/>
  </r>
  <r>
    <x v="688"/>
    <x v="509"/>
    <m/>
    <n v="42104"/>
    <x v="1"/>
    <s v="VT-21700"/>
    <s v="Valerie Takahito"/>
    <x v="2"/>
    <s v="United States"/>
    <x v="3"/>
    <x v="3"/>
    <x v="2"/>
    <s v="FUR-FU-10001468"/>
    <s v="Furniture"/>
    <x v="3"/>
    <s v="Tenex Antistatic Computer Chair Mats"/>
    <n v="547.13599999999997"/>
    <n v="4"/>
    <n v="-68.391999999999996"/>
    <x v="2"/>
    <x v="6"/>
  </r>
  <r>
    <x v="688"/>
    <x v="509"/>
    <m/>
    <n v="42104"/>
    <x v="1"/>
    <s v="VT-21700"/>
    <s v="Valerie Takahito"/>
    <x v="2"/>
    <s v="United States"/>
    <x v="3"/>
    <x v="3"/>
    <x v="2"/>
    <s v="FUR-FU-10001037"/>
    <s v="Furniture"/>
    <x v="3"/>
    <s v="DAX Charcoal/Nickel-Tone Document Frame, 5 x 7"/>
    <n v="7.5839999999999996"/>
    <n v="1"/>
    <n v="2.37"/>
    <x v="2"/>
    <x v="6"/>
  </r>
  <r>
    <x v="688"/>
    <x v="509"/>
    <m/>
    <n v="42104"/>
    <x v="1"/>
    <s v="VT-21700"/>
    <s v="Valerie Takahito"/>
    <x v="2"/>
    <s v="United States"/>
    <x v="3"/>
    <x v="3"/>
    <x v="2"/>
    <s v="FUR-BO-10004218"/>
    <s v="Furniture"/>
    <x v="0"/>
    <s v="Bush Heritage Pine Collection 5-Shelf Bookcase, Albany Pine Finish, *Special Order"/>
    <n v="352.45"/>
    <n v="5"/>
    <n v="-211.47"/>
    <x v="2"/>
    <x v="6"/>
  </r>
  <r>
    <x v="689"/>
    <x v="510"/>
    <m/>
    <n v="43003"/>
    <x v="1"/>
    <s v="MM-18280"/>
    <s v="Muhammed MacIntyre"/>
    <x v="1"/>
    <s v="United States"/>
    <x v="13"/>
    <x v="7"/>
    <x v="2"/>
    <s v="FUR-FU-10002268"/>
    <s v="Furniture"/>
    <x v="3"/>
    <s v="Ultra Door Push Plate"/>
    <n v="9.82"/>
    <n v="2"/>
    <n v="3.2406000000000001"/>
    <x v="1"/>
    <x v="4"/>
  </r>
  <r>
    <x v="690"/>
    <x v="511"/>
    <m/>
    <n v="42939"/>
    <x v="1"/>
    <s v="ML-17410"/>
    <s v="Maris LaWare"/>
    <x v="0"/>
    <s v="United States"/>
    <x v="43"/>
    <x v="22"/>
    <x v="1"/>
    <s v="FUR-TA-10001932"/>
    <s v="Furniture"/>
    <x v="2"/>
    <s v="Chromcraft 48&quot; x 96&quot; Racetrack Double Pedestal Table"/>
    <n v="801.6"/>
    <n v="5"/>
    <n v="-448.89600000000002"/>
    <x v="2"/>
    <x v="3"/>
  </r>
  <r>
    <x v="690"/>
    <x v="511"/>
    <m/>
    <n v="42939"/>
    <x v="1"/>
    <s v="ML-17410"/>
    <s v="Maris LaWare"/>
    <x v="0"/>
    <s v="United States"/>
    <x v="43"/>
    <x v="22"/>
    <x v="1"/>
    <s v="FUR-CH-10004218"/>
    <s v="Furniture"/>
    <x v="1"/>
    <s v="Global Fabric Manager's Chair, Dark Gray"/>
    <n v="161.56800000000001"/>
    <n v="2"/>
    <n v="10.098000000000001"/>
    <x v="2"/>
    <x v="3"/>
  </r>
  <r>
    <x v="690"/>
    <x v="511"/>
    <m/>
    <n v="42939"/>
    <x v="1"/>
    <s v="ML-17410"/>
    <s v="Maris LaWare"/>
    <x v="0"/>
    <s v="United States"/>
    <x v="43"/>
    <x v="22"/>
    <x v="1"/>
    <s v="FUR-CH-10000513"/>
    <s v="Furniture"/>
    <x v="1"/>
    <s v="High-Back Leather Manager's Chair"/>
    <n v="311.976"/>
    <n v="3"/>
    <n v="-42.896700000000003"/>
    <x v="2"/>
    <x v="3"/>
  </r>
  <r>
    <x v="691"/>
    <x v="512"/>
    <m/>
    <n v="41903"/>
    <x v="1"/>
    <s v="BN-11515"/>
    <s v="Bradley Nguyen"/>
    <x v="0"/>
    <s v="United States"/>
    <x v="15"/>
    <x v="13"/>
    <x v="1"/>
    <s v="FUR-FU-10004671"/>
    <s v="Furniture"/>
    <x v="3"/>
    <s v="Executive Impressions 12&quot; Wall Clock"/>
    <n v="35.340000000000003"/>
    <n v="2"/>
    <n v="13.4292"/>
    <x v="4"/>
    <x v="4"/>
  </r>
  <r>
    <x v="692"/>
    <x v="269"/>
    <m/>
    <n v="42446"/>
    <x v="2"/>
    <s v="JS-15880"/>
    <s v="John Stevenson"/>
    <x v="0"/>
    <s v="United States"/>
    <x v="226"/>
    <x v="5"/>
    <x v="3"/>
    <s v="FUR-BO-10004409"/>
    <s v="Furniture"/>
    <x v="0"/>
    <s v="Safco Value Mate Series Steel Bookcases, Baked Enamel Finish on Steel, Gray"/>
    <n v="241.33199999999999"/>
    <n v="5"/>
    <n v="-14.196"/>
    <x v="0"/>
    <x v="9"/>
  </r>
  <r>
    <x v="693"/>
    <x v="513"/>
    <m/>
    <n v="42175"/>
    <x v="1"/>
    <s v="LS-17230"/>
    <s v="Lycoris Saunders"/>
    <x v="0"/>
    <s v="United States"/>
    <x v="141"/>
    <x v="5"/>
    <x v="3"/>
    <s v="FUR-CH-10001708"/>
    <s v="Furniture"/>
    <x v="1"/>
    <s v="Office Star - Contemporary Swivel Chair with Padded Adjustable Arms and Flex Back"/>
    <n v="197.37200000000001"/>
    <n v="2"/>
    <n v="-25.3764"/>
    <x v="4"/>
    <x v="2"/>
  </r>
  <r>
    <x v="694"/>
    <x v="43"/>
    <m/>
    <n v="42714"/>
    <x v="3"/>
    <s v="MH-17455"/>
    <s v="Mark Hamilton"/>
    <x v="0"/>
    <s v="United States"/>
    <x v="227"/>
    <x v="6"/>
    <x v="3"/>
    <s v="FUR-CH-10003379"/>
    <s v="Furniture"/>
    <x v="1"/>
    <s v="Global Commerce Series High-Back Swivel/Tilt Chairs"/>
    <n v="1424.9"/>
    <n v="5"/>
    <n v="356.22500000000002"/>
    <x v="7"/>
    <x v="5"/>
  </r>
  <r>
    <x v="695"/>
    <x v="514"/>
    <m/>
    <n v="42878"/>
    <x v="1"/>
    <s v="TS-21340"/>
    <s v="Toby Swindell"/>
    <x v="0"/>
    <s v="United States"/>
    <x v="13"/>
    <x v="7"/>
    <x v="2"/>
    <s v="FUR-FU-10002456"/>
    <s v="Furniture"/>
    <x v="3"/>
    <s v="Master Caster Door Stop, Large Neon Orange"/>
    <n v="14.56"/>
    <n v="2"/>
    <n v="6.2607999999999997"/>
    <x v="2"/>
    <x v="7"/>
  </r>
  <r>
    <x v="696"/>
    <x v="515"/>
    <m/>
    <n v="42696"/>
    <x v="1"/>
    <s v="SN-20710"/>
    <s v="Steve Nguyen"/>
    <x v="2"/>
    <s v="United States"/>
    <x v="102"/>
    <x v="5"/>
    <x v="3"/>
    <s v="FUR-CH-10003817"/>
    <s v="Furniture"/>
    <x v="1"/>
    <s v="Global Value Steno Chair, Gray"/>
    <n v="255.108"/>
    <n v="6"/>
    <n v="-18.222000000000001"/>
    <x v="4"/>
    <x v="0"/>
  </r>
  <r>
    <x v="697"/>
    <x v="516"/>
    <m/>
    <n v="41738"/>
    <x v="1"/>
    <s v="MS-17710"/>
    <s v="Maurice Satty"/>
    <x v="0"/>
    <s v="United States"/>
    <x v="25"/>
    <x v="17"/>
    <x v="3"/>
    <s v="FUR-FU-10004020"/>
    <s v="Furniture"/>
    <x v="3"/>
    <s v="Advantus Panel Wall Acrylic Frame"/>
    <n v="5.47"/>
    <n v="1"/>
    <n v="2.3521000000000001"/>
    <x v="2"/>
    <x v="6"/>
  </r>
  <r>
    <x v="698"/>
    <x v="517"/>
    <m/>
    <n v="42554"/>
    <x v="1"/>
    <s v="DN-13690"/>
    <s v="Duane Noonan"/>
    <x v="0"/>
    <s v="United States"/>
    <x v="28"/>
    <x v="2"/>
    <x v="1"/>
    <s v="FUR-FU-10002364"/>
    <s v="Furniture"/>
    <x v="3"/>
    <s v="Eldon Expressions Wood Desk Accessories, Oak"/>
    <n v="22.14"/>
    <n v="3"/>
    <n v="6.4206000000000003"/>
    <x v="1"/>
    <x v="2"/>
  </r>
  <r>
    <x v="699"/>
    <x v="518"/>
    <m/>
    <n v="42523"/>
    <x v="1"/>
    <s v="RB-19360"/>
    <s v="Raymond Buch"/>
    <x v="0"/>
    <s v="United States"/>
    <x v="228"/>
    <x v="9"/>
    <x v="0"/>
    <s v="FUR-FU-10001085"/>
    <s v="Furniture"/>
    <x v="3"/>
    <s v="3M Polarizing Light Filter Sleeves"/>
    <n v="44.76"/>
    <n v="3"/>
    <n v="14.547000000000001"/>
    <x v="4"/>
    <x v="7"/>
  </r>
  <r>
    <x v="700"/>
    <x v="519"/>
    <m/>
    <n v="42786"/>
    <x v="2"/>
    <s v="ED-13885"/>
    <s v="Emily Ducich"/>
    <x v="2"/>
    <s v="United States"/>
    <x v="2"/>
    <x v="2"/>
    <x v="1"/>
    <s v="FUR-FU-10004018"/>
    <s v="Furniture"/>
    <x v="3"/>
    <s v="Tensor Computer Mounted Lamp"/>
    <n v="44.67"/>
    <n v="3"/>
    <n v="12.0609"/>
    <x v="5"/>
    <x v="11"/>
  </r>
  <r>
    <x v="701"/>
    <x v="477"/>
    <m/>
    <n v="42462"/>
    <x v="1"/>
    <s v="JM-15250"/>
    <s v="Janet Martin"/>
    <x v="0"/>
    <s v="United States"/>
    <x v="13"/>
    <x v="7"/>
    <x v="2"/>
    <s v="FUR-FU-10004848"/>
    <s v="Furniture"/>
    <x v="3"/>
    <s v="Howard Miller 13-3/4&quot; Diameter Brushed Chrome Round Wall Clock"/>
    <n v="414"/>
    <n v="8"/>
    <n v="124.2"/>
    <x v="4"/>
    <x v="9"/>
  </r>
  <r>
    <x v="702"/>
    <x v="148"/>
    <m/>
    <n v="42667"/>
    <x v="2"/>
    <s v="EB-13930"/>
    <s v="Eric Barreto"/>
    <x v="0"/>
    <s v="United States"/>
    <x v="52"/>
    <x v="25"/>
    <x v="0"/>
    <s v="FUR-FU-10003731"/>
    <s v="Furniture"/>
    <x v="3"/>
    <s v="Eldon Expressions Wood and Plastic Desk Accessories, Oak"/>
    <n v="39.92"/>
    <n v="4"/>
    <n v="11.1776"/>
    <x v="3"/>
    <x v="1"/>
  </r>
  <r>
    <x v="703"/>
    <x v="520"/>
    <m/>
    <n v="42000"/>
    <x v="1"/>
    <s v="TH-21235"/>
    <s v="Tiffany House"/>
    <x v="1"/>
    <s v="United States"/>
    <x v="13"/>
    <x v="7"/>
    <x v="2"/>
    <s v="FUR-TA-10001676"/>
    <s v="Furniture"/>
    <x v="2"/>
    <s v="Hon 61000 Series Interactive Training Tables"/>
    <n v="53.316000000000003"/>
    <n v="2"/>
    <n v="-19.549199999999999"/>
    <x v="4"/>
    <x v="5"/>
  </r>
  <r>
    <x v="704"/>
    <x v="521"/>
    <m/>
    <n v="43089"/>
    <x v="1"/>
    <s v="PL-18925"/>
    <s v="Paul Lucas"/>
    <x v="2"/>
    <s v="United States"/>
    <x v="15"/>
    <x v="13"/>
    <x v="1"/>
    <s v="FUR-FU-10003096"/>
    <s v="Furniture"/>
    <x v="3"/>
    <s v="Master Giant Foot Doorstop, Safety Yellow"/>
    <n v="22.77"/>
    <n v="3"/>
    <n v="9.7911000000000001"/>
    <x v="2"/>
    <x v="5"/>
  </r>
  <r>
    <x v="705"/>
    <x v="281"/>
    <m/>
    <n v="42560"/>
    <x v="0"/>
    <s v="CC-12370"/>
    <s v="Christopher Conant"/>
    <x v="0"/>
    <s v="United States"/>
    <x v="2"/>
    <x v="2"/>
    <x v="1"/>
    <s v="FUR-CH-10003061"/>
    <s v="Furniture"/>
    <x v="1"/>
    <s v="Global Leather Task Chair, Black"/>
    <n v="287.96800000000002"/>
    <n v="4"/>
    <n v="-3.5996000000000001"/>
    <x v="3"/>
    <x v="3"/>
  </r>
  <r>
    <x v="706"/>
    <x v="380"/>
    <m/>
    <n v="42481"/>
    <x v="1"/>
    <s v="JM-15535"/>
    <s v="Jessica Myrick"/>
    <x v="0"/>
    <s v="United States"/>
    <x v="174"/>
    <x v="2"/>
    <x v="1"/>
    <s v="FUR-BO-10003441"/>
    <s v="Furniture"/>
    <x v="0"/>
    <s v="Bush Westfield Collection Bookcases, Fully Assembled"/>
    <n v="257.49900000000002"/>
    <n v="3"/>
    <n v="24.235199999999999"/>
    <x v="4"/>
    <x v="6"/>
  </r>
  <r>
    <x v="707"/>
    <x v="380"/>
    <m/>
    <n v="42482"/>
    <x v="1"/>
    <s v="CS-12175"/>
    <s v="Charles Sheldon"/>
    <x v="1"/>
    <s v="United States"/>
    <x v="11"/>
    <x v="9"/>
    <x v="0"/>
    <s v="FUR-FU-10003798"/>
    <s v="Furniture"/>
    <x v="3"/>
    <s v="Ultra Door Kickplate, 8&quot;H x 34&quot;W"/>
    <n v="79.12"/>
    <n v="5"/>
    <n v="13.846"/>
    <x v="2"/>
    <x v="6"/>
  </r>
  <r>
    <x v="708"/>
    <x v="306"/>
    <m/>
    <n v="41970"/>
    <x v="0"/>
    <s v="AR-10540"/>
    <s v="Andy Reiter"/>
    <x v="0"/>
    <s v="United States"/>
    <x v="229"/>
    <x v="38"/>
    <x v="2"/>
    <s v="FUR-FU-10001095"/>
    <s v="Furniture"/>
    <x v="3"/>
    <s v="DAX Black Cherry Wood-Tone Poster Frame"/>
    <n v="52.96"/>
    <n v="2"/>
    <n v="20.1248"/>
    <x v="3"/>
    <x v="0"/>
  </r>
  <r>
    <x v="709"/>
    <x v="522"/>
    <m/>
    <n v="42129"/>
    <x v="1"/>
    <s v="DB-13120"/>
    <s v="David Bremer"/>
    <x v="1"/>
    <s v="United States"/>
    <x v="26"/>
    <x v="1"/>
    <x v="0"/>
    <s v="FUR-FU-10001095"/>
    <s v="Furniture"/>
    <x v="3"/>
    <s v="DAX Black Cherry Wood-Tone Poster Frame"/>
    <n v="63.552"/>
    <n v="3"/>
    <n v="14.299200000000001"/>
    <x v="4"/>
    <x v="7"/>
  </r>
  <r>
    <x v="710"/>
    <x v="523"/>
    <m/>
    <n v="42075"/>
    <x v="1"/>
    <s v="DK-12895"/>
    <s v="Dana Kaydos"/>
    <x v="0"/>
    <s v="United States"/>
    <x v="230"/>
    <x v="16"/>
    <x v="3"/>
    <s v="FUR-BO-10002916"/>
    <s v="Furniture"/>
    <x v="0"/>
    <s v="Rush Hierlooms Collection 1&quot; Thick Stackable Bookcases"/>
    <n v="512.94000000000005"/>
    <n v="3"/>
    <n v="97.458600000000004"/>
    <x v="4"/>
    <x v="9"/>
  </r>
  <r>
    <x v="710"/>
    <x v="523"/>
    <m/>
    <n v="42075"/>
    <x v="1"/>
    <s v="DK-12895"/>
    <s v="Dana Kaydos"/>
    <x v="0"/>
    <s v="United States"/>
    <x v="230"/>
    <x v="16"/>
    <x v="3"/>
    <s v="FUR-CH-10002084"/>
    <s v="Furniture"/>
    <x v="1"/>
    <s v="Hon Mobius Operator's Chair"/>
    <n v="860.93"/>
    <n v="7"/>
    <n v="189.40459999999999"/>
    <x v="4"/>
    <x v="9"/>
  </r>
  <r>
    <x v="710"/>
    <x v="523"/>
    <m/>
    <n v="42075"/>
    <x v="1"/>
    <s v="DK-12895"/>
    <s v="Dana Kaydos"/>
    <x v="0"/>
    <s v="United States"/>
    <x v="230"/>
    <x v="16"/>
    <x v="3"/>
    <s v="FUR-FU-10000308"/>
    <s v="Furniture"/>
    <x v="3"/>
    <s v="Deflect-o Glass Clear Studded Chair Mats"/>
    <n v="373.08"/>
    <n v="6"/>
    <n v="82.077600000000004"/>
    <x v="4"/>
    <x v="9"/>
  </r>
  <r>
    <x v="711"/>
    <x v="392"/>
    <m/>
    <n v="42205"/>
    <x v="0"/>
    <s v="MP-17965"/>
    <s v="Michael Paige"/>
    <x v="1"/>
    <s v="United States"/>
    <x v="231"/>
    <x v="1"/>
    <x v="0"/>
    <s v="FUR-BO-10004709"/>
    <s v="Furniture"/>
    <x v="0"/>
    <s v="Bush Westfield Collection Bookcases, Medium Cherry Finish"/>
    <n v="231.92"/>
    <n v="5"/>
    <n v="5.798"/>
    <x v="0"/>
    <x v="3"/>
  </r>
  <r>
    <x v="712"/>
    <x v="524"/>
    <m/>
    <n v="41928"/>
    <x v="1"/>
    <s v="Dp-13240"/>
    <s v="Dean percer"/>
    <x v="2"/>
    <s v="United States"/>
    <x v="15"/>
    <x v="13"/>
    <x v="1"/>
    <s v="FUR-FU-10001196"/>
    <s v="Furniture"/>
    <x v="3"/>
    <s v="DAX Cubicle Frames - 8x10"/>
    <n v="63.47"/>
    <n v="11"/>
    <n v="19.041"/>
    <x v="2"/>
    <x v="1"/>
  </r>
  <r>
    <x v="713"/>
    <x v="492"/>
    <m/>
    <n v="42437"/>
    <x v="1"/>
    <s v="CC-12220"/>
    <s v="Chris Cortes"/>
    <x v="0"/>
    <s v="United States"/>
    <x v="21"/>
    <x v="5"/>
    <x v="3"/>
    <s v="FUR-TA-10004915"/>
    <s v="Furniture"/>
    <x v="2"/>
    <s v="Office Impressions End Table, 20-1/2&quot;H x 24&quot;W x 20&quot;D"/>
    <n v="637.89599999999996"/>
    <n v="3"/>
    <n v="-127.5792"/>
    <x v="2"/>
    <x v="9"/>
  </r>
  <r>
    <x v="714"/>
    <x v="143"/>
    <m/>
    <n v="42740"/>
    <x v="1"/>
    <s v="SC-20725"/>
    <s v="Steven Cartwright"/>
    <x v="0"/>
    <s v="United States"/>
    <x v="2"/>
    <x v="2"/>
    <x v="1"/>
    <s v="FUR-FU-10001215"/>
    <s v="Furniture"/>
    <x v="3"/>
    <s v="Howard Miller 11-1/2&quot; Diameter Brentwood Wall Clock"/>
    <n v="474.43"/>
    <n v="11"/>
    <n v="199.26060000000001"/>
    <x v="4"/>
    <x v="8"/>
  </r>
  <r>
    <x v="715"/>
    <x v="525"/>
    <m/>
    <n v="41817"/>
    <x v="1"/>
    <s v="AA-10645"/>
    <s v="Anna Andreadi"/>
    <x v="0"/>
    <s v="United States"/>
    <x v="100"/>
    <x v="3"/>
    <x v="2"/>
    <s v="FUR-CH-10004698"/>
    <s v="Furniture"/>
    <x v="1"/>
    <s v="Padded Folding Chairs, Black, 4/Carton"/>
    <n v="170.05799999999999"/>
    <n v="3"/>
    <n v="-4.8587999999999996"/>
    <x v="2"/>
    <x v="2"/>
  </r>
  <r>
    <x v="715"/>
    <x v="525"/>
    <m/>
    <n v="41817"/>
    <x v="1"/>
    <s v="AA-10645"/>
    <s v="Anna Andreadi"/>
    <x v="0"/>
    <s v="United States"/>
    <x v="100"/>
    <x v="3"/>
    <x v="2"/>
    <s v="FUR-CH-10000454"/>
    <s v="Furniture"/>
    <x v="1"/>
    <s v="Hon Deluxe Fabric Upholstered Stacking Chairs, Rounded Back"/>
    <n v="853.93"/>
    <n v="5"/>
    <n v="0"/>
    <x v="2"/>
    <x v="2"/>
  </r>
  <r>
    <x v="716"/>
    <x v="526"/>
    <m/>
    <n v="43036"/>
    <x v="2"/>
    <s v="JO-15145"/>
    <s v="Jack O'Briant"/>
    <x v="1"/>
    <s v="United States"/>
    <x v="28"/>
    <x v="2"/>
    <x v="1"/>
    <s v="FUR-BO-10003034"/>
    <s v="Furniture"/>
    <x v="0"/>
    <s v="O'Sullivan Elevations Bookcase, Cherry Finish"/>
    <n v="556.66499999999996"/>
    <n v="5"/>
    <n v="6.5490000000000004"/>
    <x v="5"/>
    <x v="1"/>
  </r>
  <r>
    <x v="717"/>
    <x v="455"/>
    <m/>
    <n v="43097"/>
    <x v="1"/>
    <s v="CS-12355"/>
    <s v="Christine Sundaresam"/>
    <x v="0"/>
    <s v="United States"/>
    <x v="120"/>
    <x v="35"/>
    <x v="0"/>
    <s v="FUR-CH-10002439"/>
    <s v="Furniture"/>
    <x v="1"/>
    <s v="Iceberg Nesting Folding Chair, 19w x 6d x 43h"/>
    <n v="232.88"/>
    <n v="4"/>
    <n v="60.5488"/>
    <x v="4"/>
    <x v="5"/>
  </r>
  <r>
    <x v="718"/>
    <x v="527"/>
    <m/>
    <n v="42006"/>
    <x v="1"/>
    <s v="AJ-10795"/>
    <s v="Anthony Johnson"/>
    <x v="1"/>
    <s v="United States"/>
    <x v="28"/>
    <x v="2"/>
    <x v="1"/>
    <s v="FUR-FU-10000550"/>
    <s v="Furniture"/>
    <x v="3"/>
    <s v="Stacking Trays by OIC"/>
    <n v="24.9"/>
    <n v="5"/>
    <n v="8.2170000000000005"/>
    <x v="4"/>
    <x v="5"/>
  </r>
  <r>
    <x v="718"/>
    <x v="527"/>
    <m/>
    <n v="42006"/>
    <x v="1"/>
    <s v="AJ-10795"/>
    <s v="Anthony Johnson"/>
    <x v="1"/>
    <s v="United States"/>
    <x v="28"/>
    <x v="2"/>
    <x v="1"/>
    <s v="FUR-FU-10000672"/>
    <s v="Furniture"/>
    <x v="3"/>
    <s v="Executive Impressions 10&quot; Spectator Wall Clock"/>
    <n v="70.56"/>
    <n v="6"/>
    <n v="23.990400000000001"/>
    <x v="4"/>
    <x v="5"/>
  </r>
  <r>
    <x v="719"/>
    <x v="528"/>
    <m/>
    <n v="42185"/>
    <x v="1"/>
    <s v="JF-15565"/>
    <s v="Jill Fjeld"/>
    <x v="0"/>
    <s v="United States"/>
    <x v="28"/>
    <x v="2"/>
    <x v="1"/>
    <s v="FUR-FU-10001979"/>
    <s v="Furniture"/>
    <x v="3"/>
    <s v="Dana Halogen Swing-Arm Architect Lamp"/>
    <n v="204.85"/>
    <n v="5"/>
    <n v="57.357999999999997"/>
    <x v="2"/>
    <x v="2"/>
  </r>
  <r>
    <x v="720"/>
    <x v="529"/>
    <m/>
    <n v="42912"/>
    <x v="0"/>
    <s v="GA-14515"/>
    <s v="George Ashbrook"/>
    <x v="0"/>
    <s v="United States"/>
    <x v="13"/>
    <x v="7"/>
    <x v="2"/>
    <s v="FUR-FU-10003601"/>
    <s v="Furniture"/>
    <x v="3"/>
    <s v="Deflect-o RollaMat Studded, Beveled Mat for Medium Pile Carpeting"/>
    <n v="276.69"/>
    <n v="3"/>
    <n v="49.804200000000002"/>
    <x v="3"/>
    <x v="2"/>
  </r>
  <r>
    <x v="720"/>
    <x v="529"/>
    <m/>
    <n v="42912"/>
    <x v="0"/>
    <s v="GA-14515"/>
    <s v="George Ashbrook"/>
    <x v="0"/>
    <s v="United States"/>
    <x v="13"/>
    <x v="7"/>
    <x v="2"/>
    <s v="FUR-CH-10001891"/>
    <s v="Furniture"/>
    <x v="1"/>
    <s v="Global Deluxe Office Fabric Chairs"/>
    <n v="172.76400000000001"/>
    <n v="2"/>
    <n v="32.633200000000002"/>
    <x v="3"/>
    <x v="2"/>
  </r>
  <r>
    <x v="721"/>
    <x v="189"/>
    <m/>
    <n v="41915"/>
    <x v="1"/>
    <s v="SM-20950"/>
    <s v="Suzanne McNair"/>
    <x v="1"/>
    <s v="United States"/>
    <x v="3"/>
    <x v="3"/>
    <x v="2"/>
    <s v="FUR-TA-10004175"/>
    <s v="Furniture"/>
    <x v="2"/>
    <s v="Hon 30&quot; x 60&quot; Table with Locking Drawer"/>
    <n v="409.27199999999999"/>
    <n v="2"/>
    <n v="-81.854399999999998"/>
    <x v="4"/>
    <x v="4"/>
  </r>
  <r>
    <x v="721"/>
    <x v="189"/>
    <m/>
    <n v="41915"/>
    <x v="1"/>
    <s v="SM-20950"/>
    <s v="Suzanne McNair"/>
    <x v="1"/>
    <s v="United States"/>
    <x v="3"/>
    <x v="3"/>
    <x v="2"/>
    <s v="FUR-TA-10004147"/>
    <s v="Furniture"/>
    <x v="2"/>
    <s v="Hon 4060 Series Tables"/>
    <n v="67.176000000000002"/>
    <n v="1"/>
    <n v="-20.152799999999999"/>
    <x v="4"/>
    <x v="4"/>
  </r>
  <r>
    <x v="722"/>
    <x v="141"/>
    <m/>
    <n v="42332"/>
    <x v="1"/>
    <s v="LC-16885"/>
    <s v="Lena Creighton"/>
    <x v="0"/>
    <s v="United States"/>
    <x v="121"/>
    <x v="2"/>
    <x v="1"/>
    <s v="FUR-CH-10000595"/>
    <s v="Furniture"/>
    <x v="1"/>
    <s v="Safco Contoured Stacking Chairs"/>
    <n v="572.16"/>
    <n v="3"/>
    <n v="35.76"/>
    <x v="4"/>
    <x v="0"/>
  </r>
  <r>
    <x v="723"/>
    <x v="530"/>
    <m/>
    <n v="42613"/>
    <x v="2"/>
    <s v="TP-21415"/>
    <s v="Tom Prescott"/>
    <x v="0"/>
    <s v="United States"/>
    <x v="144"/>
    <x v="5"/>
    <x v="3"/>
    <s v="FUR-BO-10003159"/>
    <s v="Furniture"/>
    <x v="0"/>
    <s v="Sauder Camden County Collection Libraries, Planked Cherry Finish"/>
    <n v="156.37280000000001"/>
    <n v="2"/>
    <n v="-52.890799999999999"/>
    <x v="0"/>
    <x v="10"/>
  </r>
  <r>
    <x v="724"/>
    <x v="531"/>
    <m/>
    <n v="43059"/>
    <x v="1"/>
    <s v="DK-12895"/>
    <s v="Dana Kaydos"/>
    <x v="0"/>
    <s v="United States"/>
    <x v="232"/>
    <x v="1"/>
    <x v="0"/>
    <s v="FUR-FU-10003553"/>
    <s v="Furniture"/>
    <x v="3"/>
    <s v="Howard Miller 13-1/2&quot; Diameter Rosebrook Wall Clock"/>
    <n v="220.06399999999999"/>
    <n v="4"/>
    <n v="55.015999999999998"/>
    <x v="2"/>
    <x v="0"/>
  </r>
  <r>
    <x v="724"/>
    <x v="531"/>
    <m/>
    <n v="43059"/>
    <x v="1"/>
    <s v="DK-12895"/>
    <s v="Dana Kaydos"/>
    <x v="0"/>
    <s v="United States"/>
    <x v="232"/>
    <x v="1"/>
    <x v="0"/>
    <s v="FUR-FU-10001488"/>
    <s v="Furniture"/>
    <x v="3"/>
    <s v="Tenex 46&quot; x 60&quot; Computer Anti-Static Chairmat, Rectangular Shaped"/>
    <n v="339.13600000000002"/>
    <n v="4"/>
    <n v="0"/>
    <x v="2"/>
    <x v="0"/>
  </r>
  <r>
    <x v="725"/>
    <x v="532"/>
    <m/>
    <n v="41877"/>
    <x v="1"/>
    <s v="LH-16900"/>
    <s v="Lena Hernandez"/>
    <x v="0"/>
    <s v="United States"/>
    <x v="93"/>
    <x v="31"/>
    <x v="0"/>
    <s v="FUR-BO-10000711"/>
    <s v="Furniture"/>
    <x v="0"/>
    <s v="Hon Metal Bookcases, Gray"/>
    <n v="638.82000000000005"/>
    <n v="9"/>
    <n v="172.48140000000001"/>
    <x v="1"/>
    <x v="10"/>
  </r>
  <r>
    <x v="726"/>
    <x v="533"/>
    <m/>
    <n v="43090"/>
    <x v="3"/>
    <s v="RB-19465"/>
    <s v="Rick Bensley"/>
    <x v="2"/>
    <s v="United States"/>
    <x v="233"/>
    <x v="27"/>
    <x v="3"/>
    <s v="FUR-FU-10001940"/>
    <s v="Furniture"/>
    <x v="3"/>
    <s v="Staple-based wall hangings"/>
    <n v="15.92"/>
    <n v="2"/>
    <n v="7.0048000000000004"/>
    <x v="7"/>
    <x v="5"/>
  </r>
  <r>
    <x v="727"/>
    <x v="395"/>
    <m/>
    <n v="42254"/>
    <x v="3"/>
    <s v="MC-17275"/>
    <s v="Marc Crier"/>
    <x v="0"/>
    <s v="United States"/>
    <x v="13"/>
    <x v="7"/>
    <x v="2"/>
    <s v="FUR-TA-10003837"/>
    <s v="Furniture"/>
    <x v="2"/>
    <s v="Anderson Hickey Conga Table Tops &amp; Accessories"/>
    <n v="27.414000000000001"/>
    <n v="3"/>
    <n v="-14.1639"/>
    <x v="7"/>
    <x v="4"/>
  </r>
  <r>
    <x v="728"/>
    <x v="344"/>
    <m/>
    <n v="42370"/>
    <x v="1"/>
    <s v="DL-13495"/>
    <s v="Dionis Lloyd"/>
    <x v="1"/>
    <s v="United States"/>
    <x v="25"/>
    <x v="17"/>
    <x v="3"/>
    <s v="FUR-BO-10004360"/>
    <s v="Furniture"/>
    <x v="0"/>
    <s v="Rush Hierlooms Collection Rich Wood Bookcases"/>
    <n v="160.97999999999999"/>
    <n v="1"/>
    <n v="20.927399999999999"/>
    <x v="1"/>
    <x v="5"/>
  </r>
  <r>
    <x v="729"/>
    <x v="534"/>
    <m/>
    <n v="42947"/>
    <x v="0"/>
    <s v="MG-18145"/>
    <s v="Mike Gockenbach"/>
    <x v="0"/>
    <s v="United States"/>
    <x v="51"/>
    <x v="1"/>
    <x v="0"/>
    <s v="FUR-FU-10001602"/>
    <s v="Furniture"/>
    <x v="3"/>
    <s v="Eldon Delta Triangular Chair Mat, 52&quot; x 58&quot;, Clear"/>
    <n v="91.031999999999996"/>
    <n v="3"/>
    <n v="-2.2757999999999998"/>
    <x v="4"/>
    <x v="3"/>
  </r>
  <r>
    <x v="730"/>
    <x v="451"/>
    <m/>
    <n v="43073"/>
    <x v="2"/>
    <s v="RA-19285"/>
    <s v="Ralph Arnett"/>
    <x v="0"/>
    <s v="United States"/>
    <x v="3"/>
    <x v="3"/>
    <x v="2"/>
    <s v="FUR-FU-10003798"/>
    <s v="Furniture"/>
    <x v="3"/>
    <s v="Ultra Door Kickplate, 8&quot;H x 34&quot;W"/>
    <n v="79.12"/>
    <n v="5"/>
    <n v="13.846"/>
    <x v="0"/>
    <x v="5"/>
  </r>
  <r>
    <x v="731"/>
    <x v="129"/>
    <m/>
    <n v="42772"/>
    <x v="1"/>
    <s v="EH-14125"/>
    <s v="Eugene Hildebrand"/>
    <x v="2"/>
    <s v="United States"/>
    <x v="28"/>
    <x v="2"/>
    <x v="1"/>
    <s v="FUR-CH-10000863"/>
    <s v="Furniture"/>
    <x v="1"/>
    <s v="Novimex Swivel Fabric Task Chair"/>
    <n v="120.78400000000001"/>
    <n v="1"/>
    <n v="-13.588200000000001"/>
    <x v="1"/>
    <x v="8"/>
  </r>
  <r>
    <x v="732"/>
    <x v="44"/>
    <m/>
    <n v="42342"/>
    <x v="1"/>
    <s v="TP-21415"/>
    <s v="Tom Prescott"/>
    <x v="0"/>
    <s v="United States"/>
    <x v="234"/>
    <x v="7"/>
    <x v="2"/>
    <s v="FUR-FU-10004017"/>
    <s v="Furniture"/>
    <x v="3"/>
    <s v="Tenex Contemporary Contur Chairmats for Low and Medium Pile Carpet, Computer, 39&quot; x 49&quot;"/>
    <n v="322.58999999999997"/>
    <n v="3"/>
    <n v="64.518000000000001"/>
    <x v="6"/>
    <x v="0"/>
  </r>
  <r>
    <x v="733"/>
    <x v="524"/>
    <m/>
    <n v="41925"/>
    <x v="2"/>
    <s v="HA-14920"/>
    <s v="Helen Andreada"/>
    <x v="0"/>
    <s v="United States"/>
    <x v="102"/>
    <x v="2"/>
    <x v="1"/>
    <s v="FUR-CH-10000229"/>
    <s v="Furniture"/>
    <x v="1"/>
    <s v="Global Enterprise Series Seating High-Back Swivel/Tilt Chairs"/>
    <n v="433.56799999999998"/>
    <n v="2"/>
    <n v="-65.035200000000003"/>
    <x v="3"/>
    <x v="1"/>
  </r>
  <r>
    <x v="734"/>
    <x v="28"/>
    <m/>
    <n v="42711"/>
    <x v="2"/>
    <s v="AG-10300"/>
    <s v="Aleksandra Gannaway"/>
    <x v="1"/>
    <s v="United States"/>
    <x v="20"/>
    <x v="20"/>
    <x v="2"/>
    <s v="FUR-BO-10002853"/>
    <s v="Furniture"/>
    <x v="0"/>
    <s v="O'Sullivan 5-Shelf Heavy-Duty Bookcases"/>
    <n v="81.94"/>
    <n v="1"/>
    <n v="20.484999999999999"/>
    <x v="3"/>
    <x v="5"/>
  </r>
  <r>
    <x v="735"/>
    <x v="397"/>
    <m/>
    <n v="42328"/>
    <x v="1"/>
    <s v="HK-14890"/>
    <s v="Heather Kirkland"/>
    <x v="1"/>
    <s v="United States"/>
    <x v="235"/>
    <x v="42"/>
    <x v="1"/>
    <s v="FUR-TA-10000577"/>
    <s v="Furniture"/>
    <x v="2"/>
    <s v="Bretford CR4500 Series Slim Rectangular Table"/>
    <n v="696.42"/>
    <n v="2"/>
    <n v="160.17660000000001"/>
    <x v="4"/>
    <x v="0"/>
  </r>
  <r>
    <x v="736"/>
    <x v="57"/>
    <m/>
    <n v="42474"/>
    <x v="1"/>
    <s v="CK-12595"/>
    <s v="Clytie Kelty"/>
    <x v="0"/>
    <s v="United States"/>
    <x v="2"/>
    <x v="2"/>
    <x v="1"/>
    <s v="FUR-FU-10002597"/>
    <s v="Furniture"/>
    <x v="3"/>
    <s v="C-Line Magnetic Cubicle Keepers, Clear Polypropylene"/>
    <n v="24.7"/>
    <n v="5"/>
    <n v="10.374000000000001"/>
    <x v="6"/>
    <x v="6"/>
  </r>
  <r>
    <x v="737"/>
    <x v="314"/>
    <m/>
    <n v="41945"/>
    <x v="0"/>
    <s v="AM-10705"/>
    <s v="Anne McFarland"/>
    <x v="0"/>
    <s v="United States"/>
    <x v="236"/>
    <x v="38"/>
    <x v="2"/>
    <s v="FUR-FU-10002364"/>
    <s v="Furniture"/>
    <x v="3"/>
    <s v="Eldon Expressions Wood Desk Accessories, Oak"/>
    <n v="14.76"/>
    <n v="2"/>
    <n v="4.2804000000000002"/>
    <x v="3"/>
    <x v="1"/>
  </r>
  <r>
    <x v="737"/>
    <x v="314"/>
    <m/>
    <n v="41945"/>
    <x v="0"/>
    <s v="AM-10705"/>
    <s v="Anne McFarland"/>
    <x v="0"/>
    <s v="United States"/>
    <x v="236"/>
    <x v="38"/>
    <x v="2"/>
    <s v="FUR-FU-10000023"/>
    <s v="Furniture"/>
    <x v="3"/>
    <s v="Eldon Wave Desk Accessories"/>
    <n v="17.670000000000002"/>
    <n v="3"/>
    <n v="7.7747999999999999"/>
    <x v="3"/>
    <x v="1"/>
  </r>
  <r>
    <x v="737"/>
    <x v="314"/>
    <m/>
    <n v="41945"/>
    <x v="0"/>
    <s v="AM-10705"/>
    <s v="Anne McFarland"/>
    <x v="0"/>
    <s v="United States"/>
    <x v="236"/>
    <x v="38"/>
    <x v="2"/>
    <s v="FUR-CH-10002320"/>
    <s v="Furniture"/>
    <x v="1"/>
    <s v="Hon Pagoda Stacking Chairs"/>
    <n v="1604.9"/>
    <n v="5"/>
    <n v="481.47"/>
    <x v="3"/>
    <x v="1"/>
  </r>
  <r>
    <x v="737"/>
    <x v="314"/>
    <m/>
    <n v="41945"/>
    <x v="0"/>
    <s v="AM-10705"/>
    <s v="Anne McFarland"/>
    <x v="0"/>
    <s v="United States"/>
    <x v="236"/>
    <x v="38"/>
    <x v="2"/>
    <s v="FUR-TA-10003238"/>
    <s v="Furniture"/>
    <x v="2"/>
    <s v="Chromcraft Bull-Nose Wood 48&quot; x 96&quot; Rectangular Conference Tables"/>
    <n v="385.68599999999998"/>
    <n v="1"/>
    <n v="-60.607799999999997"/>
    <x v="3"/>
    <x v="1"/>
  </r>
  <r>
    <x v="738"/>
    <x v="535"/>
    <m/>
    <n v="42828"/>
    <x v="2"/>
    <s v="NC-18535"/>
    <s v="Nick Crebassa"/>
    <x v="1"/>
    <s v="United States"/>
    <x v="28"/>
    <x v="2"/>
    <x v="1"/>
    <s v="FUR-BO-10003894"/>
    <s v="Furniture"/>
    <x v="0"/>
    <s v="Safco Value Mate Steel Bookcase, Baked Enamel Finish on Steel, Black"/>
    <n v="482.66399999999999"/>
    <n v="8"/>
    <n v="85.176000000000002"/>
    <x v="3"/>
    <x v="6"/>
  </r>
  <r>
    <x v="739"/>
    <x v="343"/>
    <m/>
    <n v="42899"/>
    <x v="0"/>
    <s v="TB-21400"/>
    <s v="Tom Boeckenhauer"/>
    <x v="0"/>
    <s v="United States"/>
    <x v="15"/>
    <x v="13"/>
    <x v="1"/>
    <s v="FUR-BO-10001519"/>
    <s v="Furniture"/>
    <x v="0"/>
    <s v="O'Sullivan 3-Shelf Heavy-Duty Bookcases"/>
    <n v="174.42"/>
    <n v="3"/>
    <n v="41.860799999999998"/>
    <x v="3"/>
    <x v="2"/>
  </r>
  <r>
    <x v="740"/>
    <x v="536"/>
    <m/>
    <n v="41990"/>
    <x v="1"/>
    <s v="EB-13840"/>
    <s v="Ellis Ballard"/>
    <x v="1"/>
    <s v="United States"/>
    <x v="9"/>
    <x v="8"/>
    <x v="3"/>
    <s v="FUR-FU-10003930"/>
    <s v="Furniture"/>
    <x v="3"/>
    <s v="Howard Miller 12-3/4 Diameter Accuwave DS  Wall Clock"/>
    <n v="94.427999999999997"/>
    <n v="3"/>
    <n v="-42.492600000000003"/>
    <x v="4"/>
    <x v="5"/>
  </r>
  <r>
    <x v="741"/>
    <x v="537"/>
    <m/>
    <n v="42014"/>
    <x v="1"/>
    <s v="SR-20740"/>
    <s v="Steven Roelle"/>
    <x v="2"/>
    <s v="United States"/>
    <x v="15"/>
    <x v="13"/>
    <x v="1"/>
    <s v="FUR-CH-10003396"/>
    <s v="Furniture"/>
    <x v="1"/>
    <s v="Global Deluxe Steno Chair"/>
    <n v="61.584000000000003"/>
    <n v="1"/>
    <n v="-6.9282000000000004"/>
    <x v="2"/>
    <x v="8"/>
  </r>
  <r>
    <x v="742"/>
    <x v="538"/>
    <m/>
    <n v="42926"/>
    <x v="1"/>
    <s v="LS-16945"/>
    <s v="Linda Southworth"/>
    <x v="1"/>
    <s v="United States"/>
    <x v="144"/>
    <x v="5"/>
    <x v="3"/>
    <s v="FUR-FU-10003601"/>
    <s v="Furniture"/>
    <x v="3"/>
    <s v="Deflect-o RollaMat Studded, Beveled Mat for Medium Pile Carpeting"/>
    <n v="332.02800000000002"/>
    <n v="9"/>
    <n v="-348.62939999999998"/>
    <x v="2"/>
    <x v="3"/>
  </r>
  <r>
    <x v="743"/>
    <x v="156"/>
    <m/>
    <n v="43073"/>
    <x v="1"/>
    <s v="LS-16975"/>
    <s v="Lindsay Shagiari"/>
    <x v="2"/>
    <s v="United States"/>
    <x v="237"/>
    <x v="32"/>
    <x v="2"/>
    <s v="FUR-FU-10000576"/>
    <s v="Furniture"/>
    <x v="3"/>
    <s v="Luxo Professional Fluorescent Magnifier Lamp with Clamp-Mount Base"/>
    <n v="1049.2"/>
    <n v="5"/>
    <n v="272.79199999999997"/>
    <x v="6"/>
    <x v="0"/>
  </r>
  <r>
    <x v="743"/>
    <x v="156"/>
    <m/>
    <n v="43073"/>
    <x v="1"/>
    <s v="LS-16975"/>
    <s v="Lindsay Shagiari"/>
    <x v="2"/>
    <s v="United States"/>
    <x v="237"/>
    <x v="32"/>
    <x v="2"/>
    <s v="FUR-FU-10004270"/>
    <s v="Furniture"/>
    <x v="3"/>
    <s v="Eldon Image Series Desk Accessories, Burgundy"/>
    <n v="20.9"/>
    <n v="5"/>
    <n v="7.524"/>
    <x v="6"/>
    <x v="0"/>
  </r>
  <r>
    <x v="744"/>
    <x v="193"/>
    <m/>
    <n v="42709"/>
    <x v="0"/>
    <s v="SJ-20500"/>
    <s v="Shirley Jackson"/>
    <x v="0"/>
    <s v="United States"/>
    <x v="130"/>
    <x v="19"/>
    <x v="2"/>
    <s v="FUR-CH-10004997"/>
    <s v="Furniture"/>
    <x v="1"/>
    <s v="Hon Every-Day Series Multi-Task Chairs"/>
    <n v="751.92"/>
    <n v="4"/>
    <n v="150.38399999999999"/>
    <x v="4"/>
    <x v="5"/>
  </r>
  <r>
    <x v="745"/>
    <x v="539"/>
    <m/>
    <n v="41901"/>
    <x v="3"/>
    <s v="BS-11365"/>
    <s v="Bill Shonely"/>
    <x v="1"/>
    <s v="United States"/>
    <x v="13"/>
    <x v="7"/>
    <x v="2"/>
    <s v="FUR-CH-10000988"/>
    <s v="Furniture"/>
    <x v="1"/>
    <s v="Hon Olson Stacker Stools"/>
    <n v="887.10299999999995"/>
    <n v="7"/>
    <n v="177.42060000000001"/>
    <x v="7"/>
    <x v="4"/>
  </r>
  <r>
    <x v="746"/>
    <x v="540"/>
    <m/>
    <n v="43024"/>
    <x v="2"/>
    <s v="TS-21610"/>
    <s v="Troy Staebel"/>
    <x v="0"/>
    <s v="United States"/>
    <x v="234"/>
    <x v="8"/>
    <x v="3"/>
    <s v="FUR-FU-10001424"/>
    <s v="Furniture"/>
    <x v="3"/>
    <s v="Dax Clear Box Frame"/>
    <n v="10.476000000000001"/>
    <n v="3"/>
    <n v="-6.8094000000000001"/>
    <x v="0"/>
    <x v="1"/>
  </r>
  <r>
    <x v="747"/>
    <x v="269"/>
    <m/>
    <n v="42445"/>
    <x v="2"/>
    <s v="MM-18280"/>
    <s v="Muhammed MacIntyre"/>
    <x v="1"/>
    <s v="United States"/>
    <x v="15"/>
    <x v="13"/>
    <x v="1"/>
    <s v="FUR-CH-10002880"/>
    <s v="Furniture"/>
    <x v="1"/>
    <s v="Global High-Back Leather Tilter, Burgundy"/>
    <n v="196.78399999999999"/>
    <n v="2"/>
    <n v="-22.138200000000001"/>
    <x v="3"/>
    <x v="9"/>
  </r>
  <r>
    <x v="748"/>
    <x v="541"/>
    <m/>
    <n v="42683"/>
    <x v="1"/>
    <s v="EP-13915"/>
    <s v="Emily Phan"/>
    <x v="0"/>
    <s v="United States"/>
    <x v="6"/>
    <x v="5"/>
    <x v="3"/>
    <s v="FUR-TA-10002774"/>
    <s v="Furniture"/>
    <x v="2"/>
    <s v="Laminate Occasional Tables"/>
    <n v="863.12800000000004"/>
    <n v="8"/>
    <n v="-160.29519999999999"/>
    <x v="4"/>
    <x v="0"/>
  </r>
  <r>
    <x v="748"/>
    <x v="541"/>
    <m/>
    <n v="42683"/>
    <x v="1"/>
    <s v="EP-13915"/>
    <s v="Emily Phan"/>
    <x v="0"/>
    <s v="United States"/>
    <x v="6"/>
    <x v="5"/>
    <x v="3"/>
    <s v="FUR-BO-10000780"/>
    <s v="Furniture"/>
    <x v="0"/>
    <s v="O'Sullivan Plantations 2-Door Library in Landvery Oak"/>
    <n v="956.66480000000001"/>
    <n v="7"/>
    <n v="-225.0976"/>
    <x v="4"/>
    <x v="0"/>
  </r>
  <r>
    <x v="749"/>
    <x v="542"/>
    <m/>
    <n v="42915"/>
    <x v="0"/>
    <s v="AM-10705"/>
    <s v="Anne McFarland"/>
    <x v="0"/>
    <s v="United States"/>
    <x v="15"/>
    <x v="13"/>
    <x v="1"/>
    <s v="FUR-TA-10000688"/>
    <s v="Furniture"/>
    <x v="2"/>
    <s v="Chromcraft Bull-Nose Wood Round Conference Table Top, Wood Base"/>
    <n v="871.4"/>
    <n v="4"/>
    <n v="148.13800000000001"/>
    <x v="4"/>
    <x v="2"/>
  </r>
  <r>
    <x v="750"/>
    <x v="543"/>
    <m/>
    <n v="42338"/>
    <x v="1"/>
    <s v="SH-20635"/>
    <s v="Stefanie Holloman"/>
    <x v="1"/>
    <s v="United States"/>
    <x v="38"/>
    <x v="9"/>
    <x v="0"/>
    <s v="FUR-FU-10003930"/>
    <s v="Furniture"/>
    <x v="3"/>
    <s v="Howard Miller 12-3/4 Diameter Accuwave DS  Wall Clock"/>
    <n v="692.47199999999998"/>
    <n v="11"/>
    <n v="190.4298"/>
    <x v="4"/>
    <x v="0"/>
  </r>
  <r>
    <x v="751"/>
    <x v="243"/>
    <m/>
    <n v="42701"/>
    <x v="0"/>
    <s v="LA-16780"/>
    <s v="Laura Armstrong"/>
    <x v="1"/>
    <s v="United States"/>
    <x v="237"/>
    <x v="32"/>
    <x v="2"/>
    <s v="FUR-FU-10000965"/>
    <s v="Furniture"/>
    <x v="3"/>
    <s v="Howard Miller 11-1/2&quot; Diameter Ridgewood Wall Clock"/>
    <n v="207.76"/>
    <n v="4"/>
    <n v="85.181600000000003"/>
    <x v="0"/>
    <x v="0"/>
  </r>
  <r>
    <x v="752"/>
    <x v="544"/>
    <m/>
    <n v="42480"/>
    <x v="1"/>
    <s v="BS-11365"/>
    <s v="Bill Shonely"/>
    <x v="1"/>
    <s v="United States"/>
    <x v="174"/>
    <x v="18"/>
    <x v="2"/>
    <s v="FUR-FU-10000550"/>
    <s v="Furniture"/>
    <x v="3"/>
    <s v="Stacking Trays by OIC"/>
    <n v="9.9600000000000009"/>
    <n v="2"/>
    <n v="3.2867999999999999"/>
    <x v="4"/>
    <x v="6"/>
  </r>
  <r>
    <x v="753"/>
    <x v="545"/>
    <m/>
    <n v="41961"/>
    <x v="1"/>
    <s v="RM-19675"/>
    <s v="Robert Marley"/>
    <x v="2"/>
    <s v="United States"/>
    <x v="13"/>
    <x v="7"/>
    <x v="2"/>
    <s v="FUR-CH-10001797"/>
    <s v="Furniture"/>
    <x v="1"/>
    <s v="Safco Chair Connectors, 6/Carton"/>
    <n v="69.263999999999996"/>
    <n v="2"/>
    <n v="14.622400000000001"/>
    <x v="4"/>
    <x v="0"/>
  </r>
  <r>
    <x v="754"/>
    <x v="32"/>
    <m/>
    <n v="42334"/>
    <x v="0"/>
    <s v="CA-11965"/>
    <s v="Carol Adams"/>
    <x v="1"/>
    <s v="United States"/>
    <x v="238"/>
    <x v="5"/>
    <x v="3"/>
    <s v="FUR-BO-10003965"/>
    <s v="Furniture"/>
    <x v="0"/>
    <s v="O'Sullivan Manor Hill 2-Door Library in Brianna Oak"/>
    <n v="246.1328"/>
    <n v="2"/>
    <n v="-76.011600000000001"/>
    <x v="2"/>
    <x v="0"/>
  </r>
  <r>
    <x v="755"/>
    <x v="13"/>
    <m/>
    <n v="43082"/>
    <x v="0"/>
    <s v="AT-10435"/>
    <s v="Alyssa Tate"/>
    <x v="2"/>
    <s v="United States"/>
    <x v="2"/>
    <x v="2"/>
    <x v="1"/>
    <s v="FUR-TA-10003748"/>
    <s v="Furniture"/>
    <x v="2"/>
    <s v="Bevis 36 x 72 Conference Tables"/>
    <n v="896.32799999999997"/>
    <n v="9"/>
    <n v="22.408200000000001"/>
    <x v="4"/>
    <x v="5"/>
  </r>
  <r>
    <x v="756"/>
    <x v="546"/>
    <m/>
    <n v="43035"/>
    <x v="1"/>
    <s v="DW-13195"/>
    <s v="David Wiener"/>
    <x v="1"/>
    <s v="United States"/>
    <x v="125"/>
    <x v="36"/>
    <x v="1"/>
    <s v="FUR-TA-10002607"/>
    <s v="Furniture"/>
    <x v="2"/>
    <s v="KI Conference Tables"/>
    <n v="177.22499999999999"/>
    <n v="5"/>
    <n v="-120.51300000000001"/>
    <x v="2"/>
    <x v="1"/>
  </r>
  <r>
    <x v="757"/>
    <x v="209"/>
    <m/>
    <n v="42926"/>
    <x v="1"/>
    <s v="MB-17305"/>
    <s v="Maria Bertelson"/>
    <x v="0"/>
    <s v="United States"/>
    <x v="239"/>
    <x v="2"/>
    <x v="1"/>
    <s v="FUR-FU-10001215"/>
    <s v="Furniture"/>
    <x v="3"/>
    <s v="Howard Miller 11-1/2&quot; Diameter Brentwood Wall Clock"/>
    <n v="129.38999999999999"/>
    <n v="3"/>
    <n v="54.343800000000002"/>
    <x v="1"/>
    <x v="3"/>
  </r>
  <r>
    <x v="758"/>
    <x v="547"/>
    <m/>
    <n v="42973"/>
    <x v="0"/>
    <s v="PO-18850"/>
    <s v="Patrick O'Brill"/>
    <x v="0"/>
    <s v="United States"/>
    <x v="199"/>
    <x v="1"/>
    <x v="0"/>
    <s v="FUR-FU-10001852"/>
    <s v="Furniture"/>
    <x v="3"/>
    <s v="Eldon Regeneration Recycled Desk Accessories, Smoke"/>
    <n v="2.7839999999999998"/>
    <n v="2"/>
    <n v="0.41760000000000003"/>
    <x v="0"/>
    <x v="10"/>
  </r>
  <r>
    <x v="759"/>
    <x v="548"/>
    <m/>
    <n v="41942"/>
    <x v="0"/>
    <s v="AH-10585"/>
    <s v="Angele Hood"/>
    <x v="0"/>
    <s v="United States"/>
    <x v="15"/>
    <x v="13"/>
    <x v="1"/>
    <s v="FUR-FU-10000448"/>
    <s v="Furniture"/>
    <x v="3"/>
    <s v="Tenex Chairmats For Use With Carpeted Floors"/>
    <n v="63.92"/>
    <n v="4"/>
    <n v="3.1960000000000002"/>
    <x v="4"/>
    <x v="1"/>
  </r>
  <r>
    <x v="760"/>
    <x v="53"/>
    <m/>
    <n v="41954"/>
    <x v="1"/>
    <s v="WB-21850"/>
    <s v="William Brown"/>
    <x v="0"/>
    <s v="United States"/>
    <x v="2"/>
    <x v="2"/>
    <x v="1"/>
    <s v="FUR-TA-10002041"/>
    <s v="Furniture"/>
    <x v="2"/>
    <s v="Bevis Round Conference Table Top, X-Base"/>
    <n v="573.72799999999995"/>
    <n v="4"/>
    <n v="-64.544399999999996"/>
    <x v="1"/>
    <x v="0"/>
  </r>
  <r>
    <x v="761"/>
    <x v="549"/>
    <m/>
    <n v="43080"/>
    <x v="1"/>
    <s v="DC-13285"/>
    <s v="Debra Catini"/>
    <x v="0"/>
    <s v="United States"/>
    <x v="52"/>
    <x v="25"/>
    <x v="0"/>
    <s v="FUR-FU-10000175"/>
    <s v="Furniture"/>
    <x v="3"/>
    <s v="DAX Wood Document Frame."/>
    <n v="82.38"/>
    <n v="6"/>
    <n v="25.537800000000001"/>
    <x v="4"/>
    <x v="5"/>
  </r>
  <r>
    <x v="762"/>
    <x v="274"/>
    <m/>
    <n v="42362"/>
    <x v="1"/>
    <s v="GZ-14470"/>
    <s v="Gary Zandusky"/>
    <x v="0"/>
    <s v="United States"/>
    <x v="240"/>
    <x v="22"/>
    <x v="1"/>
    <s v="FUR-FU-10002088"/>
    <s v="Furniture"/>
    <x v="3"/>
    <s v="Nu-Dell Float Frame 11 x 14 1/2"/>
    <n v="14.368"/>
    <n v="2"/>
    <n v="3.9512"/>
    <x v="4"/>
    <x v="5"/>
  </r>
  <r>
    <x v="763"/>
    <x v="126"/>
    <m/>
    <n v="42638"/>
    <x v="1"/>
    <s v="MM-17260"/>
    <s v="Magdelene Morse"/>
    <x v="0"/>
    <s v="United States"/>
    <x v="241"/>
    <x v="7"/>
    <x v="2"/>
    <s v="FUR-CH-10001394"/>
    <s v="Furniture"/>
    <x v="1"/>
    <s v="Global Leather Executive Chair"/>
    <n v="631.78200000000004"/>
    <n v="2"/>
    <n v="140.39599999999999"/>
    <x v="1"/>
    <x v="4"/>
  </r>
  <r>
    <x v="763"/>
    <x v="126"/>
    <m/>
    <n v="42638"/>
    <x v="1"/>
    <s v="MM-17260"/>
    <s v="Magdelene Morse"/>
    <x v="0"/>
    <s v="United States"/>
    <x v="241"/>
    <x v="7"/>
    <x v="2"/>
    <s v="FUR-FU-10004053"/>
    <s v="Furniture"/>
    <x v="3"/>
    <s v="DAX Two-Tone Silver Metal Document Frame"/>
    <n v="60.72"/>
    <n v="3"/>
    <n v="26.1096"/>
    <x v="1"/>
    <x v="4"/>
  </r>
  <r>
    <x v="764"/>
    <x v="246"/>
    <m/>
    <n v="43080"/>
    <x v="3"/>
    <s v="RR-19315"/>
    <s v="Ralph Ritter"/>
    <x v="0"/>
    <s v="United States"/>
    <x v="14"/>
    <x v="8"/>
    <x v="3"/>
    <s v="FUR-FU-10004306"/>
    <s v="Furniture"/>
    <x v="3"/>
    <s v="Electrix Halogen Magnifier Lamp"/>
    <n v="77.72"/>
    <n v="1"/>
    <n v="-66.061999999999998"/>
    <x v="7"/>
    <x v="5"/>
  </r>
  <r>
    <x v="764"/>
    <x v="246"/>
    <m/>
    <n v="43080"/>
    <x v="3"/>
    <s v="RR-19315"/>
    <s v="Ralph Ritter"/>
    <x v="0"/>
    <s v="United States"/>
    <x v="14"/>
    <x v="8"/>
    <x v="3"/>
    <s v="FUR-CH-10003973"/>
    <s v="Furniture"/>
    <x v="1"/>
    <s v="GuestStacker Chair with Chrome Finish Legs"/>
    <n v="520.46400000000006"/>
    <n v="2"/>
    <n v="-14.8704"/>
    <x v="7"/>
    <x v="5"/>
  </r>
  <r>
    <x v="765"/>
    <x v="550"/>
    <m/>
    <n v="41759"/>
    <x v="1"/>
    <s v="BT-11305"/>
    <s v="Beth Thompson"/>
    <x v="2"/>
    <s v="United States"/>
    <x v="242"/>
    <x v="2"/>
    <x v="1"/>
    <s v="FUR-FU-10003708"/>
    <s v="Furniture"/>
    <x v="3"/>
    <s v="Tenex Traditional Chairmats for Medium Pile Carpet, Standard Lip, 36&quot; x 48&quot;"/>
    <n v="303.25"/>
    <n v="5"/>
    <n v="63.682499999999997"/>
    <x v="2"/>
    <x v="6"/>
  </r>
  <r>
    <x v="765"/>
    <x v="550"/>
    <m/>
    <n v="41759"/>
    <x v="1"/>
    <s v="BT-11305"/>
    <s v="Beth Thompson"/>
    <x v="2"/>
    <s v="United States"/>
    <x v="242"/>
    <x v="2"/>
    <x v="1"/>
    <s v="FUR-CH-10003973"/>
    <s v="Furniture"/>
    <x v="1"/>
    <s v="GuestStacker Chair with Chrome Finish Legs"/>
    <n v="1487.04"/>
    <n v="5"/>
    <n v="148.70400000000001"/>
    <x v="2"/>
    <x v="6"/>
  </r>
  <r>
    <x v="766"/>
    <x v="551"/>
    <m/>
    <n v="42307"/>
    <x v="1"/>
    <s v="TB-21625"/>
    <s v="Trudy Brown"/>
    <x v="0"/>
    <s v="United States"/>
    <x v="28"/>
    <x v="2"/>
    <x v="1"/>
    <s v="FUR-TA-10001857"/>
    <s v="Furniture"/>
    <x v="2"/>
    <s v="Balt Solid Wood Rectangular Table"/>
    <n v="253.17599999999999"/>
    <n v="3"/>
    <n v="-31.646999999999998"/>
    <x v="2"/>
    <x v="1"/>
  </r>
  <r>
    <x v="767"/>
    <x v="552"/>
    <m/>
    <n v="42212"/>
    <x v="1"/>
    <s v="RA-19915"/>
    <s v="Russell Applegate"/>
    <x v="0"/>
    <s v="United States"/>
    <x v="185"/>
    <x v="8"/>
    <x v="3"/>
    <s v="FUR-BO-10004690"/>
    <s v="Furniture"/>
    <x v="0"/>
    <s v="O'Sullivan Cherrywood Estates Traditional Barrister Bookcase"/>
    <n v="384.94400000000002"/>
    <n v="4"/>
    <n v="-126.4816"/>
    <x v="1"/>
    <x v="3"/>
  </r>
  <r>
    <x v="767"/>
    <x v="552"/>
    <m/>
    <n v="42212"/>
    <x v="1"/>
    <s v="RA-19915"/>
    <s v="Russell Applegate"/>
    <x v="0"/>
    <s v="United States"/>
    <x v="185"/>
    <x v="8"/>
    <x v="3"/>
    <s v="FUR-BO-10002545"/>
    <s v="Furniture"/>
    <x v="0"/>
    <s v="Atlantic Metals Mobile 3-Shelf Bookcases, Custom Colors"/>
    <n v="913.43"/>
    <n v="5"/>
    <n v="-52.195999999999998"/>
    <x v="1"/>
    <x v="3"/>
  </r>
  <r>
    <x v="768"/>
    <x v="93"/>
    <m/>
    <n v="43061"/>
    <x v="2"/>
    <s v="CD-11920"/>
    <s v="Carlos Daly"/>
    <x v="0"/>
    <s v="United States"/>
    <x v="13"/>
    <x v="7"/>
    <x v="2"/>
    <s v="FUR-BO-10003159"/>
    <s v="Furniture"/>
    <x v="0"/>
    <s v="Sauder Camden County Collection Libraries, Planked Cherry Finish"/>
    <n v="183.96799999999999"/>
    <n v="2"/>
    <n v="-25.2956"/>
    <x v="3"/>
    <x v="0"/>
  </r>
  <r>
    <x v="769"/>
    <x v="553"/>
    <m/>
    <n v="41831"/>
    <x v="1"/>
    <s v="JL-15835"/>
    <s v="John Lee"/>
    <x v="0"/>
    <s v="United States"/>
    <x v="3"/>
    <x v="3"/>
    <x v="2"/>
    <s v="FUR-CH-10002880"/>
    <s v="Furniture"/>
    <x v="1"/>
    <s v="Global High-Back Leather Tilter, Burgundy"/>
    <n v="172.18600000000001"/>
    <n v="2"/>
    <n v="-46.736199999999997"/>
    <x v="4"/>
    <x v="3"/>
  </r>
  <r>
    <x v="769"/>
    <x v="553"/>
    <m/>
    <n v="41831"/>
    <x v="1"/>
    <s v="JL-15835"/>
    <s v="John Lee"/>
    <x v="0"/>
    <s v="United States"/>
    <x v="3"/>
    <x v="3"/>
    <x v="2"/>
    <s v="FUR-FU-10003039"/>
    <s v="Furniture"/>
    <x v="3"/>
    <s v="Howard Miller 11-1/2&quot; Diameter Grantwood Wall Clock"/>
    <n v="69.007999999999996"/>
    <n v="2"/>
    <n v="12.0764"/>
    <x v="4"/>
    <x v="3"/>
  </r>
  <r>
    <x v="770"/>
    <x v="554"/>
    <m/>
    <n v="42446"/>
    <x v="3"/>
    <s v="GZ-14470"/>
    <s v="Gary Zandusky"/>
    <x v="0"/>
    <s v="United States"/>
    <x v="11"/>
    <x v="32"/>
    <x v="2"/>
    <s v="FUR-FU-10004306"/>
    <s v="Furniture"/>
    <x v="3"/>
    <s v="Electrix Halogen Magnifier Lamp"/>
    <n v="971.5"/>
    <n v="5"/>
    <n v="252.59"/>
    <x v="7"/>
    <x v="9"/>
  </r>
  <r>
    <x v="771"/>
    <x v="191"/>
    <m/>
    <n v="42000"/>
    <x v="1"/>
    <s v="MH-17455"/>
    <s v="Mark Hamilton"/>
    <x v="0"/>
    <s v="United States"/>
    <x v="243"/>
    <x v="15"/>
    <x v="2"/>
    <s v="FUR-FU-10003773"/>
    <s v="Furniture"/>
    <x v="3"/>
    <s v="Eldon Cleatmat Plus Chair Mats for High Pile Carpets"/>
    <n v="190.84800000000001"/>
    <n v="3"/>
    <n v="-21.470400000000001"/>
    <x v="1"/>
    <x v="5"/>
  </r>
  <r>
    <x v="772"/>
    <x v="514"/>
    <m/>
    <n v="42874"/>
    <x v="2"/>
    <s v="TB-21355"/>
    <s v="Todd Boyes"/>
    <x v="1"/>
    <s v="United States"/>
    <x v="244"/>
    <x v="24"/>
    <x v="0"/>
    <s v="FUR-BO-10003546"/>
    <s v="Furniture"/>
    <x v="0"/>
    <s v="Hon 4-Shelf Metal Bookcases"/>
    <n v="302.94"/>
    <n v="3"/>
    <n v="75.734999999999999"/>
    <x v="5"/>
    <x v="7"/>
  </r>
  <r>
    <x v="773"/>
    <x v="555"/>
    <m/>
    <n v="42821"/>
    <x v="1"/>
    <s v="CL-12565"/>
    <s v="Clay Ludtke"/>
    <x v="0"/>
    <s v="United States"/>
    <x v="169"/>
    <x v="37"/>
    <x v="3"/>
    <s v="FUR-CH-10004495"/>
    <s v="Furniture"/>
    <x v="1"/>
    <s v="Global Leather and Oak Executive Chair, Black"/>
    <n v="1805.88"/>
    <n v="6"/>
    <n v="523.70519999999999"/>
    <x v="6"/>
    <x v="9"/>
  </r>
  <r>
    <x v="774"/>
    <x v="361"/>
    <m/>
    <n v="42682"/>
    <x v="0"/>
    <s v="AP-10915"/>
    <s v="Arthur Prichep"/>
    <x v="0"/>
    <s v="United States"/>
    <x v="0"/>
    <x v="0"/>
    <x v="0"/>
    <s v="FUR-FU-10002885"/>
    <s v="Furniture"/>
    <x v="3"/>
    <s v="Magna Visual Magnetic Picture Hangers"/>
    <n v="24.1"/>
    <n v="5"/>
    <n v="9.1579999999999995"/>
    <x v="2"/>
    <x v="0"/>
  </r>
  <r>
    <x v="774"/>
    <x v="361"/>
    <m/>
    <n v="42682"/>
    <x v="0"/>
    <s v="AP-10915"/>
    <s v="Arthur Prichep"/>
    <x v="0"/>
    <s v="United States"/>
    <x v="0"/>
    <x v="0"/>
    <x v="0"/>
    <s v="FUR-TA-10003392"/>
    <s v="Furniture"/>
    <x v="2"/>
    <s v="Global Adaptabilities Conference Tables"/>
    <n v="842.94"/>
    <n v="3"/>
    <n v="160.15860000000001"/>
    <x v="2"/>
    <x v="0"/>
  </r>
  <r>
    <x v="775"/>
    <x v="556"/>
    <m/>
    <n v="42178"/>
    <x v="1"/>
    <s v="LH-17155"/>
    <s v="Logan Haushalter"/>
    <x v="0"/>
    <s v="United States"/>
    <x v="2"/>
    <x v="2"/>
    <x v="1"/>
    <s v="FUR-FU-10000732"/>
    <s v="Furniture"/>
    <x v="3"/>
    <s v="Eldon 200 Class Desk Accessories"/>
    <n v="12.56"/>
    <n v="2"/>
    <n v="4.0191999999999997"/>
    <x v="4"/>
    <x v="2"/>
  </r>
  <r>
    <x v="776"/>
    <x v="557"/>
    <m/>
    <n v="42557"/>
    <x v="2"/>
    <s v="AA-10645"/>
    <s v="Anna Andreadi"/>
    <x v="0"/>
    <s v="United States"/>
    <x v="28"/>
    <x v="2"/>
    <x v="1"/>
    <s v="FUR-FU-10000221"/>
    <s v="Furniture"/>
    <x v="3"/>
    <s v="Master Caster Door Stop, Brown"/>
    <n v="25.4"/>
    <n v="5"/>
    <n v="8.6359999999999992"/>
    <x v="3"/>
    <x v="3"/>
  </r>
  <r>
    <x v="776"/>
    <x v="557"/>
    <m/>
    <n v="42557"/>
    <x v="2"/>
    <s v="AA-10645"/>
    <s v="Anna Andreadi"/>
    <x v="0"/>
    <s v="United States"/>
    <x v="28"/>
    <x v="2"/>
    <x v="1"/>
    <s v="FUR-BO-10001811"/>
    <s v="Furniture"/>
    <x v="0"/>
    <s v="Atlantic Metals Mobile 5-Shelf Bookcases, Custom Colors"/>
    <n v="1279.165"/>
    <n v="5"/>
    <n v="225.73500000000001"/>
    <x v="3"/>
    <x v="3"/>
  </r>
  <r>
    <x v="777"/>
    <x v="558"/>
    <m/>
    <n v="42255"/>
    <x v="1"/>
    <s v="AS-10630"/>
    <s v="Ann Steele"/>
    <x v="2"/>
    <s v="United States"/>
    <x v="28"/>
    <x v="2"/>
    <x v="1"/>
    <s v="FUR-CH-10002372"/>
    <s v="Furniture"/>
    <x v="1"/>
    <s v="Office Star - Ergonomically Designed Knee Chair"/>
    <n v="129.56800000000001"/>
    <n v="2"/>
    <n v="-12.956799999999999"/>
    <x v="2"/>
    <x v="4"/>
  </r>
  <r>
    <x v="778"/>
    <x v="559"/>
    <m/>
    <n v="43009"/>
    <x v="2"/>
    <s v="DS-13030"/>
    <s v="Darrin Sayre"/>
    <x v="2"/>
    <s v="United States"/>
    <x v="14"/>
    <x v="12"/>
    <x v="1"/>
    <s v="FUR-FU-10001979"/>
    <s v="Furniture"/>
    <x v="3"/>
    <s v="Dana Halogen Swing-Arm Architect Lamp"/>
    <n v="32.776000000000003"/>
    <n v="1"/>
    <n v="3.2776000000000001"/>
    <x v="0"/>
    <x v="4"/>
  </r>
  <r>
    <x v="779"/>
    <x v="241"/>
    <m/>
    <n v="43070"/>
    <x v="1"/>
    <s v="KA-16525"/>
    <s v="Kelly Andreada"/>
    <x v="0"/>
    <s v="United States"/>
    <x v="13"/>
    <x v="7"/>
    <x v="2"/>
    <s v="FUR-BO-10000780"/>
    <s v="Furniture"/>
    <x v="0"/>
    <s v="O'Sullivan Plantations 2-Door Library in Landvery Oak"/>
    <n v="321.56799999999998"/>
    <n v="2"/>
    <n v="-16.078399999999998"/>
    <x v="1"/>
    <x v="0"/>
  </r>
  <r>
    <x v="780"/>
    <x v="258"/>
    <m/>
    <n v="42867"/>
    <x v="1"/>
    <s v="DJ-13510"/>
    <s v="Don Jones"/>
    <x v="1"/>
    <s v="United States"/>
    <x v="3"/>
    <x v="3"/>
    <x v="2"/>
    <s v="FUR-CH-10003535"/>
    <s v="Furniture"/>
    <x v="1"/>
    <s v="Global Armless Task Chair, Royal Blue"/>
    <n v="128.05799999999999"/>
    <n v="3"/>
    <n v="-23.7822"/>
    <x v="4"/>
    <x v="7"/>
  </r>
  <r>
    <x v="781"/>
    <x v="560"/>
    <m/>
    <n v="43007"/>
    <x v="3"/>
    <s v="MG-17680"/>
    <s v="Maureen Gastineau"/>
    <x v="2"/>
    <s v="United States"/>
    <x v="245"/>
    <x v="15"/>
    <x v="2"/>
    <s v="FUR-CH-10003774"/>
    <s v="Furniture"/>
    <x v="1"/>
    <s v="Global Wood Trimmed Manager's Task Chair, Khaki"/>
    <n v="63.686"/>
    <n v="1"/>
    <n v="-15.4666"/>
    <x v="7"/>
    <x v="4"/>
  </r>
  <r>
    <x v="781"/>
    <x v="560"/>
    <m/>
    <n v="43007"/>
    <x v="3"/>
    <s v="MG-17680"/>
    <s v="Maureen Gastineau"/>
    <x v="2"/>
    <s v="United States"/>
    <x v="245"/>
    <x v="15"/>
    <x v="2"/>
    <s v="FUR-TA-10004442"/>
    <s v="Furniture"/>
    <x v="2"/>
    <s v="Riverside Furniture Stanwyck Manor Table Series"/>
    <n v="344.22"/>
    <n v="2"/>
    <n v="-189.321"/>
    <x v="7"/>
    <x v="4"/>
  </r>
  <r>
    <x v="781"/>
    <x v="560"/>
    <m/>
    <n v="43007"/>
    <x v="3"/>
    <s v="MG-17680"/>
    <s v="Maureen Gastineau"/>
    <x v="2"/>
    <s v="United States"/>
    <x v="245"/>
    <x v="15"/>
    <x v="2"/>
    <s v="FUR-FU-10004586"/>
    <s v="Furniture"/>
    <x v="3"/>
    <s v="G.E. Longer-Life Indoor Recessed Floodlight Bulbs"/>
    <n v="21.248000000000001"/>
    <n v="4"/>
    <n v="7.4367999999999999"/>
    <x v="7"/>
    <x v="4"/>
  </r>
  <r>
    <x v="782"/>
    <x v="546"/>
    <m/>
    <n v="43030"/>
    <x v="3"/>
    <s v="BD-11620"/>
    <s v="Brian DeCherney"/>
    <x v="0"/>
    <s v="United States"/>
    <x v="246"/>
    <x v="37"/>
    <x v="3"/>
    <s v="FUR-TA-10003748"/>
    <s v="Furniture"/>
    <x v="2"/>
    <s v="Bevis 36 x 72 Conference Tables"/>
    <n v="248.98"/>
    <n v="2"/>
    <n v="54.775599999999997"/>
    <x v="7"/>
    <x v="1"/>
  </r>
  <r>
    <x v="783"/>
    <x v="561"/>
    <m/>
    <n v="42968"/>
    <x v="1"/>
    <s v="JM-15250"/>
    <s v="Janet Martin"/>
    <x v="0"/>
    <s v="United States"/>
    <x v="2"/>
    <x v="2"/>
    <x v="1"/>
    <s v="FUR-TA-10001095"/>
    <s v="Furniture"/>
    <x v="2"/>
    <s v="Chromcraft Round Conference Tables"/>
    <n v="418.29599999999999"/>
    <n v="3"/>
    <n v="5.2286999999999999"/>
    <x v="1"/>
    <x v="10"/>
  </r>
  <r>
    <x v="784"/>
    <x v="280"/>
    <m/>
    <n v="41976"/>
    <x v="0"/>
    <s v="JK-15730"/>
    <s v="Joe Kamberova"/>
    <x v="0"/>
    <s v="United States"/>
    <x v="29"/>
    <x v="15"/>
    <x v="2"/>
    <s v="FUR-FU-10000221"/>
    <s v="Furniture"/>
    <x v="3"/>
    <s v="Master Caster Door Stop, Brown"/>
    <n v="8.1280000000000001"/>
    <n v="2"/>
    <n v="1.4224000000000001"/>
    <x v="3"/>
    <x v="5"/>
  </r>
  <r>
    <x v="784"/>
    <x v="280"/>
    <m/>
    <n v="41976"/>
    <x v="0"/>
    <s v="JK-15730"/>
    <s v="Joe Kamberova"/>
    <x v="0"/>
    <s v="United States"/>
    <x v="29"/>
    <x v="15"/>
    <x v="2"/>
    <s v="FUR-CH-10000015"/>
    <s v="Furniture"/>
    <x v="1"/>
    <s v="Hon Multipurpose Stacking Arm Chairs"/>
    <n v="909.72"/>
    <n v="6"/>
    <n v="-51.984000000000002"/>
    <x v="3"/>
    <x v="5"/>
  </r>
  <r>
    <x v="785"/>
    <x v="562"/>
    <m/>
    <n v="42909"/>
    <x v="1"/>
    <s v="CC-12670"/>
    <s v="Craig Carreira"/>
    <x v="0"/>
    <s v="United States"/>
    <x v="2"/>
    <x v="2"/>
    <x v="1"/>
    <s v="FUR-BO-10004015"/>
    <s v="Furniture"/>
    <x v="0"/>
    <s v="Bush Andora Bookcase, Maple/Graphite Gray Finish"/>
    <n v="917.92349999999999"/>
    <n v="9"/>
    <n v="75.593699999999998"/>
    <x v="2"/>
    <x v="2"/>
  </r>
  <r>
    <x v="786"/>
    <x v="109"/>
    <m/>
    <n v="42002"/>
    <x v="1"/>
    <s v="BF-11170"/>
    <s v="Ben Ferrer"/>
    <x v="2"/>
    <s v="United States"/>
    <x v="2"/>
    <x v="2"/>
    <x v="1"/>
    <s v="FUR-FU-10002554"/>
    <s v="Furniture"/>
    <x v="3"/>
    <s v="Westinghouse Floor Lamp with Metal Mesh Shade, Black"/>
    <n v="23.99"/>
    <n v="1"/>
    <n v="5.5176999999999996"/>
    <x v="2"/>
    <x v="5"/>
  </r>
  <r>
    <x v="787"/>
    <x v="563"/>
    <m/>
    <n v="42884"/>
    <x v="1"/>
    <s v="VS-21820"/>
    <s v="Vivek Sundaresam"/>
    <x v="0"/>
    <s v="United States"/>
    <x v="2"/>
    <x v="2"/>
    <x v="1"/>
    <s v="FUR-TA-10001520"/>
    <s v="Furniture"/>
    <x v="2"/>
    <s v="Lesro Sheffield Collection Coffee Table, End Table, Center Table, Corner Table"/>
    <n v="171.28800000000001"/>
    <n v="3"/>
    <n v="-6.4233000000000002"/>
    <x v="6"/>
    <x v="7"/>
  </r>
  <r>
    <x v="788"/>
    <x v="480"/>
    <m/>
    <n v="42688"/>
    <x v="1"/>
    <s v="KM-16225"/>
    <s v="Kalyca Meade"/>
    <x v="1"/>
    <s v="United States"/>
    <x v="76"/>
    <x v="23"/>
    <x v="3"/>
    <s v="FUR-FU-10001085"/>
    <s v="Furniture"/>
    <x v="3"/>
    <s v="3M Polarizing Light Filter Sleeves"/>
    <n v="37.299999999999997"/>
    <n v="2"/>
    <n v="17.158000000000001"/>
    <x v="4"/>
    <x v="0"/>
  </r>
  <r>
    <x v="789"/>
    <x v="78"/>
    <m/>
    <n v="42675"/>
    <x v="0"/>
    <s v="BW-11200"/>
    <s v="Ben Wallace"/>
    <x v="0"/>
    <s v="United States"/>
    <x v="247"/>
    <x v="25"/>
    <x v="0"/>
    <s v="FUR-CH-10000847"/>
    <s v="Furniture"/>
    <x v="1"/>
    <s v="Global Executive Mid-Back Manager's Chair"/>
    <n v="290.98"/>
    <n v="1"/>
    <n v="75.654799999999994"/>
    <x v="2"/>
    <x v="1"/>
  </r>
  <r>
    <x v="790"/>
    <x v="564"/>
    <m/>
    <n v="41696"/>
    <x v="1"/>
    <s v="LC-16930"/>
    <s v="Linda Cazamias"/>
    <x v="1"/>
    <s v="United States"/>
    <x v="52"/>
    <x v="6"/>
    <x v="3"/>
    <s v="FUR-FU-10000221"/>
    <s v="Furniture"/>
    <x v="3"/>
    <s v="Master Caster Door Stop, Brown"/>
    <n v="20.32"/>
    <n v="4"/>
    <n v="6.9088000000000003"/>
    <x v="6"/>
    <x v="11"/>
  </r>
  <r>
    <x v="791"/>
    <x v="565"/>
    <m/>
    <n v="41949"/>
    <x v="1"/>
    <s v="RD-19720"/>
    <s v="Roger Demir"/>
    <x v="0"/>
    <s v="United States"/>
    <x v="13"/>
    <x v="7"/>
    <x v="2"/>
    <s v="FUR-FU-10004018"/>
    <s v="Furniture"/>
    <x v="3"/>
    <s v="Tensor Computer Mounted Lamp"/>
    <n v="89.34"/>
    <n v="6"/>
    <n v="24.1218"/>
    <x v="4"/>
    <x v="0"/>
  </r>
  <r>
    <x v="792"/>
    <x v="357"/>
    <m/>
    <n v="42939"/>
    <x v="1"/>
    <s v="BE-11335"/>
    <s v="Bill Eplett"/>
    <x v="2"/>
    <s v="United States"/>
    <x v="248"/>
    <x v="7"/>
    <x v="2"/>
    <s v="FUR-FU-10004848"/>
    <s v="Furniture"/>
    <x v="3"/>
    <s v="DAX Solid Wood Frames"/>
    <n v="39.08"/>
    <n v="4"/>
    <n v="14.4596"/>
    <x v="6"/>
    <x v="3"/>
  </r>
  <r>
    <x v="793"/>
    <x v="566"/>
    <m/>
    <n v="42691"/>
    <x v="2"/>
    <s v="MB-17305"/>
    <s v="Maria Bertelson"/>
    <x v="0"/>
    <s v="United States"/>
    <x v="13"/>
    <x v="7"/>
    <x v="2"/>
    <s v="FUR-CH-10002335"/>
    <s v="Furniture"/>
    <x v="1"/>
    <s v="Hon GuestStacker Chair"/>
    <n v="408.00599999999997"/>
    <n v="2"/>
    <n v="72.534400000000005"/>
    <x v="0"/>
    <x v="0"/>
  </r>
  <r>
    <x v="794"/>
    <x v="567"/>
    <m/>
    <n v="41922"/>
    <x v="3"/>
    <s v="TN-21040"/>
    <s v="Tanja Norvell"/>
    <x v="2"/>
    <s v="United States"/>
    <x v="249"/>
    <x v="2"/>
    <x v="1"/>
    <s v="FUR-CH-10002774"/>
    <s v="Furniture"/>
    <x v="1"/>
    <s v="Global Deluxe Stacking Chair, Gray"/>
    <n v="122.352"/>
    <n v="3"/>
    <n v="13.7646"/>
    <x v="7"/>
    <x v="1"/>
  </r>
  <r>
    <x v="795"/>
    <x v="220"/>
    <m/>
    <n v="42928"/>
    <x v="1"/>
    <s v="VF-21715"/>
    <s v="Vicky Freymann"/>
    <x v="2"/>
    <s v="United States"/>
    <x v="15"/>
    <x v="13"/>
    <x v="1"/>
    <s v="FUR-FU-10003142"/>
    <s v="Furniture"/>
    <x v="3"/>
    <s v="Master Big Foot Doorstop, Beige"/>
    <n v="15.84"/>
    <n v="3"/>
    <n v="4.9104000000000001"/>
    <x v="4"/>
    <x v="3"/>
  </r>
  <r>
    <x v="796"/>
    <x v="568"/>
    <m/>
    <n v="42065"/>
    <x v="1"/>
    <s v="ES-14080"/>
    <s v="Erin Smith"/>
    <x v="1"/>
    <s v="United States"/>
    <x v="134"/>
    <x v="38"/>
    <x v="2"/>
    <s v="FUR-TA-10004152"/>
    <s v="Furniture"/>
    <x v="2"/>
    <s v="Barricks 18&quot; x 48&quot; Non-Folding Utility Table with Bottom Storage Shelf"/>
    <n v="493.92"/>
    <n v="7"/>
    <n v="-28.224"/>
    <x v="0"/>
    <x v="11"/>
  </r>
  <r>
    <x v="797"/>
    <x v="569"/>
    <m/>
    <n v="42202"/>
    <x v="0"/>
    <s v="RL-19615"/>
    <s v="Rob Lucas"/>
    <x v="0"/>
    <s v="United States"/>
    <x v="9"/>
    <x v="8"/>
    <x v="3"/>
    <s v="FUR-CH-10004477"/>
    <s v="Furniture"/>
    <x v="1"/>
    <s v="Global Push Button Manager's Chair, Indigo"/>
    <n v="383.60700000000003"/>
    <n v="9"/>
    <n v="-5.4801000000000002"/>
    <x v="2"/>
    <x v="3"/>
  </r>
  <r>
    <x v="797"/>
    <x v="569"/>
    <m/>
    <n v="42202"/>
    <x v="0"/>
    <s v="RL-19615"/>
    <s v="Rob Lucas"/>
    <x v="0"/>
    <s v="United States"/>
    <x v="9"/>
    <x v="8"/>
    <x v="3"/>
    <s v="FUR-FU-10001861"/>
    <s v="Furniture"/>
    <x v="3"/>
    <s v="Floodlight Indoor Halogen Bulbs, 1 Bulb per Pack, 60 Watts"/>
    <n v="7.76"/>
    <n v="1"/>
    <n v="-2.1339999999999999"/>
    <x v="2"/>
    <x v="3"/>
  </r>
  <r>
    <x v="798"/>
    <x v="570"/>
    <m/>
    <n v="41837"/>
    <x v="1"/>
    <s v="GK-14620"/>
    <s v="Grace Kelly"/>
    <x v="1"/>
    <s v="United States"/>
    <x v="2"/>
    <x v="2"/>
    <x v="1"/>
    <s v="FUR-TA-10002855"/>
    <s v="Furniture"/>
    <x v="2"/>
    <s v="Bevis Round Conference Table Top &amp; Single Column Base"/>
    <n v="351.21600000000001"/>
    <n v="3"/>
    <n v="4.3902000000000001"/>
    <x v="4"/>
    <x v="3"/>
  </r>
  <r>
    <x v="799"/>
    <x v="421"/>
    <m/>
    <n v="42006"/>
    <x v="1"/>
    <s v="JF-15490"/>
    <s v="Jeremy Farry"/>
    <x v="0"/>
    <s v="United States"/>
    <x v="28"/>
    <x v="2"/>
    <x v="1"/>
    <s v="FUR-CH-10004886"/>
    <s v="Furniture"/>
    <x v="1"/>
    <s v="Bevis Steel Folding Chairs"/>
    <n v="230.28"/>
    <n v="3"/>
    <n v="23.027999999999999"/>
    <x v="6"/>
    <x v="5"/>
  </r>
  <r>
    <x v="800"/>
    <x v="571"/>
    <m/>
    <n v="41767"/>
    <x v="2"/>
    <s v="EB-13870"/>
    <s v="Emily Burns"/>
    <x v="0"/>
    <s v="United States"/>
    <x v="21"/>
    <x v="5"/>
    <x v="3"/>
    <s v="FUR-CH-10001146"/>
    <s v="Furniture"/>
    <x v="1"/>
    <s v="Global Value Mid-Back Manager's Chair, Gray"/>
    <n v="127.869"/>
    <n v="3"/>
    <n v="-9.1334999999999997"/>
    <x v="0"/>
    <x v="7"/>
  </r>
  <r>
    <x v="801"/>
    <x v="463"/>
    <m/>
    <n v="42347"/>
    <x v="0"/>
    <s v="HM-14860"/>
    <s v="Harry Marie"/>
    <x v="1"/>
    <s v="United States"/>
    <x v="2"/>
    <x v="2"/>
    <x v="1"/>
    <s v="FUR-FU-10002111"/>
    <s v="Furniture"/>
    <x v="3"/>
    <s v="Master Caster Door Stop, Large Brown"/>
    <n v="36.4"/>
    <n v="5"/>
    <n v="13.832000000000001"/>
    <x v="2"/>
    <x v="5"/>
  </r>
  <r>
    <x v="802"/>
    <x v="572"/>
    <m/>
    <n v="43008"/>
    <x v="1"/>
    <s v="SJ-20125"/>
    <s v="Sanjit Jacobs"/>
    <x v="2"/>
    <s v="United States"/>
    <x v="232"/>
    <x v="1"/>
    <x v="0"/>
    <s v="FUR-CH-10003298"/>
    <s v="Furniture"/>
    <x v="1"/>
    <s v="Office Star - Contemporary Task Swivel chair with Loop Arms, Charcoal"/>
    <n v="419.13600000000002"/>
    <n v="4"/>
    <n v="-57.6312"/>
    <x v="4"/>
    <x v="4"/>
  </r>
  <r>
    <x v="803"/>
    <x v="573"/>
    <m/>
    <n v="41750"/>
    <x v="0"/>
    <s v="NF-18595"/>
    <s v="Nicole Fjeld"/>
    <x v="2"/>
    <s v="United States"/>
    <x v="124"/>
    <x v="2"/>
    <x v="1"/>
    <s v="FUR-FU-10004017"/>
    <s v="Furniture"/>
    <x v="3"/>
    <s v="Executive Impressions 13&quot; Chairman Wall Clock"/>
    <n v="76.14"/>
    <n v="3"/>
    <n v="26.649000000000001"/>
    <x v="3"/>
    <x v="6"/>
  </r>
  <r>
    <x v="804"/>
    <x v="574"/>
    <m/>
    <n v="42722"/>
    <x v="1"/>
    <s v="MG-17650"/>
    <s v="Matthew Grinstein"/>
    <x v="2"/>
    <s v="United States"/>
    <x v="38"/>
    <x v="17"/>
    <x v="3"/>
    <s v="FUR-FU-10003724"/>
    <s v="Furniture"/>
    <x v="3"/>
    <s v="Westinghouse Clip-On Gooseneck Lamps"/>
    <n v="33.479999999999997"/>
    <n v="4"/>
    <n v="8.7048000000000005"/>
    <x v="6"/>
    <x v="5"/>
  </r>
  <r>
    <x v="805"/>
    <x v="107"/>
    <m/>
    <n v="42635"/>
    <x v="2"/>
    <s v="AP-10720"/>
    <s v="Anne Pryor"/>
    <x v="2"/>
    <s v="United States"/>
    <x v="3"/>
    <x v="3"/>
    <x v="2"/>
    <s v="FUR-FU-10003424"/>
    <s v="Furniture"/>
    <x v="3"/>
    <s v="Nu-Dell Oak Frame"/>
    <n v="25.632000000000001"/>
    <n v="3"/>
    <n v="3.8448000000000002"/>
    <x v="0"/>
    <x v="4"/>
  </r>
  <r>
    <x v="806"/>
    <x v="575"/>
    <m/>
    <n v="43043"/>
    <x v="0"/>
    <s v="NL-18310"/>
    <s v="Nancy Lomonaco"/>
    <x v="2"/>
    <s v="United States"/>
    <x v="250"/>
    <x v="2"/>
    <x v="1"/>
    <s v="FUR-FU-10002508"/>
    <s v="Furniture"/>
    <x v="3"/>
    <s v="Document Clip Frames"/>
    <n v="25.02"/>
    <n v="3"/>
    <n v="10.5084"/>
    <x v="3"/>
    <x v="0"/>
  </r>
  <r>
    <x v="807"/>
    <x v="576"/>
    <m/>
    <n v="42735"/>
    <x v="1"/>
    <s v="MC-18130"/>
    <s v="Mike Caudle"/>
    <x v="1"/>
    <s v="United States"/>
    <x v="2"/>
    <x v="2"/>
    <x v="1"/>
    <s v="FUR-CH-10003535"/>
    <s v="Furniture"/>
    <x v="1"/>
    <s v="Global Armless Task Chair, Royal Blue"/>
    <n v="146.352"/>
    <n v="3"/>
    <n v="-5.4882"/>
    <x v="2"/>
    <x v="5"/>
  </r>
  <r>
    <x v="807"/>
    <x v="576"/>
    <m/>
    <n v="42735"/>
    <x v="1"/>
    <s v="MC-18130"/>
    <s v="Mike Caudle"/>
    <x v="1"/>
    <s v="United States"/>
    <x v="2"/>
    <x v="2"/>
    <x v="1"/>
    <s v="FUR-TA-10003473"/>
    <s v="Furniture"/>
    <x v="2"/>
    <s v="Bretford Rectangular Conference Table Tops"/>
    <n v="902.71199999999999"/>
    <n v="3"/>
    <n v="33.851700000000001"/>
    <x v="2"/>
    <x v="5"/>
  </r>
  <r>
    <x v="808"/>
    <x v="370"/>
    <m/>
    <n v="42205"/>
    <x v="1"/>
    <s v="MG-17890"/>
    <s v="Michael Granlund"/>
    <x v="2"/>
    <s v="United States"/>
    <x v="237"/>
    <x v="32"/>
    <x v="2"/>
    <s v="FUR-CH-10004853"/>
    <s v="Furniture"/>
    <x v="1"/>
    <s v="Global Manager's Adjustable Task Chair, Storm"/>
    <n v="150.97999999999999"/>
    <n v="1"/>
    <n v="43.784199999999998"/>
    <x v="4"/>
    <x v="3"/>
  </r>
  <r>
    <x v="809"/>
    <x v="17"/>
    <m/>
    <n v="43053"/>
    <x v="1"/>
    <s v="JE-15745"/>
    <s v="Joel Eaton"/>
    <x v="0"/>
    <s v="United States"/>
    <x v="64"/>
    <x v="2"/>
    <x v="1"/>
    <s v="FUR-FU-10000023"/>
    <s v="Furniture"/>
    <x v="3"/>
    <s v="Eldon Wave Desk Accessories"/>
    <n v="47.12"/>
    <n v="8"/>
    <n v="20.732800000000001"/>
    <x v="2"/>
    <x v="0"/>
  </r>
  <r>
    <x v="810"/>
    <x v="231"/>
    <m/>
    <n v="42273"/>
    <x v="1"/>
    <s v="TH-21550"/>
    <s v="Tracy Hopkins"/>
    <x v="2"/>
    <s v="United States"/>
    <x v="114"/>
    <x v="20"/>
    <x v="2"/>
    <s v="FUR-CH-10000785"/>
    <s v="Furniture"/>
    <x v="1"/>
    <s v="Global Ergonomic Managers Chair"/>
    <n v="542.94000000000005"/>
    <n v="3"/>
    <n v="141.1644"/>
    <x v="2"/>
    <x v="4"/>
  </r>
  <r>
    <x v="811"/>
    <x v="198"/>
    <m/>
    <n v="42992"/>
    <x v="1"/>
    <s v="SO-20335"/>
    <s v="Sean O'Donnell"/>
    <x v="0"/>
    <s v="United States"/>
    <x v="11"/>
    <x v="9"/>
    <x v="0"/>
    <s v="FUR-FU-10000023"/>
    <s v="Furniture"/>
    <x v="3"/>
    <s v="Eldon Wave Desk Accessories"/>
    <n v="14.135999999999999"/>
    <n v="3"/>
    <n v="4.2408000000000001"/>
    <x v="2"/>
    <x v="4"/>
  </r>
  <r>
    <x v="812"/>
    <x v="233"/>
    <m/>
    <n v="42292"/>
    <x v="3"/>
    <s v="GA-14725"/>
    <s v="Guy Armstrong"/>
    <x v="0"/>
    <s v="United States"/>
    <x v="189"/>
    <x v="17"/>
    <x v="3"/>
    <s v="FUR-FU-10000719"/>
    <s v="Furniture"/>
    <x v="3"/>
    <s v="DAX Cubicle Frames, 8-1/2 x 11"/>
    <n v="17.14"/>
    <n v="2"/>
    <n v="6.1703999999999999"/>
    <x v="7"/>
    <x v="1"/>
  </r>
  <r>
    <x v="813"/>
    <x v="309"/>
    <m/>
    <n v="42955"/>
    <x v="0"/>
    <s v="BD-11725"/>
    <s v="Bruce Degenhardt"/>
    <x v="0"/>
    <s v="United States"/>
    <x v="28"/>
    <x v="2"/>
    <x v="1"/>
    <s v="FUR-FU-10000723"/>
    <s v="Furniture"/>
    <x v="3"/>
    <s v="Deflect-o EconoMat Studded, No Bevel Mat for Low Pile Carpeting"/>
    <n v="123.96"/>
    <n v="3"/>
    <n v="11.1564"/>
    <x v="2"/>
    <x v="10"/>
  </r>
  <r>
    <x v="814"/>
    <x v="130"/>
    <m/>
    <n v="42242"/>
    <x v="1"/>
    <s v="DS-13180"/>
    <s v="David Smith"/>
    <x v="1"/>
    <s v="United States"/>
    <x v="28"/>
    <x v="2"/>
    <x v="1"/>
    <s v="FUR-BO-10003893"/>
    <s v="Furniture"/>
    <x v="0"/>
    <s v="Sauder Camden County Collection Library"/>
    <n v="586.39800000000002"/>
    <n v="6"/>
    <n v="34.494"/>
    <x v="2"/>
    <x v="10"/>
  </r>
  <r>
    <x v="815"/>
    <x v="546"/>
    <m/>
    <n v="43032"/>
    <x v="0"/>
    <s v="HA-14905"/>
    <s v="Helen Abelman"/>
    <x v="0"/>
    <s v="United States"/>
    <x v="200"/>
    <x v="12"/>
    <x v="1"/>
    <s v="FUR-CH-10000749"/>
    <s v="Furniture"/>
    <x v="1"/>
    <s v="Office Star - Ergonomic Mid Back Chair with 2-Way Adjustable Arms"/>
    <n v="579.13599999999997"/>
    <n v="4"/>
    <n v="-28.956800000000001"/>
    <x v="3"/>
    <x v="1"/>
  </r>
  <r>
    <x v="816"/>
    <x v="577"/>
    <m/>
    <n v="42598"/>
    <x v="1"/>
    <s v="BC-11125"/>
    <s v="Becky Castell"/>
    <x v="2"/>
    <s v="United States"/>
    <x v="13"/>
    <x v="7"/>
    <x v="2"/>
    <s v="FUR-CH-10000225"/>
    <s v="Furniture"/>
    <x v="1"/>
    <s v="Global Geo Office Task Chair, Gray"/>
    <n v="145.76400000000001"/>
    <n v="2"/>
    <n v="-8.0980000000000008"/>
    <x v="4"/>
    <x v="10"/>
  </r>
  <r>
    <x v="817"/>
    <x v="578"/>
    <m/>
    <n v="42491"/>
    <x v="1"/>
    <s v="DB-13360"/>
    <s v="Dennis Bolton"/>
    <x v="2"/>
    <s v="United States"/>
    <x v="13"/>
    <x v="7"/>
    <x v="2"/>
    <s v="FUR-CH-10004983"/>
    <s v="Furniture"/>
    <x v="1"/>
    <s v="Office Star - Mid Back Dual function Ergonomic High Back Chair with 2-Way Adjustable Arms"/>
    <n v="434.64600000000002"/>
    <n v="3"/>
    <n v="62.782200000000003"/>
    <x v="2"/>
    <x v="6"/>
  </r>
  <r>
    <x v="818"/>
    <x v="496"/>
    <m/>
    <n v="42131"/>
    <x v="1"/>
    <s v="SV-20785"/>
    <s v="Stewart Visinsky"/>
    <x v="0"/>
    <s v="United States"/>
    <x v="3"/>
    <x v="3"/>
    <x v="2"/>
    <s v="FUR-CH-10002965"/>
    <s v="Furniture"/>
    <x v="1"/>
    <s v="Global Leather Highback Executive Chair with Pneumatic Height Adjustment, Black"/>
    <n v="844.11599999999999"/>
    <n v="6"/>
    <n v="-36.176400000000001"/>
    <x v="4"/>
    <x v="7"/>
  </r>
  <r>
    <x v="819"/>
    <x v="579"/>
    <m/>
    <n v="42386"/>
    <x v="1"/>
    <s v="KB-16585"/>
    <s v="Ken Black"/>
    <x v="1"/>
    <s v="United States"/>
    <x v="15"/>
    <x v="13"/>
    <x v="1"/>
    <s v="FUR-FU-10000076"/>
    <s v="Furniture"/>
    <x v="3"/>
    <s v="24-Hour Round Wall Clock"/>
    <n v="79.92"/>
    <n v="4"/>
    <n v="34.365600000000001"/>
    <x v="1"/>
    <x v="8"/>
  </r>
  <r>
    <x v="820"/>
    <x v="580"/>
    <m/>
    <n v="42866"/>
    <x v="1"/>
    <s v="DB-13555"/>
    <s v="Dorothy Badders"/>
    <x v="1"/>
    <s v="United States"/>
    <x v="50"/>
    <x v="5"/>
    <x v="3"/>
    <s v="FUR-BO-10001601"/>
    <s v="Furniture"/>
    <x v="0"/>
    <s v="Sauder Mission Library with Doors, Fruitwood Finish"/>
    <n v="623.46479999999997"/>
    <n v="7"/>
    <n v="-119.1918"/>
    <x v="2"/>
    <x v="7"/>
  </r>
  <r>
    <x v="821"/>
    <x v="581"/>
    <m/>
    <n v="42588"/>
    <x v="1"/>
    <s v="KL-16645"/>
    <s v="Ken Lonsdale"/>
    <x v="0"/>
    <s v="United States"/>
    <x v="25"/>
    <x v="17"/>
    <x v="3"/>
    <s v="FUR-FU-10002918"/>
    <s v="Furniture"/>
    <x v="3"/>
    <s v="Eldon ClusterMat Chair Mat with Cordless Antistatic Protection"/>
    <n v="272.94"/>
    <n v="3"/>
    <n v="30.023399999999999"/>
    <x v="6"/>
    <x v="3"/>
  </r>
  <r>
    <x v="822"/>
    <x v="582"/>
    <m/>
    <n v="42823"/>
    <x v="0"/>
    <s v="AG-10270"/>
    <s v="Alejandro Grove"/>
    <x v="0"/>
    <s v="United States"/>
    <x v="3"/>
    <x v="3"/>
    <x v="2"/>
    <s v="FUR-FU-10003832"/>
    <s v="Furniture"/>
    <x v="3"/>
    <s v="Eldon Expressions Punched Metal &amp; Wood Desk Accessories, Black &amp; Cherry"/>
    <n v="15.007999999999999"/>
    <n v="2"/>
    <n v="1.5007999999999999"/>
    <x v="3"/>
    <x v="9"/>
  </r>
  <r>
    <x v="823"/>
    <x v="583"/>
    <m/>
    <n v="42616"/>
    <x v="1"/>
    <s v="GB-14530"/>
    <s v="George Bell"/>
    <x v="1"/>
    <s v="United States"/>
    <x v="3"/>
    <x v="3"/>
    <x v="2"/>
    <s v="FUR-TA-10004152"/>
    <s v="Furniture"/>
    <x v="2"/>
    <s v="Barricks 18&quot; x 48&quot; Non-Folding Utility Table with Bottom Storage Shelf"/>
    <n v="241.92"/>
    <n v="4"/>
    <n v="-56.448"/>
    <x v="2"/>
    <x v="10"/>
  </r>
  <r>
    <x v="823"/>
    <x v="583"/>
    <m/>
    <n v="42616"/>
    <x v="1"/>
    <s v="GB-14530"/>
    <s v="George Bell"/>
    <x v="1"/>
    <s v="United States"/>
    <x v="3"/>
    <x v="3"/>
    <x v="2"/>
    <s v="FUR-BO-10002853"/>
    <s v="Furniture"/>
    <x v="0"/>
    <s v="O'Sullivan 5-Shelf Heavy-Duty Bookcases"/>
    <n v="163.88"/>
    <n v="4"/>
    <n v="-81.94"/>
    <x v="2"/>
    <x v="10"/>
  </r>
  <r>
    <x v="824"/>
    <x v="191"/>
    <m/>
    <n v="41995"/>
    <x v="2"/>
    <s v="CT-11995"/>
    <s v="Carol Triggs"/>
    <x v="0"/>
    <s v="United States"/>
    <x v="104"/>
    <x v="22"/>
    <x v="1"/>
    <s v="FUR-FU-10001876"/>
    <s v="Furniture"/>
    <x v="3"/>
    <s v="Computer Room Manger, 14&quot;"/>
    <n v="51.968000000000004"/>
    <n v="2"/>
    <n v="10.393599999999999"/>
    <x v="3"/>
    <x v="5"/>
  </r>
  <r>
    <x v="824"/>
    <x v="191"/>
    <m/>
    <n v="41995"/>
    <x v="2"/>
    <s v="CT-11995"/>
    <s v="Carol Triggs"/>
    <x v="0"/>
    <s v="United States"/>
    <x v="104"/>
    <x v="22"/>
    <x v="1"/>
    <s v="FUR-CH-10004860"/>
    <s v="Furniture"/>
    <x v="1"/>
    <s v="Global Low Back Tilter Chair"/>
    <n v="242.352"/>
    <n v="3"/>
    <n v="-42.4116"/>
    <x v="3"/>
    <x v="5"/>
  </r>
  <r>
    <x v="825"/>
    <x v="584"/>
    <m/>
    <n v="42355"/>
    <x v="3"/>
    <s v="JL-15835"/>
    <s v="John Lee"/>
    <x v="0"/>
    <s v="United States"/>
    <x v="25"/>
    <x v="17"/>
    <x v="3"/>
    <s v="FUR-CH-10003846"/>
    <s v="Furniture"/>
    <x v="1"/>
    <s v="Hon Valutask Swivel Chairs"/>
    <n v="302.94"/>
    <n v="3"/>
    <n v="48.470399999999998"/>
    <x v="7"/>
    <x v="5"/>
  </r>
  <r>
    <x v="825"/>
    <x v="584"/>
    <m/>
    <n v="42355"/>
    <x v="3"/>
    <s v="JL-15835"/>
    <s v="John Lee"/>
    <x v="0"/>
    <s v="United States"/>
    <x v="25"/>
    <x v="17"/>
    <x v="3"/>
    <s v="FUR-CH-10004875"/>
    <s v="Furniture"/>
    <x v="1"/>
    <s v="Harbour Creations 67200 Series Stacking Chairs"/>
    <n v="142.36000000000001"/>
    <n v="2"/>
    <n v="38.437199999999997"/>
    <x v="7"/>
    <x v="5"/>
  </r>
  <r>
    <x v="825"/>
    <x v="584"/>
    <m/>
    <n v="42355"/>
    <x v="3"/>
    <s v="JL-15835"/>
    <s v="John Lee"/>
    <x v="0"/>
    <s v="United States"/>
    <x v="25"/>
    <x v="17"/>
    <x v="3"/>
    <s v="FUR-CH-10003817"/>
    <s v="Furniture"/>
    <x v="1"/>
    <s v="Global Value Steno Chair, Gray"/>
    <n v="546.66"/>
    <n v="9"/>
    <n v="136.66499999999999"/>
    <x v="7"/>
    <x v="5"/>
  </r>
  <r>
    <x v="825"/>
    <x v="584"/>
    <m/>
    <n v="42355"/>
    <x v="3"/>
    <s v="JL-15835"/>
    <s v="John Lee"/>
    <x v="0"/>
    <s v="United States"/>
    <x v="25"/>
    <x v="17"/>
    <x v="3"/>
    <s v="FUR-FU-10002116"/>
    <s v="Furniture"/>
    <x v="3"/>
    <s v="Tenex Carpeted, Granite-Look or Clear Contemporary Contour Shape Chair Mats"/>
    <n v="212.13"/>
    <n v="3"/>
    <n v="14.8491"/>
    <x v="7"/>
    <x v="5"/>
  </r>
  <r>
    <x v="826"/>
    <x v="585"/>
    <m/>
    <n v="42872"/>
    <x v="1"/>
    <s v="JK-16120"/>
    <s v="Julie Kriz"/>
    <x v="2"/>
    <s v="United States"/>
    <x v="198"/>
    <x v="5"/>
    <x v="3"/>
    <s v="FUR-FU-10001967"/>
    <s v="Furniture"/>
    <x v="3"/>
    <s v="Telescoping Adjustable Floor Lamp"/>
    <n v="7.9960000000000004"/>
    <n v="1"/>
    <n v="-6.9965000000000002"/>
    <x v="6"/>
    <x v="7"/>
  </r>
  <r>
    <x v="827"/>
    <x v="586"/>
    <m/>
    <n v="42508"/>
    <x v="2"/>
    <s v="AG-10900"/>
    <s v="Arthur Gainer"/>
    <x v="0"/>
    <s v="United States"/>
    <x v="251"/>
    <x v="19"/>
    <x v="2"/>
    <s v="FUR-FU-10003975"/>
    <s v="Furniture"/>
    <x v="3"/>
    <s v="Eldon Advantage Chair Mats for Low to Medium Pile Carpets"/>
    <n v="173.24"/>
    <n v="4"/>
    <n v="17.324000000000002"/>
    <x v="5"/>
    <x v="7"/>
  </r>
  <r>
    <x v="828"/>
    <x v="439"/>
    <m/>
    <n v="41994"/>
    <x v="1"/>
    <s v="EJ-13720"/>
    <s v="Ed Jacobs"/>
    <x v="0"/>
    <s v="United States"/>
    <x v="156"/>
    <x v="5"/>
    <x v="3"/>
    <s v="FUR-FU-10002116"/>
    <s v="Furniture"/>
    <x v="3"/>
    <s v="Tenex Carpeted, Granite-Look or Clear Contemporary Contour Shape Chair Mats"/>
    <n v="56.567999999999998"/>
    <n v="2"/>
    <n v="-74.952600000000004"/>
    <x v="2"/>
    <x v="5"/>
  </r>
  <r>
    <x v="829"/>
    <x v="587"/>
    <m/>
    <n v="43076"/>
    <x v="0"/>
    <s v="CM-12655"/>
    <s v="Corinna Mitchell"/>
    <x v="2"/>
    <s v="United States"/>
    <x v="15"/>
    <x v="13"/>
    <x v="1"/>
    <s v="FUR-TA-10002958"/>
    <s v="Furniture"/>
    <x v="2"/>
    <s v="Bevis Oval Conference Table, Walnut"/>
    <n v="521.96"/>
    <n v="2"/>
    <n v="88.733199999999997"/>
    <x v="4"/>
    <x v="5"/>
  </r>
  <r>
    <x v="830"/>
    <x v="588"/>
    <m/>
    <n v="41801"/>
    <x v="0"/>
    <s v="NR-18550"/>
    <s v="Nick Radford"/>
    <x v="0"/>
    <s v="United States"/>
    <x v="14"/>
    <x v="8"/>
    <x v="3"/>
    <s v="FUR-TA-10002041"/>
    <s v="Furniture"/>
    <x v="2"/>
    <s v="Bevis Round Conference Table Top, X-Base"/>
    <n v="268.935"/>
    <n v="3"/>
    <n v="-209.76929999999999"/>
    <x v="4"/>
    <x v="2"/>
  </r>
  <r>
    <x v="831"/>
    <x v="306"/>
    <m/>
    <n v="41972"/>
    <x v="0"/>
    <s v="MP-18175"/>
    <s v="Mike Pelletier"/>
    <x v="2"/>
    <s v="United States"/>
    <x v="13"/>
    <x v="7"/>
    <x v="2"/>
    <s v="FUR-BO-10003159"/>
    <s v="Furniture"/>
    <x v="0"/>
    <s v="Sauder Camden County Collection Libraries, Planked Cherry Finish"/>
    <n v="275.952"/>
    <n v="3"/>
    <n v="-37.943399999999997"/>
    <x v="4"/>
    <x v="0"/>
  </r>
  <r>
    <x v="832"/>
    <x v="165"/>
    <m/>
    <n v="42094"/>
    <x v="0"/>
    <s v="RB-19435"/>
    <s v="Richard Bierner"/>
    <x v="0"/>
    <s v="United States"/>
    <x v="53"/>
    <x v="2"/>
    <x v="1"/>
    <s v="FUR-FU-10004586"/>
    <s v="Furniture"/>
    <x v="3"/>
    <s v="G.E. Longer-Life Indoor Recessed Floodlight Bulbs"/>
    <n v="19.920000000000002"/>
    <n v="3"/>
    <n v="9.5616000000000003"/>
    <x v="3"/>
    <x v="9"/>
  </r>
  <r>
    <x v="833"/>
    <x v="589"/>
    <m/>
    <n v="42472"/>
    <x v="1"/>
    <s v="Dl-13600"/>
    <s v="Dorris liebe"/>
    <x v="1"/>
    <s v="United States"/>
    <x v="13"/>
    <x v="7"/>
    <x v="2"/>
    <s v="FUR-CH-10000454"/>
    <s v="Furniture"/>
    <x v="1"/>
    <s v="Hon Deluxe Fabric Upholstered Stacking Chairs, Rounded Back"/>
    <n v="658.74599999999998"/>
    <n v="3"/>
    <n v="146.38800000000001"/>
    <x v="2"/>
    <x v="6"/>
  </r>
  <r>
    <x v="834"/>
    <x v="590"/>
    <m/>
    <n v="42059"/>
    <x v="1"/>
    <s v="GT-14755"/>
    <s v="Guy Thornton"/>
    <x v="0"/>
    <s v="United States"/>
    <x v="62"/>
    <x v="2"/>
    <x v="1"/>
    <s v="FUR-TA-10001676"/>
    <s v="Furniture"/>
    <x v="2"/>
    <s v="Hon 61000 Series Interactive Training Tables"/>
    <n v="35.543999999999997"/>
    <n v="1"/>
    <n v="-0.88859999999999995"/>
    <x v="6"/>
    <x v="11"/>
  </r>
  <r>
    <x v="835"/>
    <x v="492"/>
    <m/>
    <n v="42432"/>
    <x v="3"/>
    <s v="TS-21160"/>
    <s v="Theresa Swint"/>
    <x v="1"/>
    <s v="United States"/>
    <x v="28"/>
    <x v="2"/>
    <x v="1"/>
    <s v="FUR-FU-10000672"/>
    <s v="Furniture"/>
    <x v="3"/>
    <s v="Executive Impressions 10&quot; Spectator Wall Clock"/>
    <n v="35.28"/>
    <n v="3"/>
    <n v="11.995200000000001"/>
    <x v="7"/>
    <x v="9"/>
  </r>
  <r>
    <x v="836"/>
    <x v="93"/>
    <m/>
    <n v="43063"/>
    <x v="1"/>
    <s v="ES-14020"/>
    <s v="Erica Smith"/>
    <x v="0"/>
    <s v="United States"/>
    <x v="38"/>
    <x v="9"/>
    <x v="0"/>
    <s v="FUR-CH-10001482"/>
    <s v="Furniture"/>
    <x v="1"/>
    <s v="Office Star - Mesh Screen back chair with Vinyl seat"/>
    <n v="209.56800000000001"/>
    <n v="2"/>
    <n v="-23.5764"/>
    <x v="4"/>
    <x v="0"/>
  </r>
  <r>
    <x v="837"/>
    <x v="68"/>
    <m/>
    <n v="43066"/>
    <x v="1"/>
    <s v="CM-12385"/>
    <s v="Christopher Martinez"/>
    <x v="0"/>
    <s v="United States"/>
    <x v="9"/>
    <x v="8"/>
    <x v="3"/>
    <s v="FUR-FU-10004909"/>
    <s v="Furniture"/>
    <x v="3"/>
    <s v="Contemporary Wood/Metal Frame"/>
    <n v="6.4640000000000004"/>
    <n v="1"/>
    <n v="-4.04"/>
    <x v="4"/>
    <x v="0"/>
  </r>
  <r>
    <x v="838"/>
    <x v="591"/>
    <m/>
    <n v="41830"/>
    <x v="2"/>
    <s v="MH-18025"/>
    <s v="Michelle Huthwaite"/>
    <x v="0"/>
    <s v="United States"/>
    <x v="252"/>
    <x v="7"/>
    <x v="2"/>
    <s v="FUR-CH-10002647"/>
    <s v="Furniture"/>
    <x v="1"/>
    <s v="Situations Contoured Folding Chairs, 4/Set"/>
    <n v="63.881999999999998"/>
    <n v="1"/>
    <n v="10.647"/>
    <x v="3"/>
    <x v="3"/>
  </r>
  <r>
    <x v="839"/>
    <x v="592"/>
    <m/>
    <n v="41955"/>
    <x v="1"/>
    <s v="SC-20725"/>
    <s v="Steven Cartwright"/>
    <x v="0"/>
    <s v="United States"/>
    <x v="6"/>
    <x v="5"/>
    <x v="3"/>
    <s v="FUR-CH-10002758"/>
    <s v="Furniture"/>
    <x v="1"/>
    <s v="Hon Deluxe Fabric Upholstered Stacking Chairs, Squared Back"/>
    <n v="683.14400000000001"/>
    <n v="4"/>
    <n v="0"/>
    <x v="2"/>
    <x v="0"/>
  </r>
  <r>
    <x v="840"/>
    <x v="593"/>
    <m/>
    <n v="42354"/>
    <x v="1"/>
    <s v="IM-15070"/>
    <s v="Irene Maddox"/>
    <x v="0"/>
    <s v="United States"/>
    <x v="30"/>
    <x v="12"/>
    <x v="1"/>
    <s v="FUR-BO-10003450"/>
    <s v="Furniture"/>
    <x v="0"/>
    <s v="Bush Westfield Collection Bookcases, Dark Cherry Finish"/>
    <n v="69.575999999999993"/>
    <n v="4"/>
    <n v="-143.79040000000001"/>
    <x v="2"/>
    <x v="5"/>
  </r>
  <r>
    <x v="840"/>
    <x v="593"/>
    <m/>
    <n v="42354"/>
    <x v="1"/>
    <s v="IM-15070"/>
    <s v="Irene Maddox"/>
    <x v="0"/>
    <s v="United States"/>
    <x v="30"/>
    <x v="12"/>
    <x v="1"/>
    <s v="FUR-FU-10002456"/>
    <s v="Furniture"/>
    <x v="3"/>
    <s v="Master Caster Door Stop, Large Neon Orange"/>
    <n v="52.415999999999997"/>
    <n v="9"/>
    <n v="15.069599999999999"/>
    <x v="2"/>
    <x v="5"/>
  </r>
  <r>
    <x v="840"/>
    <x v="593"/>
    <m/>
    <n v="42354"/>
    <x v="1"/>
    <s v="IM-15070"/>
    <s v="Irene Maddox"/>
    <x v="0"/>
    <s v="United States"/>
    <x v="30"/>
    <x v="12"/>
    <x v="1"/>
    <s v="FUR-FU-10001473"/>
    <s v="Furniture"/>
    <x v="3"/>
    <s v="DAX Wood Document Frame"/>
    <n v="54.92"/>
    <n v="5"/>
    <n v="10.984"/>
    <x v="2"/>
    <x v="5"/>
  </r>
  <r>
    <x v="840"/>
    <x v="593"/>
    <m/>
    <n v="42354"/>
    <x v="1"/>
    <s v="IM-15070"/>
    <s v="Irene Maddox"/>
    <x v="0"/>
    <s v="United States"/>
    <x v="30"/>
    <x v="12"/>
    <x v="1"/>
    <s v="FUR-TA-10000849"/>
    <s v="Furniture"/>
    <x v="2"/>
    <s v="Bevis Rectangular Conference Tables"/>
    <n v="364.95"/>
    <n v="5"/>
    <n v="-248.166"/>
    <x v="2"/>
    <x v="5"/>
  </r>
  <r>
    <x v="841"/>
    <x v="253"/>
    <m/>
    <n v="42086"/>
    <x v="1"/>
    <s v="MF-18250"/>
    <s v="Monica Federle"/>
    <x v="1"/>
    <s v="United States"/>
    <x v="2"/>
    <x v="2"/>
    <x v="1"/>
    <s v="FUR-FU-10001215"/>
    <s v="Furniture"/>
    <x v="3"/>
    <s v="Howard Miller 11-1/2&quot; Diameter Brentwood Wall Clock"/>
    <n v="43.13"/>
    <n v="1"/>
    <n v="18.114599999999999"/>
    <x v="1"/>
    <x v="9"/>
  </r>
  <r>
    <x v="842"/>
    <x v="326"/>
    <m/>
    <n v="42509"/>
    <x v="1"/>
    <s v="MK-17905"/>
    <s v="Michael Kennedy"/>
    <x v="1"/>
    <s v="United States"/>
    <x v="51"/>
    <x v="1"/>
    <x v="0"/>
    <s v="FUR-FU-10002396"/>
    <s v="Furniture"/>
    <x v="3"/>
    <s v="DAX Copper Panel Document Frame, 5 x 7 Size"/>
    <n v="30.192"/>
    <n v="3"/>
    <n v="8.3027999999999995"/>
    <x v="2"/>
    <x v="7"/>
  </r>
  <r>
    <x v="843"/>
    <x v="594"/>
    <m/>
    <n v="42933"/>
    <x v="0"/>
    <s v="MH-17455"/>
    <s v="Mark Hamilton"/>
    <x v="0"/>
    <s v="United States"/>
    <x v="3"/>
    <x v="3"/>
    <x v="2"/>
    <s v="FUR-FU-10002501"/>
    <s v="Furniture"/>
    <x v="3"/>
    <s v="Nu-Dell Executive Frame"/>
    <n v="91.007999999999996"/>
    <n v="9"/>
    <n v="19.339200000000002"/>
    <x v="4"/>
    <x v="3"/>
  </r>
  <r>
    <x v="844"/>
    <x v="566"/>
    <m/>
    <n v="42693"/>
    <x v="0"/>
    <s v="EB-14110"/>
    <s v="Eugene Barchas"/>
    <x v="0"/>
    <s v="United States"/>
    <x v="3"/>
    <x v="3"/>
    <x v="2"/>
    <s v="FUR-CH-10000785"/>
    <s v="Furniture"/>
    <x v="1"/>
    <s v="Global Ergonomic Managers Chair"/>
    <n v="380.05799999999999"/>
    <n v="3"/>
    <n v="-21.717600000000001"/>
    <x v="2"/>
    <x v="0"/>
  </r>
  <r>
    <x v="844"/>
    <x v="566"/>
    <m/>
    <n v="42693"/>
    <x v="0"/>
    <s v="EB-14110"/>
    <s v="Eugene Barchas"/>
    <x v="0"/>
    <s v="United States"/>
    <x v="3"/>
    <x v="3"/>
    <x v="2"/>
    <s v="FUR-FU-10002813"/>
    <s v="Furniture"/>
    <x v="3"/>
    <s v="DAX Contemporary Wood Frame with Silver Metal Mat, Desktop, 11 x 14 Size"/>
    <n v="48.576000000000001"/>
    <n v="3"/>
    <n v="9.7151999999999994"/>
    <x v="2"/>
    <x v="0"/>
  </r>
  <r>
    <x v="845"/>
    <x v="431"/>
    <m/>
    <n v="42700"/>
    <x v="1"/>
    <s v="CK-12205"/>
    <s v="Chloris Kastensmidt"/>
    <x v="0"/>
    <s v="United States"/>
    <x v="29"/>
    <x v="15"/>
    <x v="2"/>
    <s v="FUR-CH-10003817"/>
    <s v="Furniture"/>
    <x v="1"/>
    <s v="Global Value Steno Chair, Gray"/>
    <n v="127.554"/>
    <n v="3"/>
    <n v="-9.1110000000000007"/>
    <x v="2"/>
    <x v="0"/>
  </r>
  <r>
    <x v="845"/>
    <x v="431"/>
    <m/>
    <n v="42700"/>
    <x v="1"/>
    <s v="CK-12205"/>
    <s v="Chloris Kastensmidt"/>
    <x v="0"/>
    <s v="United States"/>
    <x v="29"/>
    <x v="15"/>
    <x v="2"/>
    <s v="FUR-FU-10001876"/>
    <s v="Furniture"/>
    <x v="3"/>
    <s v="Computer Room Manger, 14&quot;"/>
    <n v="77.951999999999998"/>
    <n v="3"/>
    <n v="15.590400000000001"/>
    <x v="2"/>
    <x v="0"/>
  </r>
  <r>
    <x v="846"/>
    <x v="93"/>
    <m/>
    <n v="43064"/>
    <x v="1"/>
    <s v="SC-20050"/>
    <s v="Sample Company A"/>
    <x v="2"/>
    <s v="United States"/>
    <x v="0"/>
    <x v="0"/>
    <x v="0"/>
    <s v="FUR-FU-10000629"/>
    <s v="Furniture"/>
    <x v="3"/>
    <s v="9-3/4 Diameter Round Wall Clock"/>
    <n v="27.58"/>
    <n v="2"/>
    <n v="11.583600000000001"/>
    <x v="2"/>
    <x v="0"/>
  </r>
  <r>
    <x v="847"/>
    <x v="30"/>
    <m/>
    <n v="41896"/>
    <x v="1"/>
    <s v="MC-17275"/>
    <s v="Marc Crier"/>
    <x v="0"/>
    <s v="United States"/>
    <x v="253"/>
    <x v="13"/>
    <x v="1"/>
    <s v="FUR-CH-10000454"/>
    <s v="Furniture"/>
    <x v="1"/>
    <s v="Hon Deluxe Fabric Upholstered Stacking Chairs, Rounded Back"/>
    <n v="975.92"/>
    <n v="5"/>
    <n v="121.99"/>
    <x v="6"/>
    <x v="4"/>
  </r>
  <r>
    <x v="848"/>
    <x v="202"/>
    <m/>
    <n v="41988"/>
    <x v="0"/>
    <s v="LH-17155"/>
    <s v="Logan Haushalter"/>
    <x v="0"/>
    <s v="United States"/>
    <x v="121"/>
    <x v="2"/>
    <x v="1"/>
    <s v="FUR-FU-10004270"/>
    <s v="Furniture"/>
    <x v="3"/>
    <s v="Eldon Image Series Desk Accessories, Burgundy"/>
    <n v="12.54"/>
    <n v="3"/>
    <n v="4.5144000000000002"/>
    <x v="0"/>
    <x v="5"/>
  </r>
  <r>
    <x v="848"/>
    <x v="202"/>
    <m/>
    <n v="41988"/>
    <x v="0"/>
    <s v="LH-17155"/>
    <s v="Logan Haushalter"/>
    <x v="0"/>
    <s v="United States"/>
    <x v="121"/>
    <x v="2"/>
    <x v="1"/>
    <s v="FUR-FU-10001706"/>
    <s v="Furniture"/>
    <x v="3"/>
    <s v="Longer-Life Soft White Bulbs"/>
    <n v="9.24"/>
    <n v="3"/>
    <n v="4.4352"/>
    <x v="0"/>
    <x v="5"/>
  </r>
  <r>
    <x v="849"/>
    <x v="595"/>
    <m/>
    <n v="42021"/>
    <x v="1"/>
    <s v="PB-19150"/>
    <s v="Philip Brown"/>
    <x v="0"/>
    <s v="United States"/>
    <x v="2"/>
    <x v="2"/>
    <x v="1"/>
    <s v="FUR-FU-10001861"/>
    <s v="Furniture"/>
    <x v="3"/>
    <s v="Floodlight Indoor Halogen Bulbs, 1 Bulb per Pack, 60 Watts"/>
    <n v="77.599999999999994"/>
    <n v="4"/>
    <n v="38.024000000000001"/>
    <x v="4"/>
    <x v="8"/>
  </r>
  <r>
    <x v="849"/>
    <x v="595"/>
    <m/>
    <n v="42021"/>
    <x v="1"/>
    <s v="PB-19150"/>
    <s v="Philip Brown"/>
    <x v="0"/>
    <s v="United States"/>
    <x v="2"/>
    <x v="2"/>
    <x v="1"/>
    <s v="FUR-FU-10004845"/>
    <s v="Furniture"/>
    <x v="3"/>
    <s v="Deflect-o EconoMat Nonstudded, No Bevel Mat"/>
    <n v="464.85"/>
    <n v="9"/>
    <n v="92.97"/>
    <x v="4"/>
    <x v="8"/>
  </r>
  <r>
    <x v="850"/>
    <x v="596"/>
    <m/>
    <n v="43057"/>
    <x v="1"/>
    <s v="TT-21070"/>
    <s v="Ted Trevino"/>
    <x v="0"/>
    <s v="United States"/>
    <x v="15"/>
    <x v="13"/>
    <x v="1"/>
    <s v="FUR-CH-10001215"/>
    <s v="Furniture"/>
    <x v="1"/>
    <s v="Global Troy Executive Leather Low-Back Tilter"/>
    <n v="2404.7040000000002"/>
    <n v="6"/>
    <n v="150.29400000000001"/>
    <x v="2"/>
    <x v="0"/>
  </r>
  <r>
    <x v="851"/>
    <x v="575"/>
    <m/>
    <n v="43044"/>
    <x v="0"/>
    <s v="TB-21175"/>
    <s v="Thomas Boland"/>
    <x v="1"/>
    <s v="United States"/>
    <x v="0"/>
    <x v="0"/>
    <x v="0"/>
    <s v="FUR-CH-10000454"/>
    <s v="Furniture"/>
    <x v="1"/>
    <s v="Hon Deluxe Fabric Upholstered Stacking Chairs, Rounded Back"/>
    <n v="975.92"/>
    <n v="4"/>
    <n v="292.77600000000001"/>
    <x v="0"/>
    <x v="0"/>
  </r>
  <r>
    <x v="852"/>
    <x v="597"/>
    <m/>
    <n v="42705"/>
    <x v="0"/>
    <s v="RF-19345"/>
    <s v="Randy Ferguson"/>
    <x v="1"/>
    <s v="United States"/>
    <x v="254"/>
    <x v="24"/>
    <x v="0"/>
    <s v="FUR-CH-10004477"/>
    <s v="Furniture"/>
    <x v="1"/>
    <s v="Global Push Button Manager's Chair, Indigo"/>
    <n v="182.67"/>
    <n v="3"/>
    <n v="52.974299999999999"/>
    <x v="0"/>
    <x v="0"/>
  </r>
  <r>
    <x v="853"/>
    <x v="384"/>
    <m/>
    <n v="41929"/>
    <x v="2"/>
    <s v="AC-10660"/>
    <s v="Anna Chung"/>
    <x v="0"/>
    <s v="United States"/>
    <x v="255"/>
    <x v="15"/>
    <x v="2"/>
    <s v="FUR-CH-10003761"/>
    <s v="Furniture"/>
    <x v="1"/>
    <s v="Global Italian Leather Office Chair"/>
    <n v="183.37200000000001"/>
    <n v="2"/>
    <n v="-7.8587999999999996"/>
    <x v="3"/>
    <x v="1"/>
  </r>
  <r>
    <x v="854"/>
    <x v="280"/>
    <m/>
    <n v="41976"/>
    <x v="0"/>
    <s v="MC-17605"/>
    <s v="Matt Connell"/>
    <x v="1"/>
    <s v="United States"/>
    <x v="6"/>
    <x v="5"/>
    <x v="3"/>
    <s v="FUR-CH-10003746"/>
    <s v="Furniture"/>
    <x v="1"/>
    <s v="Hon 4070 Series Pagoda Round Back Stacking Chairs"/>
    <n v="674.05799999999999"/>
    <n v="3"/>
    <n v="-19.258800000000001"/>
    <x v="3"/>
    <x v="5"/>
  </r>
  <r>
    <x v="855"/>
    <x v="224"/>
    <m/>
    <n v="43019"/>
    <x v="0"/>
    <s v="MB-17305"/>
    <s v="Maria Bertelson"/>
    <x v="0"/>
    <s v="United States"/>
    <x v="256"/>
    <x v="5"/>
    <x v="3"/>
    <s v="FUR-CH-10001802"/>
    <s v="Furniture"/>
    <x v="1"/>
    <s v="Hon Every-Day Chair Series Swivel Task Chairs"/>
    <n v="254.05799999999999"/>
    <n v="3"/>
    <n v="-32.6646"/>
    <x v="3"/>
    <x v="1"/>
  </r>
  <r>
    <x v="856"/>
    <x v="598"/>
    <m/>
    <n v="42376"/>
    <x v="1"/>
    <s v="BM-11575"/>
    <s v="Brendan Murry"/>
    <x v="1"/>
    <s v="United States"/>
    <x v="257"/>
    <x v="32"/>
    <x v="2"/>
    <s v="FUR-BO-10004709"/>
    <s v="Furniture"/>
    <x v="0"/>
    <s v="Bush Westfield Collection Bookcases, Medium Cherry Finish"/>
    <n v="173.94"/>
    <n v="3"/>
    <n v="38.266800000000003"/>
    <x v="2"/>
    <x v="8"/>
  </r>
  <r>
    <x v="857"/>
    <x v="66"/>
    <m/>
    <n v="43031"/>
    <x v="1"/>
    <s v="MO-17500"/>
    <s v="Mary O'Rourke"/>
    <x v="0"/>
    <s v="United States"/>
    <x v="9"/>
    <x v="8"/>
    <x v="3"/>
    <s v="FUR-TA-10003008"/>
    <s v="Furniture"/>
    <x v="2"/>
    <s v="Lesro Round Back Collection Coffee Table, End Table"/>
    <n v="91.275000000000006"/>
    <n v="1"/>
    <n v="-67.543499999999995"/>
    <x v="4"/>
    <x v="1"/>
  </r>
  <r>
    <x v="858"/>
    <x v="451"/>
    <m/>
    <n v="43075"/>
    <x v="1"/>
    <s v="AD-10180"/>
    <s v="Alan Dominguez"/>
    <x v="2"/>
    <s v="United States"/>
    <x v="130"/>
    <x v="19"/>
    <x v="2"/>
    <s v="FUR-CH-10000155"/>
    <s v="Furniture"/>
    <x v="1"/>
    <s v="Global Comet Stacking Armless Chair"/>
    <n v="897.15"/>
    <n v="3"/>
    <n v="251.202"/>
    <x v="2"/>
    <x v="5"/>
  </r>
  <r>
    <x v="859"/>
    <x v="424"/>
    <m/>
    <n v="41657"/>
    <x v="1"/>
    <s v="BD-11605"/>
    <s v="Brian Dahlen"/>
    <x v="0"/>
    <s v="United States"/>
    <x v="28"/>
    <x v="2"/>
    <x v="1"/>
    <s v="FUR-BO-10003034"/>
    <s v="Furniture"/>
    <x v="0"/>
    <s v="O'Sullivan Elevations Bookcase, Cherry Finish"/>
    <n v="333.99900000000002"/>
    <n v="3"/>
    <n v="3.9293999999999998"/>
    <x v="2"/>
    <x v="8"/>
  </r>
  <r>
    <x v="860"/>
    <x v="599"/>
    <m/>
    <n v="42048"/>
    <x v="1"/>
    <s v="IL-15100"/>
    <s v="Ivan Liston"/>
    <x v="0"/>
    <s v="United States"/>
    <x v="16"/>
    <x v="14"/>
    <x v="2"/>
    <s v="FUR-CH-10001708"/>
    <s v="Furniture"/>
    <x v="1"/>
    <s v="Office Star - Contemporary Swivel Chair with Padded Adjustable Arms and Flex Back"/>
    <n v="1268.82"/>
    <n v="9"/>
    <n v="266.4522"/>
    <x v="1"/>
    <x v="11"/>
  </r>
  <r>
    <x v="860"/>
    <x v="599"/>
    <m/>
    <n v="42048"/>
    <x v="1"/>
    <s v="IL-15100"/>
    <s v="Ivan Liston"/>
    <x v="0"/>
    <s v="United States"/>
    <x v="16"/>
    <x v="14"/>
    <x v="2"/>
    <s v="FUR-BO-10002598"/>
    <s v="Furniture"/>
    <x v="0"/>
    <s v="Hon Metal Bookcases, Putty"/>
    <n v="283.92"/>
    <n v="4"/>
    <n v="82.336799999999997"/>
    <x v="1"/>
    <x v="11"/>
  </r>
  <r>
    <x v="861"/>
    <x v="152"/>
    <m/>
    <n v="43071"/>
    <x v="1"/>
    <s v="BD-11320"/>
    <s v="Bill Donatelli"/>
    <x v="0"/>
    <s v="United States"/>
    <x v="2"/>
    <x v="2"/>
    <x v="1"/>
    <s v="FUR-FU-10000732"/>
    <s v="Furniture"/>
    <x v="3"/>
    <s v="Eldon 200 Class Desk Accessories"/>
    <n v="18.84"/>
    <n v="3"/>
    <n v="6.0288000000000004"/>
    <x v="2"/>
    <x v="0"/>
  </r>
  <r>
    <x v="862"/>
    <x v="2"/>
    <m/>
    <n v="41803"/>
    <x v="0"/>
    <s v="TS-21205"/>
    <s v="Thomas Seio"/>
    <x v="1"/>
    <s v="United States"/>
    <x v="111"/>
    <x v="34"/>
    <x v="1"/>
    <s v="FUR-FU-10002685"/>
    <s v="Furniture"/>
    <x v="3"/>
    <s v="Executive Impressions 13-1/2&quot; Indoor/Outdoor Wall Clock"/>
    <n v="37.4"/>
    <n v="2"/>
    <n v="14.212"/>
    <x v="4"/>
    <x v="2"/>
  </r>
  <r>
    <x v="863"/>
    <x v="600"/>
    <m/>
    <n v="41706"/>
    <x v="2"/>
    <s v="AB-10015"/>
    <s v="Aaron Bergman"/>
    <x v="0"/>
    <s v="United States"/>
    <x v="15"/>
    <x v="13"/>
    <x v="1"/>
    <s v="FUR-CH-10004477"/>
    <s v="Furniture"/>
    <x v="1"/>
    <s v="Global Push Button Manager's Chair, Indigo"/>
    <n v="48.712000000000003"/>
    <n v="1"/>
    <n v="5.4801000000000002"/>
    <x v="5"/>
    <x v="9"/>
  </r>
  <r>
    <x v="864"/>
    <x v="601"/>
    <m/>
    <n v="42221"/>
    <x v="0"/>
    <s v="BE-11455"/>
    <s v="Brad Eason"/>
    <x v="2"/>
    <s v="United States"/>
    <x v="134"/>
    <x v="38"/>
    <x v="2"/>
    <s v="FUR-CH-10001973"/>
    <s v="Furniture"/>
    <x v="1"/>
    <s v="Office Star Flex Back Scooter Chair with White Frame"/>
    <n v="110.98"/>
    <n v="1"/>
    <n v="15.5372"/>
    <x v="0"/>
    <x v="10"/>
  </r>
  <r>
    <x v="865"/>
    <x v="24"/>
    <m/>
    <n v="42683"/>
    <x v="2"/>
    <s v="KL-16555"/>
    <s v="Kelly Lampkin"/>
    <x v="1"/>
    <s v="United States"/>
    <x v="51"/>
    <x v="1"/>
    <x v="0"/>
    <s v="FUR-CH-10000513"/>
    <s v="Furniture"/>
    <x v="1"/>
    <s v="High-Back Leather Manager's Chair"/>
    <n v="207.98400000000001"/>
    <n v="2"/>
    <n v="-28.597799999999999"/>
    <x v="0"/>
    <x v="0"/>
  </r>
  <r>
    <x v="865"/>
    <x v="24"/>
    <m/>
    <n v="42683"/>
    <x v="2"/>
    <s v="KL-16555"/>
    <s v="Kelly Lampkin"/>
    <x v="1"/>
    <s v="United States"/>
    <x v="51"/>
    <x v="1"/>
    <x v="0"/>
    <s v="FUR-FU-10004090"/>
    <s v="Furniture"/>
    <x v="3"/>
    <s v="Executive Impressions 14&quot; Contract Wall Clock"/>
    <n v="35.567999999999998"/>
    <n v="2"/>
    <n v="5.7797999999999998"/>
    <x v="0"/>
    <x v="0"/>
  </r>
  <r>
    <x v="866"/>
    <x v="602"/>
    <m/>
    <n v="42488"/>
    <x v="1"/>
    <s v="CL-12700"/>
    <s v="Craig Leslie"/>
    <x v="2"/>
    <s v="United States"/>
    <x v="30"/>
    <x v="12"/>
    <x v="1"/>
    <s v="FUR-CH-10004287"/>
    <s v="Furniture"/>
    <x v="1"/>
    <s v="SAFCO Arco Folding Chair"/>
    <n v="1325.76"/>
    <n v="6"/>
    <n v="149.148"/>
    <x v="4"/>
    <x v="6"/>
  </r>
  <r>
    <x v="867"/>
    <x v="603"/>
    <m/>
    <n v="42363"/>
    <x v="1"/>
    <s v="RB-19645"/>
    <s v="Robert Barroso"/>
    <x v="1"/>
    <s v="United States"/>
    <x v="10"/>
    <x v="9"/>
    <x v="0"/>
    <s v="FUR-FU-10000221"/>
    <s v="Furniture"/>
    <x v="3"/>
    <s v="Master Caster Door Stop, Brown"/>
    <n v="20.32"/>
    <n v="5"/>
    <n v="3.556"/>
    <x v="1"/>
    <x v="5"/>
  </r>
  <r>
    <x v="868"/>
    <x v="585"/>
    <m/>
    <n v="42868"/>
    <x v="2"/>
    <s v="TS-21370"/>
    <s v="Todd Sumrall"/>
    <x v="1"/>
    <s v="United States"/>
    <x v="43"/>
    <x v="22"/>
    <x v="1"/>
    <s v="FUR-BO-10004467"/>
    <s v="Furniture"/>
    <x v="0"/>
    <s v="Bestar Classic Bookcase"/>
    <n v="209.97900000000001"/>
    <n v="7"/>
    <n v="-356.96429999999998"/>
    <x v="3"/>
    <x v="7"/>
  </r>
  <r>
    <x v="869"/>
    <x v="168"/>
    <m/>
    <n v="41972"/>
    <x v="1"/>
    <s v="TH-21100"/>
    <s v="Thea Hendricks"/>
    <x v="0"/>
    <s v="United States"/>
    <x v="219"/>
    <x v="15"/>
    <x v="2"/>
    <s v="FUR-FU-10002960"/>
    <s v="Furniture"/>
    <x v="3"/>
    <s v="Eldon 200 Class Desk Accessories, Burgundy"/>
    <n v="35.167999999999999"/>
    <n v="7"/>
    <n v="9.6712000000000007"/>
    <x v="2"/>
    <x v="0"/>
  </r>
  <r>
    <x v="870"/>
    <x v="604"/>
    <m/>
    <n v="41961"/>
    <x v="2"/>
    <s v="SS-20410"/>
    <s v="Shahid Shariari"/>
    <x v="0"/>
    <s v="United States"/>
    <x v="2"/>
    <x v="2"/>
    <x v="1"/>
    <s v="FUR-FU-10002505"/>
    <s v="Furniture"/>
    <x v="3"/>
    <s v="Eldon 100 Class Desk Accessories"/>
    <n v="10.11"/>
    <n v="3"/>
    <n v="3.2351999999999999"/>
    <x v="0"/>
    <x v="0"/>
  </r>
  <r>
    <x v="871"/>
    <x v="105"/>
    <m/>
    <n v="42728"/>
    <x v="1"/>
    <s v="JE-15475"/>
    <s v="Jeremy Ellison"/>
    <x v="0"/>
    <s v="United States"/>
    <x v="53"/>
    <x v="2"/>
    <x v="1"/>
    <s v="FUR-FU-10003731"/>
    <s v="Furniture"/>
    <x v="3"/>
    <s v="Eldon Expressions Wood and Plastic Desk Accessories, Oak"/>
    <n v="39.92"/>
    <n v="4"/>
    <n v="11.1776"/>
    <x v="6"/>
    <x v="5"/>
  </r>
  <r>
    <x v="872"/>
    <x v="605"/>
    <m/>
    <n v="42950"/>
    <x v="1"/>
    <s v="RF-19735"/>
    <s v="Roland Fjeld"/>
    <x v="0"/>
    <s v="United States"/>
    <x v="258"/>
    <x v="37"/>
    <x v="3"/>
    <s v="FUR-CH-10004626"/>
    <s v="Furniture"/>
    <x v="1"/>
    <s v="Office Star Flex Back Scooter Chair with Aluminum Finish Frame"/>
    <n v="302.67"/>
    <n v="3"/>
    <n v="72.640799999999999"/>
    <x v="2"/>
    <x v="3"/>
  </r>
  <r>
    <x v="873"/>
    <x v="576"/>
    <m/>
    <n v="42737"/>
    <x v="1"/>
    <s v="BB-11545"/>
    <s v="Brenda Bowman"/>
    <x v="1"/>
    <s v="United States"/>
    <x v="109"/>
    <x v="18"/>
    <x v="2"/>
    <s v="FUR-CH-10003968"/>
    <s v="Furniture"/>
    <x v="1"/>
    <s v="Novimex Turbo Task Chair"/>
    <n v="212.94"/>
    <n v="3"/>
    <n v="25.552800000000001"/>
    <x v="1"/>
    <x v="5"/>
  </r>
  <r>
    <x v="874"/>
    <x v="38"/>
    <m/>
    <n v="42229"/>
    <x v="0"/>
    <s v="HR-14770"/>
    <s v="Hallie Redmond"/>
    <x v="2"/>
    <s v="United States"/>
    <x v="79"/>
    <x v="16"/>
    <x v="3"/>
    <s v="FUR-BO-10004690"/>
    <s v="Furniture"/>
    <x v="0"/>
    <s v="O'Sullivan Cherrywood Estates Traditional Barrister Bookcase"/>
    <n v="687.4"/>
    <n v="5"/>
    <n v="48.118000000000002"/>
    <x v="4"/>
    <x v="10"/>
  </r>
  <r>
    <x v="875"/>
    <x v="226"/>
    <m/>
    <n v="41741"/>
    <x v="1"/>
    <s v="SC-20260"/>
    <s v="Scott Cohen"/>
    <x v="1"/>
    <s v="United States"/>
    <x v="15"/>
    <x v="13"/>
    <x v="1"/>
    <s v="FUR-TA-10000688"/>
    <s v="Furniture"/>
    <x v="2"/>
    <s v="Chromcraft Bull-Nose Wood Round Conference Table Top, Wood Base"/>
    <n v="653.54999999999995"/>
    <n v="3"/>
    <n v="111.1035"/>
    <x v="6"/>
    <x v="6"/>
  </r>
  <r>
    <x v="876"/>
    <x v="312"/>
    <m/>
    <n v="42197"/>
    <x v="2"/>
    <s v="TS-21370"/>
    <s v="Todd Sumrall"/>
    <x v="1"/>
    <s v="United States"/>
    <x v="16"/>
    <x v="14"/>
    <x v="2"/>
    <s v="FUR-TA-10001520"/>
    <s v="Furniture"/>
    <x v="2"/>
    <s v="Lesro Sheffield Collection Coffee Table, End Table, Center Table, Corner Table"/>
    <n v="199.83600000000001"/>
    <n v="4"/>
    <n v="-37.112400000000001"/>
    <x v="5"/>
    <x v="3"/>
  </r>
  <r>
    <x v="877"/>
    <x v="480"/>
    <m/>
    <n v="42687"/>
    <x v="0"/>
    <s v="AI-10855"/>
    <s v="Arianne Irving"/>
    <x v="0"/>
    <s v="United States"/>
    <x v="2"/>
    <x v="2"/>
    <x v="1"/>
    <s v="FUR-FU-10000965"/>
    <s v="Furniture"/>
    <x v="3"/>
    <s v="Howard Miller 11-1/2&quot; Diameter Ridgewood Wall Clock"/>
    <n v="467.46"/>
    <n v="9"/>
    <n v="191.65860000000001"/>
    <x v="0"/>
    <x v="0"/>
  </r>
  <r>
    <x v="878"/>
    <x v="606"/>
    <m/>
    <n v="42012"/>
    <x v="0"/>
    <s v="AH-10465"/>
    <s v="Amy Hunt"/>
    <x v="0"/>
    <s v="United States"/>
    <x v="144"/>
    <x v="5"/>
    <x v="3"/>
    <s v="FUR-BO-10003272"/>
    <s v="Furniture"/>
    <x v="0"/>
    <s v="O'Sullivan Living Dimensions 5-Shelf Bookcases"/>
    <n v="1352.3976"/>
    <n v="9"/>
    <n v="-437.54039999999998"/>
    <x v="2"/>
    <x v="8"/>
  </r>
  <r>
    <x v="879"/>
    <x v="190"/>
    <m/>
    <n v="42136"/>
    <x v="1"/>
    <s v="DL-12925"/>
    <s v="Daniel Lacy"/>
    <x v="0"/>
    <s v="United States"/>
    <x v="12"/>
    <x v="11"/>
    <x v="3"/>
    <s v="FUR-FU-10000723"/>
    <s v="Furniture"/>
    <x v="3"/>
    <s v="Deflect-o EconoMat Studded, No Bevel Mat for Low Pile Carpeting"/>
    <n v="123.96"/>
    <n v="3"/>
    <n v="11.1564"/>
    <x v="4"/>
    <x v="7"/>
  </r>
  <r>
    <x v="880"/>
    <x v="147"/>
    <m/>
    <n v="43076"/>
    <x v="1"/>
    <s v="SC-20380"/>
    <s v="Shahid Collister"/>
    <x v="0"/>
    <s v="United States"/>
    <x v="259"/>
    <x v="30"/>
    <x v="0"/>
    <s v="FUR-TA-10001889"/>
    <s v="Furniture"/>
    <x v="2"/>
    <s v="Bush Advantage Collection Racetrack Conference Table"/>
    <n v="1781.682"/>
    <n v="7"/>
    <n v="-653.28340000000003"/>
    <x v="1"/>
    <x v="0"/>
  </r>
  <r>
    <x v="881"/>
    <x v="98"/>
    <m/>
    <n v="41863"/>
    <x v="1"/>
    <s v="MA-17560"/>
    <s v="Matt Abelman"/>
    <x v="2"/>
    <s v="United States"/>
    <x v="65"/>
    <x v="17"/>
    <x v="3"/>
    <s v="FUR-FU-10002088"/>
    <s v="Furniture"/>
    <x v="3"/>
    <s v="Nu-Dell Float Frame 11 x 14 1/2"/>
    <n v="53.88"/>
    <n v="6"/>
    <n v="22.6296"/>
    <x v="4"/>
    <x v="10"/>
  </r>
  <r>
    <x v="882"/>
    <x v="607"/>
    <m/>
    <n v="41751"/>
    <x v="0"/>
    <s v="SV-20365"/>
    <s v="Seth Vernon"/>
    <x v="0"/>
    <s v="United States"/>
    <x v="6"/>
    <x v="5"/>
    <x v="3"/>
    <s v="FUR-TA-10001705"/>
    <s v="Furniture"/>
    <x v="2"/>
    <s v="Bush Advantage Collection Round Conference Table"/>
    <n v="744.1"/>
    <n v="5"/>
    <n v="-95.67"/>
    <x v="3"/>
    <x v="6"/>
  </r>
  <r>
    <x v="882"/>
    <x v="607"/>
    <m/>
    <n v="41751"/>
    <x v="0"/>
    <s v="SV-20365"/>
    <s v="Seth Vernon"/>
    <x v="0"/>
    <s v="United States"/>
    <x v="6"/>
    <x v="5"/>
    <x v="3"/>
    <s v="FUR-TA-10004442"/>
    <s v="Furniture"/>
    <x v="2"/>
    <s v="Riverside Furniture Stanwyck Manor Table Series"/>
    <n v="401.59"/>
    <n v="2"/>
    <n v="-131.95099999999999"/>
    <x v="3"/>
    <x v="6"/>
  </r>
  <r>
    <x v="883"/>
    <x v="608"/>
    <m/>
    <n v="43068"/>
    <x v="1"/>
    <s v="BD-11500"/>
    <s v="Bradley Drucker"/>
    <x v="0"/>
    <s v="United States"/>
    <x v="28"/>
    <x v="2"/>
    <x v="1"/>
    <s v="FUR-BO-10002213"/>
    <s v="Furniture"/>
    <x v="0"/>
    <s v="Sauder Forest Hills Library, Woodland Oak Finish"/>
    <n v="359.49900000000002"/>
    <n v="3"/>
    <n v="-29.605799999999999"/>
    <x v="4"/>
    <x v="0"/>
  </r>
  <r>
    <x v="884"/>
    <x v="387"/>
    <m/>
    <n v="41983"/>
    <x v="1"/>
    <s v="BK-11260"/>
    <s v="Berenike Kampe"/>
    <x v="0"/>
    <s v="United States"/>
    <x v="9"/>
    <x v="8"/>
    <x v="3"/>
    <s v="FUR-TA-10004086"/>
    <s v="Furniture"/>
    <x v="2"/>
    <s v="KI Adjustable-Height Table"/>
    <n v="214.95"/>
    <n v="5"/>
    <n v="-120.372"/>
    <x v="4"/>
    <x v="5"/>
  </r>
  <r>
    <x v="884"/>
    <x v="387"/>
    <m/>
    <n v="41983"/>
    <x v="1"/>
    <s v="BK-11260"/>
    <s v="Berenike Kampe"/>
    <x v="0"/>
    <s v="United States"/>
    <x v="9"/>
    <x v="8"/>
    <x v="3"/>
    <s v="FUR-FU-10002088"/>
    <s v="Furniture"/>
    <x v="3"/>
    <s v="Nu-Dell Float Frame 11 x 14 1/2"/>
    <n v="10.776"/>
    <n v="3"/>
    <n v="-4.8491999999999997"/>
    <x v="4"/>
    <x v="5"/>
  </r>
  <r>
    <x v="885"/>
    <x v="609"/>
    <m/>
    <n v="41993"/>
    <x v="1"/>
    <s v="BM-11785"/>
    <s v="Bryan Mills"/>
    <x v="0"/>
    <s v="United States"/>
    <x v="260"/>
    <x v="1"/>
    <x v="0"/>
    <s v="FUR-CH-10002439"/>
    <s v="Furniture"/>
    <x v="1"/>
    <s v="Iceberg Nesting Folding Chair, 19w x 6d x 43h"/>
    <n v="186.304"/>
    <n v="4"/>
    <n v="13.972799999999999"/>
    <x v="6"/>
    <x v="5"/>
  </r>
  <r>
    <x v="886"/>
    <x v="18"/>
    <m/>
    <n v="42321"/>
    <x v="3"/>
    <s v="HA-14905"/>
    <s v="Helen Abelman"/>
    <x v="0"/>
    <s v="United States"/>
    <x v="9"/>
    <x v="8"/>
    <x v="3"/>
    <s v="FUR-FU-10001025"/>
    <s v="Furniture"/>
    <x v="3"/>
    <s v="Eldon ImË†ge Series Desk Accessories, Clear"/>
    <n v="17.495999999999999"/>
    <n v="9"/>
    <n v="-7.4358000000000004"/>
    <x v="7"/>
    <x v="0"/>
  </r>
  <r>
    <x v="887"/>
    <x v="94"/>
    <m/>
    <n v="41896"/>
    <x v="3"/>
    <s v="DM-13015"/>
    <s v="Darrin Martin"/>
    <x v="0"/>
    <s v="United States"/>
    <x v="13"/>
    <x v="7"/>
    <x v="2"/>
    <s v="FUR-TA-10001039"/>
    <s v="Furniture"/>
    <x v="2"/>
    <s v="KI Adjustable-Height Table"/>
    <n v="464.29199999999997"/>
    <n v="9"/>
    <n v="-108.3348"/>
    <x v="7"/>
    <x v="4"/>
  </r>
  <r>
    <x v="888"/>
    <x v="297"/>
    <m/>
    <n v="43105"/>
    <x v="1"/>
    <s v="BP-11185"/>
    <s v="Ben Peterman"/>
    <x v="1"/>
    <s v="United States"/>
    <x v="261"/>
    <x v="2"/>
    <x v="1"/>
    <s v="FUR-FU-10002501"/>
    <s v="Furniture"/>
    <x v="3"/>
    <s v="Nu-Dell Executive Frame"/>
    <n v="101.12"/>
    <n v="8"/>
    <n v="37.414400000000001"/>
    <x v="1"/>
    <x v="5"/>
  </r>
  <r>
    <x v="889"/>
    <x v="282"/>
    <m/>
    <n v="42691"/>
    <x v="1"/>
    <s v="TS-21430"/>
    <s v="Tom Stivers"/>
    <x v="1"/>
    <s v="United States"/>
    <x v="258"/>
    <x v="37"/>
    <x v="3"/>
    <s v="FUR-FU-10003096"/>
    <s v="Furniture"/>
    <x v="3"/>
    <s v="Master Giant Foot Doorstop, Safety Yellow"/>
    <n v="30.36"/>
    <n v="4"/>
    <n v="13.0548"/>
    <x v="4"/>
    <x v="0"/>
  </r>
  <r>
    <x v="890"/>
    <x v="610"/>
    <m/>
    <n v="42465"/>
    <x v="1"/>
    <s v="FP-14320"/>
    <s v="Frank Preis"/>
    <x v="0"/>
    <s v="United States"/>
    <x v="13"/>
    <x v="7"/>
    <x v="2"/>
    <s v="FUR-CH-10000454"/>
    <s v="Furniture"/>
    <x v="1"/>
    <s v="Hon Deluxe Fabric Upholstered Stacking Chairs, Rounded Back"/>
    <n v="1317.492"/>
    <n v="6"/>
    <n v="292.77600000000001"/>
    <x v="4"/>
    <x v="6"/>
  </r>
  <r>
    <x v="891"/>
    <x v="611"/>
    <m/>
    <n v="42773"/>
    <x v="1"/>
    <s v="JL-15835"/>
    <s v="John Lee"/>
    <x v="0"/>
    <s v="United States"/>
    <x v="2"/>
    <x v="2"/>
    <x v="1"/>
    <s v="FUR-FU-10003039"/>
    <s v="Furniture"/>
    <x v="3"/>
    <s v="Howard Miller 11-1/2&quot; Diameter Grantwood Wall Clock"/>
    <n v="86.26"/>
    <n v="2"/>
    <n v="29.328399999999998"/>
    <x v="2"/>
    <x v="11"/>
  </r>
  <r>
    <x v="892"/>
    <x v="455"/>
    <m/>
    <n v="43100"/>
    <x v="1"/>
    <s v="JL-15175"/>
    <s v="James Lanier"/>
    <x v="2"/>
    <s v="United States"/>
    <x v="262"/>
    <x v="22"/>
    <x v="1"/>
    <s v="FUR-FU-10001731"/>
    <s v="Furniture"/>
    <x v="3"/>
    <s v="Acrylic Self-Standing Desk Frames"/>
    <n v="8.5440000000000005"/>
    <n v="4"/>
    <n v="1.9224000000000001"/>
    <x v="1"/>
    <x v="5"/>
  </r>
  <r>
    <x v="892"/>
    <x v="455"/>
    <m/>
    <n v="43100"/>
    <x v="1"/>
    <s v="JL-15175"/>
    <s v="James Lanier"/>
    <x v="2"/>
    <s v="United States"/>
    <x v="262"/>
    <x v="22"/>
    <x v="1"/>
    <s v="FUR-CH-10001394"/>
    <s v="Furniture"/>
    <x v="1"/>
    <s v="Global Leather Executive Chair"/>
    <n v="842.37599999999998"/>
    <n v="3"/>
    <n v="105.297"/>
    <x v="1"/>
    <x v="5"/>
  </r>
  <r>
    <x v="893"/>
    <x v="612"/>
    <m/>
    <n v="42224"/>
    <x v="2"/>
    <s v="KW-16570"/>
    <s v="Kelly Williams"/>
    <x v="0"/>
    <s v="United States"/>
    <x v="263"/>
    <x v="23"/>
    <x v="3"/>
    <s v="FUR-FU-10000305"/>
    <s v="Furniture"/>
    <x v="3"/>
    <s v="Tenex V2T-RE Standard Weight Series Chair Mat, 45&quot; x 53&quot;, Lip 25&quot; x 12&quot;"/>
    <n v="212.94"/>
    <n v="3"/>
    <n v="34.070399999999999"/>
    <x v="5"/>
    <x v="10"/>
  </r>
  <r>
    <x v="894"/>
    <x v="254"/>
    <m/>
    <n v="42920"/>
    <x v="0"/>
    <s v="GH-14410"/>
    <s v="Gary Hansen"/>
    <x v="2"/>
    <s v="United States"/>
    <x v="9"/>
    <x v="8"/>
    <x v="3"/>
    <s v="FUR-CH-10000229"/>
    <s v="Furniture"/>
    <x v="1"/>
    <s v="Global Enterprise Series Seating High-Back Swivel/Tilt Chairs"/>
    <n v="569.05799999999999"/>
    <n v="3"/>
    <n v="-178.8468"/>
    <x v="4"/>
    <x v="2"/>
  </r>
  <r>
    <x v="894"/>
    <x v="254"/>
    <m/>
    <n v="42920"/>
    <x v="0"/>
    <s v="GH-14410"/>
    <s v="Gary Hansen"/>
    <x v="2"/>
    <s v="United States"/>
    <x v="9"/>
    <x v="8"/>
    <x v="3"/>
    <s v="FUR-FU-10003799"/>
    <s v="Furniture"/>
    <x v="3"/>
    <s v="Seth Thomas 13 1/2&quot; Wall Clock"/>
    <n v="14.224"/>
    <n v="2"/>
    <n v="-10.3124"/>
    <x v="4"/>
    <x v="2"/>
  </r>
  <r>
    <x v="895"/>
    <x v="613"/>
    <m/>
    <n v="41856"/>
    <x v="1"/>
    <s v="TS-21430"/>
    <s v="Tom Stivers"/>
    <x v="1"/>
    <s v="United States"/>
    <x v="15"/>
    <x v="13"/>
    <x v="1"/>
    <s v="FUR-BO-10002916"/>
    <s v="Furniture"/>
    <x v="0"/>
    <s v="Rush Hierlooms Collection 1&quot; Thick Stackable Bookcases"/>
    <n v="1367.84"/>
    <n v="8"/>
    <n v="259.88959999999997"/>
    <x v="6"/>
    <x v="3"/>
  </r>
  <r>
    <x v="896"/>
    <x v="515"/>
    <m/>
    <n v="42697"/>
    <x v="0"/>
    <s v="AJ-10945"/>
    <s v="Ashley Jarboe"/>
    <x v="0"/>
    <s v="United States"/>
    <x v="264"/>
    <x v="17"/>
    <x v="3"/>
    <s v="FUR-CH-10000863"/>
    <s v="Furniture"/>
    <x v="1"/>
    <s v="Novimex Swivel Fabric Task Chair"/>
    <n v="301.95999999999998"/>
    <n v="2"/>
    <n v="33.215600000000002"/>
    <x v="2"/>
    <x v="0"/>
  </r>
  <r>
    <x v="897"/>
    <x v="171"/>
    <m/>
    <n v="42196"/>
    <x v="1"/>
    <s v="SJ-20215"/>
    <s v="Sarah Jordon"/>
    <x v="0"/>
    <s v="United States"/>
    <x v="102"/>
    <x v="2"/>
    <x v="1"/>
    <s v="FUR-CH-10003968"/>
    <s v="Furniture"/>
    <x v="1"/>
    <s v="Novimex Turbo Task Chair"/>
    <n v="170.352"/>
    <n v="3"/>
    <n v="-17.0352"/>
    <x v="2"/>
    <x v="3"/>
  </r>
  <r>
    <x v="898"/>
    <x v="448"/>
    <m/>
    <n v="41959"/>
    <x v="1"/>
    <s v="SC-20020"/>
    <s v="Sam Craven"/>
    <x v="0"/>
    <s v="United States"/>
    <x v="265"/>
    <x v="17"/>
    <x v="3"/>
    <s v="FUR-CH-10004997"/>
    <s v="Furniture"/>
    <x v="1"/>
    <s v="Hon Every-Day Series Multi-Task Chairs"/>
    <n v="563.94000000000005"/>
    <n v="3"/>
    <n v="112.788"/>
    <x v="6"/>
    <x v="0"/>
  </r>
  <r>
    <x v="899"/>
    <x v="614"/>
    <m/>
    <n v="42519"/>
    <x v="0"/>
    <s v="LA-16780"/>
    <s v="Laura Armstrong"/>
    <x v="1"/>
    <s v="United States"/>
    <x v="25"/>
    <x v="17"/>
    <x v="3"/>
    <s v="FUR-CH-10002024"/>
    <s v="Furniture"/>
    <x v="1"/>
    <s v="HON 5400 Series Task Chairs for Big and Tall"/>
    <n v="3504.9"/>
    <n v="5"/>
    <n v="700.98"/>
    <x v="3"/>
    <x v="7"/>
  </r>
  <r>
    <x v="900"/>
    <x v="66"/>
    <m/>
    <n v="43032"/>
    <x v="1"/>
    <s v="CA-12265"/>
    <s v="Christina Anderson"/>
    <x v="0"/>
    <s v="United States"/>
    <x v="266"/>
    <x v="5"/>
    <x v="3"/>
    <s v="FUR-BO-10004360"/>
    <s v="Furniture"/>
    <x v="0"/>
    <s v="Rush Hierlooms Collection Rich Wood Bookcases"/>
    <n v="328.39920000000001"/>
    <n v="3"/>
    <n v="-91.758600000000001"/>
    <x v="2"/>
    <x v="1"/>
  </r>
  <r>
    <x v="901"/>
    <x v="315"/>
    <m/>
    <n v="42113"/>
    <x v="1"/>
    <s v="BT-11395"/>
    <s v="Bill Tyler"/>
    <x v="1"/>
    <s v="United States"/>
    <x v="2"/>
    <x v="2"/>
    <x v="1"/>
    <s v="FUR-FU-10004973"/>
    <s v="Furniture"/>
    <x v="3"/>
    <s v="Flat Face Poster Frame"/>
    <n v="37.68"/>
    <n v="2"/>
    <n v="15.8256"/>
    <x v="6"/>
    <x v="6"/>
  </r>
  <r>
    <x v="902"/>
    <x v="615"/>
    <m/>
    <n v="42265"/>
    <x v="1"/>
    <s v="ZC-21910"/>
    <s v="Zuschuss Carroll"/>
    <x v="0"/>
    <s v="United States"/>
    <x v="29"/>
    <x v="6"/>
    <x v="3"/>
    <s v="FUR-CH-10000015"/>
    <s v="Furniture"/>
    <x v="1"/>
    <s v="Hon Multipurpose Stacking Arm Chairs"/>
    <n v="1516.2"/>
    <n v="7"/>
    <n v="394.21199999999999"/>
    <x v="2"/>
    <x v="4"/>
  </r>
  <r>
    <x v="903"/>
    <x v="616"/>
    <m/>
    <n v="41974"/>
    <x v="0"/>
    <s v="CS-12250"/>
    <s v="Chris Selesnick"/>
    <x v="1"/>
    <s v="United States"/>
    <x v="11"/>
    <x v="10"/>
    <x v="0"/>
    <s v="FUR-FU-10003773"/>
    <s v="Furniture"/>
    <x v="3"/>
    <s v="Eldon Cleatmat Plus Chair Mats for High Pile Carpets"/>
    <n v="397.6"/>
    <n v="5"/>
    <n v="43.735999999999997"/>
    <x v="0"/>
    <x v="0"/>
  </r>
  <r>
    <x v="904"/>
    <x v="617"/>
    <m/>
    <n v="42235"/>
    <x v="1"/>
    <s v="RE-19450"/>
    <s v="Richard Eichhorn"/>
    <x v="0"/>
    <s v="United States"/>
    <x v="121"/>
    <x v="2"/>
    <x v="1"/>
    <s v="FUR-FU-10004018"/>
    <s v="Furniture"/>
    <x v="3"/>
    <s v="Tensor Computer Mounted Lamp"/>
    <n v="104.23"/>
    <n v="7"/>
    <n v="28.142099999999999"/>
    <x v="4"/>
    <x v="10"/>
  </r>
  <r>
    <x v="905"/>
    <x v="449"/>
    <m/>
    <n v="42979"/>
    <x v="3"/>
    <s v="CA-12775"/>
    <s v="Cynthia Arntzen"/>
    <x v="0"/>
    <s v="United States"/>
    <x v="25"/>
    <x v="17"/>
    <x v="3"/>
    <s v="FUR-CH-10004875"/>
    <s v="Furniture"/>
    <x v="1"/>
    <s v="Harbour Creations 67200 Series Stacking Chairs"/>
    <n v="498.26"/>
    <n v="7"/>
    <n v="134.53020000000001"/>
    <x v="7"/>
    <x v="4"/>
  </r>
  <r>
    <x v="906"/>
    <x v="618"/>
    <m/>
    <n v="41810"/>
    <x v="1"/>
    <s v="SR-20425"/>
    <s v="Sharelle Roach"/>
    <x v="2"/>
    <s v="United States"/>
    <x v="25"/>
    <x v="17"/>
    <x v="3"/>
    <s v="FUR-BO-10000711"/>
    <s v="Furniture"/>
    <x v="0"/>
    <s v="Hon Metal Bookcases, Gray"/>
    <n v="212.94"/>
    <n v="3"/>
    <n v="57.4938"/>
    <x v="6"/>
    <x v="2"/>
  </r>
  <r>
    <x v="907"/>
    <x v="619"/>
    <m/>
    <n v="42547"/>
    <x v="1"/>
    <s v="AS-10090"/>
    <s v="Adam Shillingsburg"/>
    <x v="0"/>
    <s v="United States"/>
    <x v="13"/>
    <x v="7"/>
    <x v="2"/>
    <s v="FUR-BO-10003272"/>
    <s v="Furniture"/>
    <x v="0"/>
    <s v="O'Sullivan Living Dimensions 5-Shelf Bookcases"/>
    <n v="353.56799999999998"/>
    <n v="2"/>
    <n v="-44.195999999999998"/>
    <x v="2"/>
    <x v="2"/>
  </r>
  <r>
    <x v="908"/>
    <x v="620"/>
    <m/>
    <n v="42816"/>
    <x v="0"/>
    <s v="SA-20830"/>
    <s v="Sue Ann Reed"/>
    <x v="0"/>
    <s v="United States"/>
    <x v="99"/>
    <x v="2"/>
    <x v="1"/>
    <s v="FUR-TA-10001095"/>
    <s v="Furniture"/>
    <x v="2"/>
    <s v="Chromcraft Round Conference Tables"/>
    <n v="697.16"/>
    <n v="5"/>
    <n v="8.7144999999999992"/>
    <x v="0"/>
    <x v="9"/>
  </r>
  <r>
    <x v="908"/>
    <x v="620"/>
    <m/>
    <n v="42816"/>
    <x v="0"/>
    <s v="SA-20830"/>
    <s v="Sue Ann Reed"/>
    <x v="0"/>
    <s v="United States"/>
    <x v="99"/>
    <x v="2"/>
    <x v="1"/>
    <s v="FUR-FU-10001185"/>
    <s v="Furniture"/>
    <x v="3"/>
    <s v="Advantus Employee of the Month Certificate Frame, 11 x 13-1/2"/>
    <n v="30.93"/>
    <n v="1"/>
    <n v="12.6813"/>
    <x v="0"/>
    <x v="9"/>
  </r>
  <r>
    <x v="909"/>
    <x v="305"/>
    <m/>
    <n v="41934"/>
    <x v="1"/>
    <s v="LS-17200"/>
    <s v="Luke Schmidt"/>
    <x v="1"/>
    <s v="United States"/>
    <x v="267"/>
    <x v="31"/>
    <x v="0"/>
    <s v="FUR-CH-10004626"/>
    <s v="Furniture"/>
    <x v="1"/>
    <s v="Office Star Flex Back Scooter Chair with Aluminum Finish Frame"/>
    <n v="605.34"/>
    <n v="6"/>
    <n v="145.2816"/>
    <x v="4"/>
    <x v="1"/>
  </r>
  <r>
    <x v="910"/>
    <x v="621"/>
    <m/>
    <n v="42970"/>
    <x v="2"/>
    <s v="TM-21490"/>
    <s v="Tony Molinari"/>
    <x v="0"/>
    <s v="United States"/>
    <x v="28"/>
    <x v="2"/>
    <x v="1"/>
    <s v="FUR-TA-10001768"/>
    <s v="Furniture"/>
    <x v="2"/>
    <s v="Hon Racetrack Conference Tables"/>
    <n v="210.00800000000001"/>
    <n v="1"/>
    <n v="2.6251000000000002"/>
    <x v="5"/>
    <x v="10"/>
  </r>
  <r>
    <x v="911"/>
    <x v="23"/>
    <m/>
    <n v="41906"/>
    <x v="1"/>
    <s v="DN-13690"/>
    <s v="Duane Noonan"/>
    <x v="0"/>
    <s v="United States"/>
    <x v="11"/>
    <x v="32"/>
    <x v="2"/>
    <s v="FUR-FU-10004952"/>
    <s v="Furniture"/>
    <x v="3"/>
    <s v="C-Line Cubicle Keepers Polyproplyene Holder w/Velcro Back, 8-1/2x11, 25/Bx"/>
    <n v="164.22"/>
    <n v="3"/>
    <n v="50.908200000000001"/>
    <x v="4"/>
    <x v="4"/>
  </r>
  <r>
    <x v="911"/>
    <x v="23"/>
    <m/>
    <n v="41906"/>
    <x v="1"/>
    <s v="DN-13690"/>
    <s v="Duane Noonan"/>
    <x v="0"/>
    <s v="United States"/>
    <x v="11"/>
    <x v="32"/>
    <x v="2"/>
    <s v="FUR-BO-10001337"/>
    <s v="Furniture"/>
    <x v="0"/>
    <s v="O'Sullivan Living Dimensions 2-Shelf Bookcases"/>
    <n v="362.94"/>
    <n v="3"/>
    <n v="36.293999999999997"/>
    <x v="4"/>
    <x v="4"/>
  </r>
  <r>
    <x v="912"/>
    <x v="622"/>
    <m/>
    <n v="42586"/>
    <x v="0"/>
    <s v="BF-11020"/>
    <s v="Barry FranzÅ¡sisch"/>
    <x v="1"/>
    <s v="United States"/>
    <x v="2"/>
    <x v="2"/>
    <x v="1"/>
    <s v="FUR-TA-10001691"/>
    <s v="Furniture"/>
    <x v="2"/>
    <s v="Barricks Non-Folding Utility Table with Steel Legs, Laminate Tops"/>
    <n v="136.464"/>
    <n v="2"/>
    <n v="15.3522"/>
    <x v="3"/>
    <x v="10"/>
  </r>
  <r>
    <x v="913"/>
    <x v="298"/>
    <m/>
    <n v="42070"/>
    <x v="0"/>
    <s v="AH-10195"/>
    <s v="Alan Haines"/>
    <x v="1"/>
    <s v="United States"/>
    <x v="268"/>
    <x v="3"/>
    <x v="2"/>
    <s v="FUR-CH-10002647"/>
    <s v="Furniture"/>
    <x v="1"/>
    <s v="Situations Contoured Folding Chairs, 4/Set"/>
    <n v="99.372"/>
    <n v="2"/>
    <n v="-7.0979999999999999"/>
    <x v="3"/>
    <x v="9"/>
  </r>
  <r>
    <x v="913"/>
    <x v="298"/>
    <m/>
    <n v="42070"/>
    <x v="0"/>
    <s v="AH-10195"/>
    <s v="Alan Haines"/>
    <x v="1"/>
    <s v="United States"/>
    <x v="268"/>
    <x v="3"/>
    <x v="2"/>
    <s v="FUR-FU-10003247"/>
    <s v="Furniture"/>
    <x v="3"/>
    <s v="36X48 HARDFLOOR CHAIRMAT"/>
    <n v="33.567999999999998"/>
    <n v="2"/>
    <n v="-5.4547999999999996"/>
    <x v="3"/>
    <x v="9"/>
  </r>
  <r>
    <x v="914"/>
    <x v="266"/>
    <m/>
    <n v="41892"/>
    <x v="2"/>
    <s v="SZ-20035"/>
    <s v="Sam Zeldin"/>
    <x v="2"/>
    <s v="United States"/>
    <x v="6"/>
    <x v="5"/>
    <x v="3"/>
    <s v="FUR-TA-10004154"/>
    <s v="Furniture"/>
    <x v="2"/>
    <s v="Riverside Furniture Oval Coffee Table, Oval End Table, End Table with Drawer"/>
    <n v="200.79499999999999"/>
    <n v="1"/>
    <n v="-22.948"/>
    <x v="0"/>
    <x v="4"/>
  </r>
  <r>
    <x v="915"/>
    <x v="91"/>
    <m/>
    <n v="42989"/>
    <x v="3"/>
    <s v="CB-12025"/>
    <s v="Cassandra Brandow"/>
    <x v="0"/>
    <s v="United States"/>
    <x v="28"/>
    <x v="2"/>
    <x v="1"/>
    <s v="FUR-FU-10000260"/>
    <s v="Furniture"/>
    <x v="3"/>
    <s v="6&quot; Cubicle Wall Clock, Black"/>
    <n v="32.36"/>
    <n v="4"/>
    <n v="11.6496"/>
    <x v="7"/>
    <x v="4"/>
  </r>
  <r>
    <x v="916"/>
    <x v="623"/>
    <m/>
    <n v="42751"/>
    <x v="3"/>
    <s v="JO-15145"/>
    <s v="Jack O'Briant"/>
    <x v="1"/>
    <s v="United States"/>
    <x v="2"/>
    <x v="2"/>
    <x v="1"/>
    <s v="FUR-FU-10001487"/>
    <s v="Furniture"/>
    <x v="3"/>
    <s v="Eldon Expressions Wood and Plastic Desk Accessories, Cherry Wood"/>
    <n v="27.92"/>
    <n v="4"/>
    <n v="8.0968"/>
    <x v="7"/>
    <x v="8"/>
  </r>
  <r>
    <x v="916"/>
    <x v="623"/>
    <m/>
    <n v="42751"/>
    <x v="3"/>
    <s v="JO-15145"/>
    <s v="Jack O'Briant"/>
    <x v="1"/>
    <s v="United States"/>
    <x v="2"/>
    <x v="2"/>
    <x v="1"/>
    <s v="FUR-TA-10001520"/>
    <s v="Furniture"/>
    <x v="2"/>
    <s v="Lesro Sheffield Collection Coffee Table, End Table, Center Table, Corner Table"/>
    <n v="399.67200000000003"/>
    <n v="7"/>
    <n v="-14.9877"/>
    <x v="7"/>
    <x v="8"/>
  </r>
  <r>
    <x v="917"/>
    <x v="86"/>
    <m/>
    <n v="42317"/>
    <x v="0"/>
    <s v="SV-20785"/>
    <s v="Stewart Visinsky"/>
    <x v="0"/>
    <s v="United States"/>
    <x v="259"/>
    <x v="43"/>
    <x v="2"/>
    <s v="FUR-CH-10000595"/>
    <s v="Furniture"/>
    <x v="1"/>
    <s v="Safco Contoured Stacking Chairs"/>
    <n v="715.2"/>
    <n v="3"/>
    <n v="178.8"/>
    <x v="3"/>
    <x v="0"/>
  </r>
  <r>
    <x v="918"/>
    <x v="624"/>
    <m/>
    <n v="41899"/>
    <x v="1"/>
    <s v="BC-11125"/>
    <s v="Becky Castell"/>
    <x v="2"/>
    <s v="United States"/>
    <x v="221"/>
    <x v="5"/>
    <x v="3"/>
    <s v="FUR-CH-10004698"/>
    <s v="Furniture"/>
    <x v="1"/>
    <s v="Padded Folding Chairs, Black, 4/Carton"/>
    <n v="340.11599999999999"/>
    <n v="6"/>
    <n v="-9.7175999999999991"/>
    <x v="4"/>
    <x v="4"/>
  </r>
  <r>
    <x v="919"/>
    <x v="278"/>
    <m/>
    <n v="42257"/>
    <x v="1"/>
    <s v="SP-20860"/>
    <s v="Sung Pak"/>
    <x v="1"/>
    <s v="United States"/>
    <x v="77"/>
    <x v="11"/>
    <x v="3"/>
    <s v="FUR-FU-10001706"/>
    <s v="Furniture"/>
    <x v="3"/>
    <s v="Longer-Life Soft White Bulbs"/>
    <n v="6.16"/>
    <n v="2"/>
    <n v="2.9567999999999999"/>
    <x v="2"/>
    <x v="4"/>
  </r>
  <r>
    <x v="920"/>
    <x v="625"/>
    <m/>
    <n v="42861"/>
    <x v="2"/>
    <s v="LH-17020"/>
    <s v="Lisa Hazard"/>
    <x v="0"/>
    <s v="United States"/>
    <x v="74"/>
    <x v="12"/>
    <x v="1"/>
    <s v="FUR-BO-10004467"/>
    <s v="Furniture"/>
    <x v="0"/>
    <s v="Bestar Classic Bookcase"/>
    <n v="89.991"/>
    <n v="3"/>
    <n v="-152.9847"/>
    <x v="5"/>
    <x v="7"/>
  </r>
  <r>
    <x v="921"/>
    <x v="30"/>
    <m/>
    <n v="41897"/>
    <x v="1"/>
    <s v="KT-16465"/>
    <s v="Kean Takahito"/>
    <x v="0"/>
    <s v="United States"/>
    <x v="6"/>
    <x v="5"/>
    <x v="3"/>
    <s v="FUR-CH-10004287"/>
    <s v="Furniture"/>
    <x v="1"/>
    <s v="SAFCO Arco Folding Chair"/>
    <n v="966.7"/>
    <n v="5"/>
    <n v="-13.81"/>
    <x v="1"/>
    <x v="4"/>
  </r>
  <r>
    <x v="922"/>
    <x v="626"/>
    <m/>
    <n v="42368"/>
    <x v="1"/>
    <s v="MC-18100"/>
    <s v="Mick Crebagga"/>
    <x v="0"/>
    <s v="United States"/>
    <x v="23"/>
    <x v="15"/>
    <x v="2"/>
    <s v="FUR-TA-10004086"/>
    <s v="Furniture"/>
    <x v="2"/>
    <s v="KI Adjustable-Height Table"/>
    <n v="51.588000000000001"/>
    <n v="1"/>
    <n v="-15.4764"/>
    <x v="4"/>
    <x v="5"/>
  </r>
  <r>
    <x v="923"/>
    <x v="534"/>
    <m/>
    <n v="42947"/>
    <x v="1"/>
    <s v="TM-21490"/>
    <s v="Tony Molinari"/>
    <x v="0"/>
    <s v="United States"/>
    <x v="90"/>
    <x v="7"/>
    <x v="2"/>
    <s v="FUR-FU-10004018"/>
    <s v="Furniture"/>
    <x v="3"/>
    <s v="Tensor Computer Mounted Lamp"/>
    <n v="14.89"/>
    <n v="1"/>
    <n v="4.0202999999999998"/>
    <x v="4"/>
    <x v="3"/>
  </r>
  <r>
    <x v="924"/>
    <x v="82"/>
    <m/>
    <n v="42524"/>
    <x v="1"/>
    <s v="AH-10690"/>
    <s v="Anna HÅ berlin"/>
    <x v="1"/>
    <s v="United States"/>
    <x v="76"/>
    <x v="25"/>
    <x v="0"/>
    <s v="FUR-TA-10002645"/>
    <s v="Furniture"/>
    <x v="2"/>
    <s v="Hon Rectangular Conference Tables"/>
    <n v="2275.5"/>
    <n v="10"/>
    <n v="386.83499999999998"/>
    <x v="4"/>
    <x v="7"/>
  </r>
  <r>
    <x v="925"/>
    <x v="627"/>
    <m/>
    <n v="41963"/>
    <x v="1"/>
    <s v="AB-10165"/>
    <s v="Alan Barnes"/>
    <x v="0"/>
    <s v="United States"/>
    <x v="42"/>
    <x v="8"/>
    <x v="3"/>
    <s v="FUR-CH-10002017"/>
    <s v="Furniture"/>
    <x v="1"/>
    <s v="SAFCO Optional Arm Kit for Workspace Cribbage Stacking Chair"/>
    <n v="37.295999999999999"/>
    <n v="2"/>
    <n v="-1.0656000000000001"/>
    <x v="4"/>
    <x v="0"/>
  </r>
  <r>
    <x v="926"/>
    <x v="628"/>
    <m/>
    <n v="41905"/>
    <x v="2"/>
    <s v="JS-15940"/>
    <s v="Joni Sundaresam"/>
    <x v="2"/>
    <s v="United States"/>
    <x v="269"/>
    <x v="5"/>
    <x v="3"/>
    <s v="FUR-FU-10001546"/>
    <s v="Furniture"/>
    <x v="3"/>
    <s v="Dana Swing-Arm Lamps"/>
    <n v="8.5440000000000005"/>
    <n v="2"/>
    <n v="-7.476"/>
    <x v="3"/>
    <x v="4"/>
  </r>
  <r>
    <x v="927"/>
    <x v="629"/>
    <m/>
    <n v="42426"/>
    <x v="1"/>
    <s v="BV-11245"/>
    <s v="Benjamin Venier"/>
    <x v="1"/>
    <s v="United States"/>
    <x v="64"/>
    <x v="7"/>
    <x v="2"/>
    <s v="FUR-FU-10000629"/>
    <s v="Furniture"/>
    <x v="3"/>
    <s v="9-3/4 Diameter Round Wall Clock"/>
    <n v="68.95"/>
    <n v="5"/>
    <n v="28.959"/>
    <x v="2"/>
    <x v="11"/>
  </r>
  <r>
    <x v="928"/>
    <x v="49"/>
    <m/>
    <n v="43060"/>
    <x v="2"/>
    <s v="NC-18415"/>
    <s v="Nathan Cano"/>
    <x v="0"/>
    <s v="United States"/>
    <x v="6"/>
    <x v="5"/>
    <x v="3"/>
    <s v="FUR-CH-10003774"/>
    <s v="Furniture"/>
    <x v="1"/>
    <s v="Global Wood Trimmed Manager's Task Chair, Khaki"/>
    <n v="191.05799999999999"/>
    <n v="3"/>
    <n v="-46.399799999999999"/>
    <x v="3"/>
    <x v="0"/>
  </r>
  <r>
    <x v="929"/>
    <x v="393"/>
    <m/>
    <n v="42860"/>
    <x v="1"/>
    <s v="DJ-13510"/>
    <s v="Don Jones"/>
    <x v="1"/>
    <s v="United States"/>
    <x v="28"/>
    <x v="2"/>
    <x v="1"/>
    <s v="FUR-FU-10000222"/>
    <s v="Furniture"/>
    <x v="3"/>
    <s v="Seth Thomas 16&quot; Steel Case Clock"/>
    <n v="64.959999999999994"/>
    <n v="2"/>
    <n v="21.436800000000002"/>
    <x v="2"/>
    <x v="6"/>
  </r>
  <r>
    <x v="930"/>
    <x v="630"/>
    <m/>
    <n v="42498"/>
    <x v="1"/>
    <s v="DL-12865"/>
    <s v="Dan Lawera"/>
    <x v="0"/>
    <s v="United States"/>
    <x v="224"/>
    <x v="30"/>
    <x v="0"/>
    <s v="FUR-CH-10002304"/>
    <s v="Furniture"/>
    <x v="1"/>
    <s v="Global Stack Chair without Arms, Black"/>
    <n v="187.05600000000001"/>
    <n v="9"/>
    <n v="11.691000000000001"/>
    <x v="6"/>
    <x v="7"/>
  </r>
  <r>
    <x v="931"/>
    <x v="125"/>
    <m/>
    <n v="43013"/>
    <x v="2"/>
    <s v="Dp-13240"/>
    <s v="Dean percer"/>
    <x v="2"/>
    <s v="United States"/>
    <x v="270"/>
    <x v="9"/>
    <x v="0"/>
    <s v="FUR-FU-10002364"/>
    <s v="Furniture"/>
    <x v="3"/>
    <s v="Eldon Expressions Wood Desk Accessories, Oak"/>
    <n v="11.808"/>
    <n v="2"/>
    <n v="1.3284"/>
    <x v="0"/>
    <x v="1"/>
  </r>
  <r>
    <x v="931"/>
    <x v="125"/>
    <m/>
    <n v="43013"/>
    <x v="2"/>
    <s v="Dp-13240"/>
    <s v="Dean percer"/>
    <x v="2"/>
    <s v="United States"/>
    <x v="270"/>
    <x v="9"/>
    <x v="0"/>
    <s v="FUR-FU-10004864"/>
    <s v="Furniture"/>
    <x v="3"/>
    <s v="Eldon 500 Class Desk Accessories"/>
    <n v="9.6560000000000006"/>
    <n v="1"/>
    <n v="1.5690999999999999"/>
    <x v="0"/>
    <x v="1"/>
  </r>
  <r>
    <x v="931"/>
    <x v="125"/>
    <m/>
    <n v="43013"/>
    <x v="2"/>
    <s v="Dp-13240"/>
    <s v="Dean percer"/>
    <x v="2"/>
    <s v="United States"/>
    <x v="270"/>
    <x v="9"/>
    <x v="0"/>
    <s v="FUR-TA-10000198"/>
    <s v="Furniture"/>
    <x v="2"/>
    <s v="Chromcraft Bull-Nose Wood Oval Conference Tables &amp; Bases"/>
    <n v="2314.116"/>
    <n v="7"/>
    <n v="-1002.7836"/>
    <x v="0"/>
    <x v="1"/>
  </r>
  <r>
    <x v="931"/>
    <x v="125"/>
    <m/>
    <n v="43013"/>
    <x v="2"/>
    <s v="Dp-13240"/>
    <s v="Dean percer"/>
    <x v="2"/>
    <s v="United States"/>
    <x v="270"/>
    <x v="9"/>
    <x v="0"/>
    <s v="FUR-FU-10003691"/>
    <s v="Furniture"/>
    <x v="3"/>
    <s v="Eldon Image Series Desk Accessories, Ebony"/>
    <n v="19.760000000000002"/>
    <n v="2"/>
    <n v="5.9279999999999999"/>
    <x v="0"/>
    <x v="1"/>
  </r>
  <r>
    <x v="932"/>
    <x v="463"/>
    <m/>
    <n v="42347"/>
    <x v="1"/>
    <s v="TZ-21580"/>
    <s v="Tracy Zic"/>
    <x v="0"/>
    <s v="United States"/>
    <x v="174"/>
    <x v="2"/>
    <x v="1"/>
    <s v="FUR-FU-10004270"/>
    <s v="Furniture"/>
    <x v="3"/>
    <s v="Eldon Image Series Desk Accessories, Burgundy"/>
    <n v="25.08"/>
    <n v="6"/>
    <n v="9.0288000000000004"/>
    <x v="2"/>
    <x v="5"/>
  </r>
  <r>
    <x v="933"/>
    <x v="631"/>
    <m/>
    <n v="42621"/>
    <x v="1"/>
    <s v="CV-12295"/>
    <s v="Christina VanderZanden"/>
    <x v="0"/>
    <s v="United States"/>
    <x v="13"/>
    <x v="7"/>
    <x v="2"/>
    <s v="FUR-FU-10004748"/>
    <s v="Furniture"/>
    <x v="3"/>
    <s v="Howard Miller 16&quot; Diameter Gallery Wall Clock"/>
    <n v="63.94"/>
    <n v="1"/>
    <n v="24.936599999999999"/>
    <x v="4"/>
    <x v="4"/>
  </r>
  <r>
    <x v="934"/>
    <x v="632"/>
    <m/>
    <n v="41883"/>
    <x v="1"/>
    <s v="KB-16315"/>
    <s v="Karl Braun"/>
    <x v="0"/>
    <s v="United States"/>
    <x v="19"/>
    <x v="14"/>
    <x v="2"/>
    <s v="FUR-FU-10001731"/>
    <s v="Furniture"/>
    <x v="3"/>
    <s v="Acrylic Self-Standing Desk Frames"/>
    <n v="10.68"/>
    <n v="4"/>
    <n v="4.0583999999999998"/>
    <x v="6"/>
    <x v="10"/>
  </r>
  <r>
    <x v="935"/>
    <x v="633"/>
    <m/>
    <n v="41778"/>
    <x v="1"/>
    <s v="AH-10030"/>
    <s v="Aaron Hawkins"/>
    <x v="1"/>
    <s v="United States"/>
    <x v="2"/>
    <x v="2"/>
    <x v="1"/>
    <s v="FUR-CH-10002439"/>
    <s v="Furniture"/>
    <x v="1"/>
    <s v="Iceberg Nesting Folding Chair, 19w x 6d x 43h"/>
    <n v="279.45600000000002"/>
    <n v="6"/>
    <n v="20.959199999999999"/>
    <x v="6"/>
    <x v="7"/>
  </r>
  <r>
    <x v="936"/>
    <x v="438"/>
    <m/>
    <n v="42843"/>
    <x v="1"/>
    <s v="DW-13585"/>
    <s v="Dorothy Wardle"/>
    <x v="1"/>
    <s v="United States"/>
    <x v="160"/>
    <x v="30"/>
    <x v="0"/>
    <s v="FUR-BO-10003433"/>
    <s v="Furniture"/>
    <x v="0"/>
    <s v="Sauder Cornerstone Collection Library"/>
    <n v="198.27199999999999"/>
    <n v="8"/>
    <n v="-32.219200000000001"/>
    <x v="4"/>
    <x v="6"/>
  </r>
  <r>
    <x v="937"/>
    <x v="353"/>
    <m/>
    <n v="42737"/>
    <x v="1"/>
    <s v="CD-11920"/>
    <s v="Carlos Daly"/>
    <x v="0"/>
    <s v="United States"/>
    <x v="271"/>
    <x v="44"/>
    <x v="3"/>
    <s v="FUR-FU-10000672"/>
    <s v="Furniture"/>
    <x v="3"/>
    <s v="Executive Impressions 10&quot; Spectator Wall Clock"/>
    <n v="70.56"/>
    <n v="6"/>
    <n v="23.990400000000001"/>
    <x v="4"/>
    <x v="5"/>
  </r>
  <r>
    <x v="938"/>
    <x v="403"/>
    <m/>
    <n v="42837"/>
    <x v="1"/>
    <s v="NH-18610"/>
    <s v="Nicole Hansen"/>
    <x v="1"/>
    <s v="United States"/>
    <x v="272"/>
    <x v="17"/>
    <x v="3"/>
    <s v="FUR-FU-10004665"/>
    <s v="Furniture"/>
    <x v="3"/>
    <s v="3M Polarizing Task Lamp with Clamp Arm, Light Gray"/>
    <n v="273.95999999999998"/>
    <n v="2"/>
    <n v="71.229600000000005"/>
    <x v="4"/>
    <x v="6"/>
  </r>
  <r>
    <x v="938"/>
    <x v="403"/>
    <m/>
    <n v="42837"/>
    <x v="1"/>
    <s v="NH-18610"/>
    <s v="Nicole Hansen"/>
    <x v="1"/>
    <s v="United States"/>
    <x v="272"/>
    <x v="17"/>
    <x v="3"/>
    <s v="FUR-FU-10004188"/>
    <s v="Furniture"/>
    <x v="3"/>
    <s v="Luxo Professional Combination Clamp-On Lamps"/>
    <n v="306.89999999999998"/>
    <n v="3"/>
    <n v="79.793999999999997"/>
    <x v="4"/>
    <x v="6"/>
  </r>
  <r>
    <x v="939"/>
    <x v="634"/>
    <m/>
    <n v="42307"/>
    <x v="1"/>
    <s v="AG-10495"/>
    <s v="Andrew Gjertsen"/>
    <x v="1"/>
    <s v="United States"/>
    <x v="6"/>
    <x v="5"/>
    <x v="3"/>
    <s v="FUR-TA-10002607"/>
    <s v="Furniture"/>
    <x v="2"/>
    <s v="KI Conference Tables"/>
    <n v="347.36099999999999"/>
    <n v="7"/>
    <n v="-69.472200000000001"/>
    <x v="6"/>
    <x v="1"/>
  </r>
  <r>
    <x v="940"/>
    <x v="635"/>
    <m/>
    <n v="41968"/>
    <x v="1"/>
    <s v="GR-14560"/>
    <s v="Georgia Rosenberg"/>
    <x v="1"/>
    <s v="United States"/>
    <x v="16"/>
    <x v="14"/>
    <x v="2"/>
    <s v="FUR-BO-10000362"/>
    <s v="Furniture"/>
    <x v="0"/>
    <s v="Sauder Inglewood Library Bookcases"/>
    <n v="1025.8800000000001"/>
    <n v="6"/>
    <n v="235.95240000000001"/>
    <x v="6"/>
    <x v="0"/>
  </r>
  <r>
    <x v="941"/>
    <x v="211"/>
    <m/>
    <n v="42637"/>
    <x v="3"/>
    <s v="EB-13750"/>
    <s v="Edward Becker"/>
    <x v="1"/>
    <s v="United States"/>
    <x v="28"/>
    <x v="2"/>
    <x v="1"/>
    <s v="FUR-FU-10002501"/>
    <s v="Furniture"/>
    <x v="3"/>
    <s v="Nu-Dell Executive Frame"/>
    <n v="63.2"/>
    <n v="5"/>
    <n v="23.384"/>
    <x v="7"/>
    <x v="4"/>
  </r>
  <r>
    <x v="942"/>
    <x v="636"/>
    <m/>
    <n v="42474"/>
    <x v="1"/>
    <s v="HF-14995"/>
    <s v="Herbert Flentye"/>
    <x v="0"/>
    <s v="United States"/>
    <x v="2"/>
    <x v="2"/>
    <x v="1"/>
    <s v="FUR-BO-10001798"/>
    <s v="Furniture"/>
    <x v="0"/>
    <s v="Bush Somerset Collection Bookcase"/>
    <n v="556.66499999999996"/>
    <n v="5"/>
    <n v="6.5490000000000004"/>
    <x v="2"/>
    <x v="6"/>
  </r>
  <r>
    <x v="943"/>
    <x v="122"/>
    <m/>
    <n v="42710"/>
    <x v="2"/>
    <s v="NM-18520"/>
    <s v="Neoma Murray"/>
    <x v="0"/>
    <s v="United States"/>
    <x v="2"/>
    <x v="2"/>
    <x v="1"/>
    <s v="FUR-FU-10001085"/>
    <s v="Furniture"/>
    <x v="3"/>
    <s v="3M Polarizing Light Filter Sleeves"/>
    <n v="111.9"/>
    <n v="6"/>
    <n v="51.473999999999997"/>
    <x v="0"/>
    <x v="5"/>
  </r>
  <r>
    <x v="944"/>
    <x v="184"/>
    <m/>
    <n v="42535"/>
    <x v="3"/>
    <s v="MH-17290"/>
    <s v="Marc Harrigan"/>
    <x v="2"/>
    <s v="United States"/>
    <x v="2"/>
    <x v="2"/>
    <x v="1"/>
    <s v="FUR-BO-10004218"/>
    <s v="Furniture"/>
    <x v="0"/>
    <s v="Bush Heritage Pine Collection 5-Shelf Bookcase, Albany Pine Finish, *Special Order"/>
    <n v="599.16499999999996"/>
    <n v="5"/>
    <n v="35.244999999999997"/>
    <x v="7"/>
    <x v="2"/>
  </r>
  <r>
    <x v="945"/>
    <x v="637"/>
    <m/>
    <n v="41889"/>
    <x v="2"/>
    <s v="PR-18880"/>
    <s v="Patrick Ryan"/>
    <x v="0"/>
    <s v="United States"/>
    <x v="66"/>
    <x v="1"/>
    <x v="0"/>
    <s v="FUR-FU-10001967"/>
    <s v="Furniture"/>
    <x v="3"/>
    <s v="Telescoping Adjustable Floor Lamp"/>
    <n v="31.984000000000002"/>
    <n v="2"/>
    <n v="1.9990000000000001"/>
    <x v="3"/>
    <x v="4"/>
  </r>
  <r>
    <x v="946"/>
    <x v="638"/>
    <m/>
    <n v="41828"/>
    <x v="2"/>
    <s v="DM-13525"/>
    <s v="Don Miller"/>
    <x v="1"/>
    <s v="United States"/>
    <x v="273"/>
    <x v="1"/>
    <x v="0"/>
    <s v="FUR-FU-10001591"/>
    <s v="Furniture"/>
    <x v="3"/>
    <s v="Advantus Panel Wall Certificate Holder - 8.5x11"/>
    <n v="19.52"/>
    <n v="2"/>
    <n v="5.3680000000000003"/>
    <x v="0"/>
    <x v="3"/>
  </r>
  <r>
    <x v="946"/>
    <x v="638"/>
    <m/>
    <n v="41828"/>
    <x v="2"/>
    <s v="DM-13525"/>
    <s v="Don Miller"/>
    <x v="1"/>
    <s v="United States"/>
    <x v="273"/>
    <x v="1"/>
    <x v="0"/>
    <s v="FUR-FU-10003192"/>
    <s v="Furniture"/>
    <x v="3"/>
    <s v="Luxo Adjustable Task Clamp Lamp"/>
    <n v="213.21600000000001"/>
    <n v="3"/>
    <n v="15.991199999999999"/>
    <x v="0"/>
    <x v="3"/>
  </r>
  <r>
    <x v="947"/>
    <x v="639"/>
    <m/>
    <n v="41901"/>
    <x v="1"/>
    <s v="TA-21385"/>
    <s v="Tom Ashbrook"/>
    <x v="2"/>
    <s v="United States"/>
    <x v="274"/>
    <x v="44"/>
    <x v="3"/>
    <s v="FUR-FU-10003464"/>
    <s v="Furniture"/>
    <x v="3"/>
    <s v="Seth Thomas 8 1/2&quot; Cubicle Clock"/>
    <n v="40.56"/>
    <n v="2"/>
    <n v="12.979200000000001"/>
    <x v="1"/>
    <x v="4"/>
  </r>
  <r>
    <x v="948"/>
    <x v="297"/>
    <m/>
    <n v="43102"/>
    <x v="1"/>
    <s v="BS-11755"/>
    <s v="Bruce Stewart"/>
    <x v="0"/>
    <s v="United States"/>
    <x v="71"/>
    <x v="13"/>
    <x v="1"/>
    <s v="FUR-FU-10004093"/>
    <s v="Furniture"/>
    <x v="3"/>
    <s v="Hand-Finished Solid Wood Document Frame"/>
    <n v="68.459999999999994"/>
    <n v="2"/>
    <n v="20.538"/>
    <x v="4"/>
    <x v="5"/>
  </r>
  <r>
    <x v="949"/>
    <x v="362"/>
    <m/>
    <n v="42984"/>
    <x v="0"/>
    <s v="PK-19075"/>
    <s v="Pete Kriz"/>
    <x v="0"/>
    <s v="United States"/>
    <x v="28"/>
    <x v="2"/>
    <x v="1"/>
    <s v="FUR-TA-10001771"/>
    <s v="Furniture"/>
    <x v="2"/>
    <s v="Bush Cubix Conference Tables, Fully Assembled"/>
    <n v="1478.2719999999999"/>
    <n v="8"/>
    <n v="92.391999999999996"/>
    <x v="3"/>
    <x v="4"/>
  </r>
  <r>
    <x v="950"/>
    <x v="559"/>
    <m/>
    <n v="43012"/>
    <x v="1"/>
    <s v="BD-11725"/>
    <s v="Bruce Degenhardt"/>
    <x v="0"/>
    <s v="United States"/>
    <x v="2"/>
    <x v="2"/>
    <x v="1"/>
    <s v="FUR-FU-10001706"/>
    <s v="Furniture"/>
    <x v="3"/>
    <s v="Longer-Life Soft White Bulbs"/>
    <n v="9.24"/>
    <n v="3"/>
    <n v="4.4352"/>
    <x v="6"/>
    <x v="4"/>
  </r>
  <r>
    <x v="951"/>
    <x v="640"/>
    <m/>
    <n v="41659"/>
    <x v="2"/>
    <s v="TS-21340"/>
    <s v="Toby Swindell"/>
    <x v="0"/>
    <s v="United States"/>
    <x v="163"/>
    <x v="22"/>
    <x v="1"/>
    <s v="FUR-BO-10001972"/>
    <s v="Furniture"/>
    <x v="0"/>
    <s v="O'Sullivan 4-Shelf Bookcase in Odessa Pine"/>
    <n v="181.47"/>
    <n v="5"/>
    <n v="-320.59699999999998"/>
    <x v="5"/>
    <x v="8"/>
  </r>
  <r>
    <x v="952"/>
    <x v="641"/>
    <m/>
    <n v="42535"/>
    <x v="1"/>
    <s v="DB-13210"/>
    <s v="Dean Braden"/>
    <x v="0"/>
    <s v="United States"/>
    <x v="28"/>
    <x v="2"/>
    <x v="1"/>
    <s v="FUR-CH-10002774"/>
    <s v="Furniture"/>
    <x v="1"/>
    <s v="Global Deluxe Stacking Chair, Gray"/>
    <n v="122.352"/>
    <n v="3"/>
    <n v="13.7646"/>
    <x v="2"/>
    <x v="2"/>
  </r>
  <r>
    <x v="953"/>
    <x v="218"/>
    <m/>
    <n v="41909"/>
    <x v="2"/>
    <s v="KF-16285"/>
    <s v="Karen Ferguson"/>
    <x v="2"/>
    <s v="United States"/>
    <x v="53"/>
    <x v="2"/>
    <x v="1"/>
    <s v="FUR-CH-10000454"/>
    <s v="Furniture"/>
    <x v="1"/>
    <s v="Hon Deluxe Fabric Upholstered Stacking Chairs, Rounded Back"/>
    <n v="585.55200000000002"/>
    <n v="3"/>
    <n v="73.194000000000003"/>
    <x v="5"/>
    <x v="4"/>
  </r>
  <r>
    <x v="954"/>
    <x v="642"/>
    <m/>
    <n v="43092"/>
    <x v="1"/>
    <s v="TS-21505"/>
    <s v="Tony Sayre"/>
    <x v="0"/>
    <s v="United States"/>
    <x v="47"/>
    <x v="12"/>
    <x v="1"/>
    <s v="FUR-FU-10000320"/>
    <s v="Furniture"/>
    <x v="3"/>
    <s v="OIC Stacking Trays"/>
    <n v="13.36"/>
    <n v="5"/>
    <n v="4.008"/>
    <x v="4"/>
    <x v="5"/>
  </r>
  <r>
    <x v="954"/>
    <x v="642"/>
    <m/>
    <n v="43092"/>
    <x v="1"/>
    <s v="TS-21505"/>
    <s v="Tony Sayre"/>
    <x v="0"/>
    <s v="United States"/>
    <x v="47"/>
    <x v="12"/>
    <x v="1"/>
    <s v="FUR-BO-10000468"/>
    <s v="Furniture"/>
    <x v="0"/>
    <s v="O'Sullivan 2-Shelf Heavy-Duty Bookcases"/>
    <n v="102.018"/>
    <n v="7"/>
    <n v="-183.63239999999999"/>
    <x v="4"/>
    <x v="5"/>
  </r>
  <r>
    <x v="955"/>
    <x v="129"/>
    <m/>
    <n v="42770"/>
    <x v="1"/>
    <s v="EB-13870"/>
    <s v="Emily Burns"/>
    <x v="0"/>
    <s v="United States"/>
    <x v="89"/>
    <x v="1"/>
    <x v="0"/>
    <s v="FUR-CH-10002044"/>
    <s v="Furniture"/>
    <x v="1"/>
    <s v="Office Star - Contemporary Task Swivel chair with 2-way adjustable arms, Plum"/>
    <n v="419.13600000000002"/>
    <n v="4"/>
    <n v="-68.1096"/>
    <x v="2"/>
    <x v="8"/>
  </r>
  <r>
    <x v="956"/>
    <x v="535"/>
    <m/>
    <n v="42829"/>
    <x v="0"/>
    <s v="BF-11020"/>
    <s v="Barry FranzÅ¡sisch"/>
    <x v="1"/>
    <s v="United States"/>
    <x v="51"/>
    <x v="1"/>
    <x v="0"/>
    <s v="FUR-CH-10003774"/>
    <s v="Furniture"/>
    <x v="1"/>
    <s v="Global Wood Trimmed Manager's Task Chair, Khaki"/>
    <n v="218.352"/>
    <n v="3"/>
    <n v="-19.105799999999999"/>
    <x v="0"/>
    <x v="6"/>
  </r>
  <r>
    <x v="957"/>
    <x v="616"/>
    <m/>
    <n v="41971"/>
    <x v="3"/>
    <s v="DH-13675"/>
    <s v="Duane Huffman"/>
    <x v="2"/>
    <s v="United States"/>
    <x v="28"/>
    <x v="2"/>
    <x v="1"/>
    <s v="FUR-BO-10000330"/>
    <s v="Furniture"/>
    <x v="0"/>
    <s v="Sauder Camden County Barrister Bookcase, Planked Cherry Finish"/>
    <n v="411.33199999999999"/>
    <n v="4"/>
    <n v="-4.8391999999999999"/>
    <x v="7"/>
    <x v="0"/>
  </r>
  <r>
    <x v="958"/>
    <x v="316"/>
    <m/>
    <n v="42934"/>
    <x v="0"/>
    <s v="MM-18055"/>
    <s v="Michelle Moray"/>
    <x v="0"/>
    <s v="United States"/>
    <x v="13"/>
    <x v="7"/>
    <x v="2"/>
    <s v="FUR-CH-10002084"/>
    <s v="Furniture"/>
    <x v="1"/>
    <s v="Hon Mobius Operator's Chair"/>
    <n v="664.14599999999996"/>
    <n v="6"/>
    <n v="88.552800000000005"/>
    <x v="0"/>
    <x v="3"/>
  </r>
  <r>
    <x v="959"/>
    <x v="575"/>
    <m/>
    <n v="43045"/>
    <x v="1"/>
    <s v="TH-21115"/>
    <s v="Thea Hudgings"/>
    <x v="1"/>
    <s v="United States"/>
    <x v="3"/>
    <x v="3"/>
    <x v="2"/>
    <s v="FUR-FU-10001847"/>
    <s v="Furniture"/>
    <x v="3"/>
    <s v="Eldon Image Series Black Desk Accessories"/>
    <n v="3.3119999999999998"/>
    <n v="1"/>
    <n v="0.66239999999999999"/>
    <x v="4"/>
    <x v="0"/>
  </r>
  <r>
    <x v="960"/>
    <x v="643"/>
    <m/>
    <n v="42289"/>
    <x v="1"/>
    <s v="MB-17305"/>
    <s v="Maria Bertelson"/>
    <x v="0"/>
    <s v="United States"/>
    <x v="28"/>
    <x v="2"/>
    <x v="1"/>
    <s v="FUR-FU-10001588"/>
    <s v="Furniture"/>
    <x v="3"/>
    <s v="Deflect-o SuperTray Unbreakable Stackable Tray, Letter, Black"/>
    <n v="145.9"/>
    <n v="5"/>
    <n v="62.737000000000002"/>
    <x v="4"/>
    <x v="1"/>
  </r>
  <r>
    <x v="961"/>
    <x v="423"/>
    <m/>
    <n v="43078"/>
    <x v="1"/>
    <s v="MS-17980"/>
    <s v="Michael Stewart"/>
    <x v="1"/>
    <s v="United States"/>
    <x v="3"/>
    <x v="3"/>
    <x v="2"/>
    <s v="FUR-CH-10004540"/>
    <s v="Furniture"/>
    <x v="1"/>
    <s v="Global Chrome Stack Chair"/>
    <n v="239.96"/>
    <n v="10"/>
    <n v="-10.284000000000001"/>
    <x v="2"/>
    <x v="5"/>
  </r>
  <r>
    <x v="961"/>
    <x v="423"/>
    <m/>
    <n v="43078"/>
    <x v="1"/>
    <s v="MS-17980"/>
    <s v="Michael Stewart"/>
    <x v="1"/>
    <s v="United States"/>
    <x v="3"/>
    <x v="3"/>
    <x v="2"/>
    <s v="FUR-FU-10004093"/>
    <s v="Furniture"/>
    <x v="3"/>
    <s v="Hand-Finished Solid Wood Document Frame"/>
    <n v="54.768000000000001"/>
    <n v="2"/>
    <n v="6.8460000000000001"/>
    <x v="2"/>
    <x v="5"/>
  </r>
  <r>
    <x v="962"/>
    <x v="644"/>
    <m/>
    <n v="42881"/>
    <x v="1"/>
    <s v="LE-16810"/>
    <s v="Laurel Elliston"/>
    <x v="0"/>
    <s v="United States"/>
    <x v="9"/>
    <x v="8"/>
    <x v="3"/>
    <s v="FUR-CH-10000513"/>
    <s v="Furniture"/>
    <x v="1"/>
    <s v="High-Back Leather Manager's Chair"/>
    <n v="181.98599999999999"/>
    <n v="2"/>
    <n v="-54.595799999999997"/>
    <x v="4"/>
    <x v="7"/>
  </r>
  <r>
    <x v="963"/>
    <x v="645"/>
    <m/>
    <n v="42729"/>
    <x v="1"/>
    <s v="ES-14080"/>
    <s v="Erin Smith"/>
    <x v="1"/>
    <s v="United States"/>
    <x v="104"/>
    <x v="22"/>
    <x v="1"/>
    <s v="FUR-TA-10001086"/>
    <s v="Furniture"/>
    <x v="2"/>
    <s v="SAFCO PlanMaster Boards, 60w x 37-1/2d, White Melamine"/>
    <n v="455.97"/>
    <n v="6"/>
    <n v="-218.8656"/>
    <x v="6"/>
    <x v="5"/>
  </r>
  <r>
    <x v="964"/>
    <x v="87"/>
    <m/>
    <n v="42986"/>
    <x v="2"/>
    <s v="JM-16195"/>
    <s v="Justin MacKendrick"/>
    <x v="0"/>
    <s v="United States"/>
    <x v="275"/>
    <x v="4"/>
    <x v="1"/>
    <s v="FUR-FU-10002396"/>
    <s v="Furniture"/>
    <x v="3"/>
    <s v="DAX Copper Panel Document Frame, 5 x 7 Size"/>
    <n v="25.16"/>
    <n v="2"/>
    <n v="10.5672"/>
    <x v="5"/>
    <x v="4"/>
  </r>
  <r>
    <x v="965"/>
    <x v="352"/>
    <m/>
    <n v="41959"/>
    <x v="1"/>
    <s v="DB-12970"/>
    <s v="Darren Budd"/>
    <x v="1"/>
    <s v="United States"/>
    <x v="6"/>
    <x v="5"/>
    <x v="3"/>
    <s v="FUR-BO-10004467"/>
    <s v="Furniture"/>
    <x v="0"/>
    <s v="Bestar Classic Bookcase"/>
    <n v="67.993200000000002"/>
    <n v="1"/>
    <n v="-12.998699999999999"/>
    <x v="4"/>
    <x v="0"/>
  </r>
  <r>
    <x v="966"/>
    <x v="125"/>
    <m/>
    <n v="43014"/>
    <x v="0"/>
    <s v="JW-15220"/>
    <s v="Jane Waco"/>
    <x v="1"/>
    <s v="United States"/>
    <x v="132"/>
    <x v="33"/>
    <x v="0"/>
    <s v="FUR-FU-10002963"/>
    <s v="Furniture"/>
    <x v="3"/>
    <s v="Master Caster Door Stop, Gray"/>
    <n v="10.16"/>
    <n v="2"/>
    <n v="3.4544000000000001"/>
    <x v="4"/>
    <x v="1"/>
  </r>
  <r>
    <x v="967"/>
    <x v="646"/>
    <m/>
    <n v="42356"/>
    <x v="1"/>
    <s v="KD-16495"/>
    <s v="Keith Dawkins"/>
    <x v="1"/>
    <s v="United States"/>
    <x v="38"/>
    <x v="21"/>
    <x v="0"/>
    <s v="FUR-FU-10003829"/>
    <s v="Furniture"/>
    <x v="3"/>
    <s v="Stackable Trays"/>
    <n v="6.16"/>
    <n v="2"/>
    <n v="1.9712000000000001"/>
    <x v="4"/>
    <x v="5"/>
  </r>
  <r>
    <x v="968"/>
    <x v="647"/>
    <m/>
    <n v="42807"/>
    <x v="3"/>
    <s v="SU-20665"/>
    <s v="Stephanie Ulpright"/>
    <x v="2"/>
    <s v="United States"/>
    <x v="9"/>
    <x v="8"/>
    <x v="3"/>
    <s v="FUR-CH-10003606"/>
    <s v="Furniture"/>
    <x v="1"/>
    <s v="SAFCO Folding Chair Trolley"/>
    <n v="89.768000000000001"/>
    <n v="1"/>
    <n v="-2.5648"/>
    <x v="7"/>
    <x v="9"/>
  </r>
  <r>
    <x v="969"/>
    <x v="574"/>
    <m/>
    <n v="42720"/>
    <x v="1"/>
    <s v="RF-19840"/>
    <s v="Roy FranzÅ¡sisch"/>
    <x v="0"/>
    <s v="United States"/>
    <x v="102"/>
    <x v="2"/>
    <x v="1"/>
    <s v="FUR-FU-10004864"/>
    <s v="Furniture"/>
    <x v="3"/>
    <s v="Howard Miller 14-1/2&quot; Diameter Chrome Round Wall Clock"/>
    <n v="383.64"/>
    <n v="6"/>
    <n v="122.76479999999999"/>
    <x v="4"/>
    <x v="5"/>
  </r>
  <r>
    <x v="970"/>
    <x v="198"/>
    <m/>
    <n v="42992"/>
    <x v="0"/>
    <s v="LC-17050"/>
    <s v="Liz Carlisle"/>
    <x v="0"/>
    <s v="United States"/>
    <x v="2"/>
    <x v="2"/>
    <x v="1"/>
    <s v="FUR-CH-10003833"/>
    <s v="Furniture"/>
    <x v="1"/>
    <s v="Novimex Fabric Task Chair"/>
    <n v="243.92"/>
    <n v="5"/>
    <n v="-15.244999999999999"/>
    <x v="2"/>
    <x v="4"/>
  </r>
  <r>
    <x v="971"/>
    <x v="648"/>
    <m/>
    <n v="43016"/>
    <x v="1"/>
    <s v="PS-18970"/>
    <s v="Paul Stevenson"/>
    <x v="2"/>
    <s v="United States"/>
    <x v="218"/>
    <x v="32"/>
    <x v="2"/>
    <s v="FUR-FU-10000076"/>
    <s v="Furniture"/>
    <x v="3"/>
    <s v="24-Hour Round Wall Clock"/>
    <n v="19.98"/>
    <n v="1"/>
    <n v="8.5914000000000001"/>
    <x v="4"/>
    <x v="1"/>
  </r>
  <r>
    <x v="972"/>
    <x v="256"/>
    <m/>
    <n v="41992"/>
    <x v="0"/>
    <s v="JO-15280"/>
    <s v="Jas O'Carroll"/>
    <x v="0"/>
    <s v="United States"/>
    <x v="53"/>
    <x v="2"/>
    <x v="1"/>
    <s v="FUR-FU-10003829"/>
    <s v="Furniture"/>
    <x v="3"/>
    <s v="Stackable Trays"/>
    <n v="6.16"/>
    <n v="2"/>
    <n v="1.9712000000000001"/>
    <x v="4"/>
    <x v="5"/>
  </r>
  <r>
    <x v="973"/>
    <x v="137"/>
    <m/>
    <n v="41930"/>
    <x v="0"/>
    <s v="ML-17395"/>
    <s v="Marina Lichtenstein"/>
    <x v="1"/>
    <s v="United States"/>
    <x v="174"/>
    <x v="18"/>
    <x v="2"/>
    <s v="FUR-CH-10002880"/>
    <s v="Furniture"/>
    <x v="1"/>
    <s v="Global High-Back Leather Tilter, Burgundy"/>
    <n v="245.98"/>
    <n v="2"/>
    <n v="27.0578"/>
    <x v="2"/>
    <x v="1"/>
  </r>
  <r>
    <x v="974"/>
    <x v="649"/>
    <m/>
    <n v="42638"/>
    <x v="1"/>
    <s v="FM-14215"/>
    <s v="Filia McAdams"/>
    <x v="1"/>
    <s v="United States"/>
    <x v="224"/>
    <x v="30"/>
    <x v="0"/>
    <s v="FUR-FU-10001546"/>
    <s v="Furniture"/>
    <x v="3"/>
    <s v="Dana Swing-Arm Lamps"/>
    <n v="17.088000000000001"/>
    <n v="2"/>
    <n v="1.0680000000000001"/>
    <x v="2"/>
    <x v="4"/>
  </r>
  <r>
    <x v="974"/>
    <x v="649"/>
    <m/>
    <n v="42638"/>
    <x v="1"/>
    <s v="FM-14215"/>
    <s v="Filia McAdams"/>
    <x v="1"/>
    <s v="United States"/>
    <x v="224"/>
    <x v="30"/>
    <x v="0"/>
    <s v="FUR-CH-10002880"/>
    <s v="Furniture"/>
    <x v="1"/>
    <s v="Global High-Back Leather Tilter, Burgundy"/>
    <n v="98.391999999999996"/>
    <n v="1"/>
    <n v="-11.069100000000001"/>
    <x v="2"/>
    <x v="4"/>
  </r>
  <r>
    <x v="975"/>
    <x v="254"/>
    <m/>
    <n v="42920"/>
    <x v="1"/>
    <s v="DV-13045"/>
    <s v="Darrin Van Huff"/>
    <x v="1"/>
    <s v="United States"/>
    <x v="10"/>
    <x v="9"/>
    <x v="0"/>
    <s v="FUR-FU-10001591"/>
    <s v="Furniture"/>
    <x v="3"/>
    <s v="Advantus Panel Wall Certificate Holder - 8.5x11"/>
    <n v="19.52"/>
    <n v="2"/>
    <n v="5.3680000000000003"/>
    <x v="4"/>
    <x v="2"/>
  </r>
  <r>
    <x v="976"/>
    <x v="228"/>
    <m/>
    <n v="42643"/>
    <x v="1"/>
    <s v="SC-20695"/>
    <s v="Steve Chapman"/>
    <x v="1"/>
    <s v="United States"/>
    <x v="276"/>
    <x v="16"/>
    <x v="3"/>
    <s v="FUR-CH-10004218"/>
    <s v="Furniture"/>
    <x v="1"/>
    <s v="Global Fabric Manager's Chair, Dark Gray"/>
    <n v="201.96"/>
    <n v="2"/>
    <n v="50.49"/>
    <x v="2"/>
    <x v="4"/>
  </r>
  <r>
    <x v="976"/>
    <x v="228"/>
    <m/>
    <n v="42643"/>
    <x v="1"/>
    <s v="SC-20695"/>
    <s v="Steve Chapman"/>
    <x v="1"/>
    <s v="United States"/>
    <x v="276"/>
    <x v="16"/>
    <x v="3"/>
    <s v="FUR-FU-10000755"/>
    <s v="Furniture"/>
    <x v="3"/>
    <s v="Eldon Expressions Mahogany Wood Desk Collection"/>
    <n v="68.64"/>
    <n v="11"/>
    <n v="17.16"/>
    <x v="2"/>
    <x v="4"/>
  </r>
  <r>
    <x v="977"/>
    <x v="189"/>
    <m/>
    <n v="41913"/>
    <x v="0"/>
    <s v="PP-18955"/>
    <s v="Paul Prost"/>
    <x v="2"/>
    <s v="United States"/>
    <x v="15"/>
    <x v="13"/>
    <x v="1"/>
    <s v="FUR-FU-10001706"/>
    <s v="Furniture"/>
    <x v="3"/>
    <s v="Longer-Life Soft White Bulbs"/>
    <n v="6.16"/>
    <n v="2"/>
    <n v="2.9567999999999999"/>
    <x v="3"/>
    <x v="4"/>
  </r>
  <r>
    <x v="977"/>
    <x v="189"/>
    <m/>
    <n v="41913"/>
    <x v="0"/>
    <s v="PP-18955"/>
    <s v="Paul Prost"/>
    <x v="2"/>
    <s v="United States"/>
    <x v="15"/>
    <x v="13"/>
    <x v="1"/>
    <s v="FUR-TA-10002958"/>
    <s v="Furniture"/>
    <x v="2"/>
    <s v="Bevis Oval Conference Table, Walnut"/>
    <n v="2348.8200000000002"/>
    <n v="9"/>
    <n v="399.29939999999999"/>
    <x v="3"/>
    <x v="4"/>
  </r>
  <r>
    <x v="978"/>
    <x v="332"/>
    <m/>
    <n v="42917"/>
    <x v="1"/>
    <s v="DR-12880"/>
    <s v="Dan Reichenbach"/>
    <x v="1"/>
    <s v="United States"/>
    <x v="89"/>
    <x v="1"/>
    <x v="0"/>
    <s v="FUR-CH-10001545"/>
    <s v="Furniture"/>
    <x v="1"/>
    <s v="Hon Comfortask Task/Swivel Chairs"/>
    <n v="273.55200000000002"/>
    <n v="3"/>
    <n v="-13.6776"/>
    <x v="2"/>
    <x v="2"/>
  </r>
  <r>
    <x v="979"/>
    <x v="650"/>
    <m/>
    <n v="42605"/>
    <x v="0"/>
    <s v="RB-19465"/>
    <s v="Rick Bensley"/>
    <x v="2"/>
    <s v="United States"/>
    <x v="3"/>
    <x v="3"/>
    <x v="2"/>
    <s v="FUR-TA-10002530"/>
    <s v="Furniture"/>
    <x v="2"/>
    <s v="Iceberg OfficeWorks 42&quot; Round Tables"/>
    <n v="815.29200000000003"/>
    <n v="9"/>
    <n v="-339.70499999999998"/>
    <x v="3"/>
    <x v="10"/>
  </r>
  <r>
    <x v="980"/>
    <x v="651"/>
    <m/>
    <n v="41685"/>
    <x v="1"/>
    <s v="NF-18385"/>
    <s v="Natalie Fritzler"/>
    <x v="0"/>
    <s v="United States"/>
    <x v="180"/>
    <x v="25"/>
    <x v="0"/>
    <s v="FUR-TA-10003715"/>
    <s v="Furniture"/>
    <x v="2"/>
    <s v="Hon 2111 Invitation Series Corner Table"/>
    <n v="1256.22"/>
    <n v="6"/>
    <n v="75.373199999999997"/>
    <x v="4"/>
    <x v="11"/>
  </r>
  <r>
    <x v="981"/>
    <x v="292"/>
    <m/>
    <n v="42827"/>
    <x v="1"/>
    <s v="ML-18040"/>
    <s v="Michelle Lonsdale"/>
    <x v="1"/>
    <s v="United States"/>
    <x v="54"/>
    <x v="17"/>
    <x v="3"/>
    <s v="FUR-FU-10004245"/>
    <s v="Furniture"/>
    <x v="3"/>
    <s v="Career Cubicle Clock, 8 1/4&quot;, Black"/>
    <n v="60.84"/>
    <n v="3"/>
    <n v="23.119199999999999"/>
    <x v="1"/>
    <x v="9"/>
  </r>
  <r>
    <x v="982"/>
    <x v="652"/>
    <m/>
    <n v="42000"/>
    <x v="1"/>
    <s v="GM-14440"/>
    <s v="Gary McGarr"/>
    <x v="0"/>
    <s v="United States"/>
    <x v="53"/>
    <x v="2"/>
    <x v="1"/>
    <s v="FUR-CH-10004287"/>
    <s v="Furniture"/>
    <x v="1"/>
    <s v="SAFCO Arco Folding Chair"/>
    <n v="1325.76"/>
    <n v="6"/>
    <n v="149.148"/>
    <x v="6"/>
    <x v="5"/>
  </r>
  <r>
    <x v="982"/>
    <x v="652"/>
    <m/>
    <n v="42000"/>
    <x v="1"/>
    <s v="GM-14440"/>
    <s v="Gary McGarr"/>
    <x v="0"/>
    <s v="United States"/>
    <x v="53"/>
    <x v="2"/>
    <x v="1"/>
    <s v="FUR-CH-10000595"/>
    <s v="Furniture"/>
    <x v="1"/>
    <s v="Safco Contoured Stacking Chairs"/>
    <n v="572.16"/>
    <n v="3"/>
    <n v="35.76"/>
    <x v="6"/>
    <x v="5"/>
  </r>
  <r>
    <x v="983"/>
    <x v="610"/>
    <m/>
    <n v="42465"/>
    <x v="0"/>
    <s v="DB-12910"/>
    <s v="Daniel Byrd"/>
    <x v="2"/>
    <s v="United States"/>
    <x v="29"/>
    <x v="24"/>
    <x v="0"/>
    <s v="FUR-FU-10003274"/>
    <s v="Furniture"/>
    <x v="3"/>
    <s v="Regeneration Desk Collection"/>
    <n v="7.04"/>
    <n v="4"/>
    <n v="3.0975999999999999"/>
    <x v="4"/>
    <x v="6"/>
  </r>
  <r>
    <x v="984"/>
    <x v="438"/>
    <m/>
    <n v="42844"/>
    <x v="1"/>
    <s v="HM-14860"/>
    <s v="Harry Marie"/>
    <x v="1"/>
    <s v="United States"/>
    <x v="277"/>
    <x v="18"/>
    <x v="2"/>
    <s v="FUR-FU-10004018"/>
    <s v="Furniture"/>
    <x v="3"/>
    <s v="Tensor Computer Mounted Lamp"/>
    <n v="74.45"/>
    <n v="5"/>
    <n v="20.101500000000001"/>
    <x v="2"/>
    <x v="6"/>
  </r>
  <r>
    <x v="985"/>
    <x v="653"/>
    <m/>
    <n v="42013"/>
    <x v="1"/>
    <s v="AG-10495"/>
    <s v="Andrew Gjertsen"/>
    <x v="1"/>
    <s v="United States"/>
    <x v="166"/>
    <x v="25"/>
    <x v="0"/>
    <s v="FUR-FU-10001473"/>
    <s v="Furniture"/>
    <x v="3"/>
    <s v="DAX Wood Document Frame"/>
    <n v="192.22"/>
    <n v="14"/>
    <n v="69.199200000000005"/>
    <x v="2"/>
    <x v="8"/>
  </r>
  <r>
    <x v="986"/>
    <x v="357"/>
    <m/>
    <n v="42935"/>
    <x v="0"/>
    <s v="AJ-10795"/>
    <s v="Anthony Johnson"/>
    <x v="1"/>
    <s v="United States"/>
    <x v="278"/>
    <x v="2"/>
    <x v="1"/>
    <s v="FUR-BO-10002613"/>
    <s v="Furniture"/>
    <x v="0"/>
    <s v="Atlantic Metals Mobile 4-Shelf Bookcases, Custom Colors"/>
    <n v="1194.165"/>
    <n v="5"/>
    <n v="210.73500000000001"/>
    <x v="3"/>
    <x v="3"/>
  </r>
  <r>
    <x v="987"/>
    <x v="105"/>
    <m/>
    <n v="42725"/>
    <x v="2"/>
    <s v="AH-10120"/>
    <s v="Adrian Hane"/>
    <x v="2"/>
    <s v="United States"/>
    <x v="279"/>
    <x v="36"/>
    <x v="1"/>
    <s v="FUR-TA-10002530"/>
    <s v="Furniture"/>
    <x v="2"/>
    <s v="Iceberg OfficeWorks 42&quot; Round Tables"/>
    <n v="377.45"/>
    <n v="5"/>
    <n v="-264.21499999999997"/>
    <x v="0"/>
    <x v="5"/>
  </r>
  <r>
    <x v="988"/>
    <x v="211"/>
    <m/>
    <n v="42644"/>
    <x v="1"/>
    <s v="CL-12700"/>
    <s v="Craig Leslie"/>
    <x v="2"/>
    <s v="United States"/>
    <x v="14"/>
    <x v="12"/>
    <x v="1"/>
    <s v="FUR-FU-10002671"/>
    <s v="Furniture"/>
    <x v="3"/>
    <s v="Electrix 20W Halogen Replacement Bulb for Zoom-In Desk Lamp"/>
    <n v="21.44"/>
    <n v="2"/>
    <n v="7.5039999999999996"/>
    <x v="1"/>
    <x v="4"/>
  </r>
  <r>
    <x v="989"/>
    <x v="654"/>
    <m/>
    <n v="42166"/>
    <x v="0"/>
    <s v="TG-21640"/>
    <s v="Trudy Glocke"/>
    <x v="0"/>
    <s v="United States"/>
    <x v="280"/>
    <x v="42"/>
    <x v="1"/>
    <s v="FUR-FU-10003192"/>
    <s v="Furniture"/>
    <x v="3"/>
    <s v="Luxo Adjustable Task Clamp Lamp"/>
    <n v="355.36"/>
    <n v="4"/>
    <n v="92.393600000000006"/>
    <x v="3"/>
    <x v="2"/>
  </r>
  <r>
    <x v="990"/>
    <x v="527"/>
    <m/>
    <n v="42009"/>
    <x v="1"/>
    <s v="ZC-21910"/>
    <s v="Zuschuss Carroll"/>
    <x v="0"/>
    <s v="United States"/>
    <x v="9"/>
    <x v="8"/>
    <x v="3"/>
    <s v="FUR-FU-10000193"/>
    <s v="Furniture"/>
    <x v="3"/>
    <s v="Tenex Chairmats For Use with Hard Floors"/>
    <n v="38.975999999999999"/>
    <n v="3"/>
    <n v="-50.668799999999997"/>
    <x v="1"/>
    <x v="5"/>
  </r>
  <r>
    <x v="991"/>
    <x v="655"/>
    <m/>
    <n v="41848"/>
    <x v="3"/>
    <s v="CK-12205"/>
    <s v="Chloris Kastensmidt"/>
    <x v="0"/>
    <s v="United States"/>
    <x v="281"/>
    <x v="1"/>
    <x v="0"/>
    <s v="FUR-FU-10003623"/>
    <s v="Furniture"/>
    <x v="3"/>
    <s v="DataProducts Ampli Magnifier Task Lamp, Black,"/>
    <n v="129.88800000000001"/>
    <n v="6"/>
    <n v="12.988799999999999"/>
    <x v="7"/>
    <x v="3"/>
  </r>
  <r>
    <x v="992"/>
    <x v="626"/>
    <m/>
    <n v="42369"/>
    <x v="1"/>
    <s v="RB-19705"/>
    <s v="Roger Barcio"/>
    <x v="2"/>
    <s v="United States"/>
    <x v="6"/>
    <x v="5"/>
    <x v="3"/>
    <s v="FUR-CH-10002044"/>
    <s v="Furniture"/>
    <x v="1"/>
    <s v="Office Star - Contemporary Task Swivel chair with 2-way adjustable arms, Plum"/>
    <n v="275.05799999999999"/>
    <n v="3"/>
    <n v="-90.376199999999997"/>
    <x v="2"/>
    <x v="5"/>
  </r>
  <r>
    <x v="993"/>
    <x v="479"/>
    <m/>
    <n v="42354"/>
    <x v="1"/>
    <s v="KM-16225"/>
    <s v="Kalyca Meade"/>
    <x v="1"/>
    <s v="United States"/>
    <x v="237"/>
    <x v="32"/>
    <x v="2"/>
    <s v="FUR-CH-10000785"/>
    <s v="Furniture"/>
    <x v="1"/>
    <s v="Global Ergonomic Managers Chair"/>
    <n v="542.94000000000005"/>
    <n v="3"/>
    <n v="141.1644"/>
    <x v="6"/>
    <x v="5"/>
  </r>
  <r>
    <x v="994"/>
    <x v="399"/>
    <m/>
    <n v="42497"/>
    <x v="0"/>
    <s v="AH-10465"/>
    <s v="Amy Hunt"/>
    <x v="0"/>
    <s v="United States"/>
    <x v="28"/>
    <x v="2"/>
    <x v="1"/>
    <s v="FUR-TA-10001676"/>
    <s v="Furniture"/>
    <x v="2"/>
    <s v="Hon 61000 Series Interactive Training Tables"/>
    <n v="71.087999999999994"/>
    <n v="2"/>
    <n v="-1.7771999999999999"/>
    <x v="3"/>
    <x v="7"/>
  </r>
  <r>
    <x v="995"/>
    <x v="609"/>
    <m/>
    <n v="41994"/>
    <x v="1"/>
    <s v="SS-20875"/>
    <s v="Sung Shariari"/>
    <x v="0"/>
    <s v="United States"/>
    <x v="149"/>
    <x v="15"/>
    <x v="2"/>
    <s v="FUR-TA-10002645"/>
    <s v="Furniture"/>
    <x v="2"/>
    <s v="Hon Rectangular Conference Tables"/>
    <n v="136.53"/>
    <n v="1"/>
    <n v="-52.336500000000001"/>
    <x v="1"/>
    <x v="5"/>
  </r>
  <r>
    <x v="996"/>
    <x v="190"/>
    <m/>
    <n v="42139"/>
    <x v="1"/>
    <s v="NW-18400"/>
    <s v="Natalie Webber"/>
    <x v="0"/>
    <s v="United States"/>
    <x v="13"/>
    <x v="7"/>
    <x v="2"/>
    <s v="FUR-FU-10001095"/>
    <s v="Furniture"/>
    <x v="3"/>
    <s v="DAX Black Cherry Wood-Tone Poster Frame"/>
    <n v="79.44"/>
    <n v="3"/>
    <n v="30.187200000000001"/>
    <x v="1"/>
    <x v="7"/>
  </r>
  <r>
    <x v="996"/>
    <x v="190"/>
    <m/>
    <n v="42139"/>
    <x v="1"/>
    <s v="NW-18400"/>
    <s v="Natalie Webber"/>
    <x v="0"/>
    <s v="United States"/>
    <x v="13"/>
    <x v="7"/>
    <x v="2"/>
    <s v="FUR-CH-10002647"/>
    <s v="Furniture"/>
    <x v="1"/>
    <s v="Situations Contoured Folding Chairs, 4/Set"/>
    <n v="127.764"/>
    <n v="2"/>
    <n v="21.294"/>
    <x v="1"/>
    <x v="7"/>
  </r>
  <r>
    <x v="997"/>
    <x v="64"/>
    <m/>
    <n v="43082"/>
    <x v="1"/>
    <s v="JP-15520"/>
    <s v="Jeremy Pistek"/>
    <x v="0"/>
    <s v="United States"/>
    <x v="123"/>
    <x v="16"/>
    <x v="3"/>
    <s v="FUR-BO-10003159"/>
    <s v="Furniture"/>
    <x v="0"/>
    <s v="Sauder Camden County Collection Libraries, Planked Cherry Finish"/>
    <n v="459.92"/>
    <n v="4"/>
    <n v="41.392800000000001"/>
    <x v="2"/>
    <x v="5"/>
  </r>
  <r>
    <x v="998"/>
    <x v="656"/>
    <m/>
    <n v="42918"/>
    <x v="2"/>
    <s v="DR-12880"/>
    <s v="Dan Reichenbach"/>
    <x v="1"/>
    <s v="United States"/>
    <x v="282"/>
    <x v="19"/>
    <x v="2"/>
    <s v="FUR-BO-10002598"/>
    <s v="Furniture"/>
    <x v="0"/>
    <s v="Hon Metal Bookcases, Putty"/>
    <n v="638.82000000000005"/>
    <n v="9"/>
    <n v="185.2578"/>
    <x v="0"/>
    <x v="2"/>
  </r>
  <r>
    <x v="998"/>
    <x v="656"/>
    <m/>
    <n v="42918"/>
    <x v="2"/>
    <s v="DR-12880"/>
    <s v="Dan Reichenbach"/>
    <x v="1"/>
    <s v="United States"/>
    <x v="282"/>
    <x v="19"/>
    <x v="2"/>
    <s v="FUR-FU-10003976"/>
    <s v="Furniture"/>
    <x v="3"/>
    <s v="DAX Executive Solid Wood Document Frame, Desktop or Hang, Mahogany, 5 x 7"/>
    <n v="25.16"/>
    <n v="2"/>
    <n v="8.5543999999999993"/>
    <x v="0"/>
    <x v="2"/>
  </r>
  <r>
    <x v="999"/>
    <x v="187"/>
    <m/>
    <n v="41664"/>
    <x v="1"/>
    <s v="MV-17485"/>
    <s v="Mark Van Huff"/>
    <x v="0"/>
    <s v="United States"/>
    <x v="2"/>
    <x v="2"/>
    <x v="1"/>
    <s v="FUR-FU-10003194"/>
    <s v="Furniture"/>
    <x v="3"/>
    <s v="Eldon Expressions Desk Accessory, Wood Pencil Holder, Oak"/>
    <n v="19.3"/>
    <n v="2"/>
    <n v="5.79"/>
    <x v="2"/>
    <x v="8"/>
  </r>
  <r>
    <x v="1000"/>
    <x v="657"/>
    <m/>
    <n v="42825"/>
    <x v="2"/>
    <s v="DH-13075"/>
    <s v="Dave Hallsten"/>
    <x v="1"/>
    <s v="United States"/>
    <x v="130"/>
    <x v="2"/>
    <x v="1"/>
    <s v="FUR-FU-10001095"/>
    <s v="Furniture"/>
    <x v="3"/>
    <s v="DAX Black Cherry Wood-Tone Poster Frame"/>
    <n v="26.48"/>
    <n v="1"/>
    <n v="10.0624"/>
    <x v="0"/>
    <x v="9"/>
  </r>
  <r>
    <x v="1000"/>
    <x v="657"/>
    <m/>
    <n v="42825"/>
    <x v="2"/>
    <s v="DH-13075"/>
    <s v="Dave Hallsten"/>
    <x v="1"/>
    <s v="United States"/>
    <x v="130"/>
    <x v="2"/>
    <x v="1"/>
    <s v="FUR-FU-10003829"/>
    <s v="Furniture"/>
    <x v="3"/>
    <s v="Stackable Trays"/>
    <n v="21.56"/>
    <n v="7"/>
    <n v="6.8992000000000004"/>
    <x v="0"/>
    <x v="9"/>
  </r>
  <r>
    <x v="1001"/>
    <x v="658"/>
    <m/>
    <n v="41795"/>
    <x v="1"/>
    <s v="SS-20410"/>
    <s v="Shahid Shariari"/>
    <x v="0"/>
    <s v="United States"/>
    <x v="283"/>
    <x v="8"/>
    <x v="3"/>
    <s v="FUR-TA-10001539"/>
    <s v="Furniture"/>
    <x v="2"/>
    <s v="Chromcraft Rectangular Conference Tables"/>
    <n v="355.45499999999998"/>
    <n v="3"/>
    <n v="-184.8366"/>
    <x v="6"/>
    <x v="7"/>
  </r>
  <r>
    <x v="1002"/>
    <x v="659"/>
    <m/>
    <n v="42410"/>
    <x v="1"/>
    <s v="LC-17050"/>
    <s v="Liz Carlisle"/>
    <x v="0"/>
    <s v="United States"/>
    <x v="52"/>
    <x v="0"/>
    <x v="0"/>
    <s v="FUR-CH-10000015"/>
    <s v="Furniture"/>
    <x v="1"/>
    <s v="Hon Multipurpose Stacking Arm Chairs"/>
    <n v="866.4"/>
    <n v="4"/>
    <n v="225.26400000000001"/>
    <x v="1"/>
    <x v="11"/>
  </r>
  <r>
    <x v="1003"/>
    <x v="660"/>
    <m/>
    <n v="42232"/>
    <x v="1"/>
    <s v="BW-11065"/>
    <s v="Barry Weirich"/>
    <x v="0"/>
    <s v="United States"/>
    <x v="168"/>
    <x v="30"/>
    <x v="0"/>
    <s v="FUR-FU-10004270"/>
    <s v="Furniture"/>
    <x v="3"/>
    <s v="Executive Impressions 13&quot; Clairmont Wall Clock"/>
    <n v="46.152000000000001"/>
    <n v="3"/>
    <n v="12.1149"/>
    <x v="2"/>
    <x v="10"/>
  </r>
  <r>
    <x v="1004"/>
    <x v="661"/>
    <m/>
    <n v="42962"/>
    <x v="2"/>
    <s v="JM-16195"/>
    <s v="Justin MacKendrick"/>
    <x v="0"/>
    <s v="United States"/>
    <x v="284"/>
    <x v="2"/>
    <x v="1"/>
    <s v="FUR-FU-10001473"/>
    <s v="Furniture"/>
    <x v="3"/>
    <s v="DAX Wood Document Frame"/>
    <n v="54.92"/>
    <n v="4"/>
    <n v="19.7712"/>
    <x v="0"/>
    <x v="10"/>
  </r>
  <r>
    <x v="1005"/>
    <x v="240"/>
    <m/>
    <n v="42313"/>
    <x v="2"/>
    <s v="FH-14365"/>
    <s v="Fred Hopkins"/>
    <x v="1"/>
    <s v="United States"/>
    <x v="62"/>
    <x v="7"/>
    <x v="2"/>
    <s v="FUR-CH-10004983"/>
    <s v="Furniture"/>
    <x v="1"/>
    <s v="Office Star - Mid Back Dual function Ergonomic High Back Chair with 2-Way Adjustable Arms"/>
    <n v="1448.82"/>
    <n v="10"/>
    <n v="209.274"/>
    <x v="3"/>
    <x v="0"/>
  </r>
  <r>
    <x v="1006"/>
    <x v="262"/>
    <m/>
    <n v="42275"/>
    <x v="1"/>
    <s v="SC-20440"/>
    <s v="Shaun Chance"/>
    <x v="1"/>
    <s v="United States"/>
    <x v="2"/>
    <x v="2"/>
    <x v="1"/>
    <s v="FUR-FU-10000010"/>
    <s v="Furniture"/>
    <x v="3"/>
    <s v="DAX Value U-Channel Document Frames, Easel Back"/>
    <n v="14.91"/>
    <n v="3"/>
    <n v="4.6220999999999997"/>
    <x v="4"/>
    <x v="4"/>
  </r>
  <r>
    <x v="1007"/>
    <x v="188"/>
    <m/>
    <n v="42476"/>
    <x v="1"/>
    <s v="BP-11290"/>
    <s v="Beth Paige"/>
    <x v="0"/>
    <s v="United States"/>
    <x v="2"/>
    <x v="2"/>
    <x v="1"/>
    <s v="FUR-CH-10001545"/>
    <s v="Furniture"/>
    <x v="1"/>
    <s v="Hon Comfortask Task/Swivel Chairs"/>
    <n v="638.28800000000001"/>
    <n v="7"/>
    <n v="-31.914400000000001"/>
    <x v="4"/>
    <x v="6"/>
  </r>
  <r>
    <x v="1008"/>
    <x v="163"/>
    <m/>
    <n v="41961"/>
    <x v="1"/>
    <s v="AP-10915"/>
    <s v="Arthur Prichep"/>
    <x v="0"/>
    <s v="United States"/>
    <x v="2"/>
    <x v="2"/>
    <x v="1"/>
    <s v="FUR-CH-10000988"/>
    <s v="Furniture"/>
    <x v="1"/>
    <s v="Hon Olson Stacker Stools"/>
    <n v="112.648"/>
    <n v="1"/>
    <n v="11.264799999999999"/>
    <x v="1"/>
    <x v="0"/>
  </r>
  <r>
    <x v="1009"/>
    <x v="125"/>
    <m/>
    <n v="43016"/>
    <x v="1"/>
    <s v="JK-16090"/>
    <s v="Juliana Krohn"/>
    <x v="0"/>
    <s v="United States"/>
    <x v="76"/>
    <x v="36"/>
    <x v="1"/>
    <s v="FUR-BO-10001972"/>
    <s v="Furniture"/>
    <x v="0"/>
    <s v="O'Sullivan 4-Shelf Bookcase in Odessa Pine"/>
    <n v="217.76400000000001"/>
    <n v="6"/>
    <n v="-384.71640000000002"/>
    <x v="6"/>
    <x v="1"/>
  </r>
  <r>
    <x v="1010"/>
    <x v="662"/>
    <m/>
    <n v="42839"/>
    <x v="0"/>
    <s v="MG-18205"/>
    <s v="Mitch Gastineau"/>
    <x v="1"/>
    <s v="United States"/>
    <x v="51"/>
    <x v="1"/>
    <x v="0"/>
    <s v="FUR-FU-10003829"/>
    <s v="Furniture"/>
    <x v="3"/>
    <s v="Stackable Trays"/>
    <n v="12.32"/>
    <n v="5"/>
    <n v="1.8480000000000001"/>
    <x v="4"/>
    <x v="6"/>
  </r>
  <r>
    <x v="1011"/>
    <x v="560"/>
    <m/>
    <n v="43010"/>
    <x v="2"/>
    <s v="PG-18820"/>
    <s v="Patrick Gardner"/>
    <x v="0"/>
    <s v="United States"/>
    <x v="175"/>
    <x v="2"/>
    <x v="1"/>
    <s v="FUR-CH-10002961"/>
    <s v="Furniture"/>
    <x v="1"/>
    <s v="Leather Task Chair, Black"/>
    <n v="72.784000000000006"/>
    <n v="1"/>
    <n v="0"/>
    <x v="0"/>
    <x v="4"/>
  </r>
  <r>
    <x v="1011"/>
    <x v="560"/>
    <m/>
    <n v="43010"/>
    <x v="2"/>
    <s v="PG-18820"/>
    <s v="Patrick Gardner"/>
    <x v="0"/>
    <s v="United States"/>
    <x v="175"/>
    <x v="2"/>
    <x v="1"/>
    <s v="FUR-FU-10004848"/>
    <s v="Furniture"/>
    <x v="3"/>
    <s v="Howard Miller 13-3/4&quot; Diameter Brushed Chrome Round Wall Clock"/>
    <n v="51.75"/>
    <n v="1"/>
    <n v="15.525"/>
    <x v="0"/>
    <x v="4"/>
  </r>
  <r>
    <x v="1012"/>
    <x v="189"/>
    <m/>
    <n v="41915"/>
    <x v="0"/>
    <s v="LD-17005"/>
    <s v="Lisa DeCherney"/>
    <x v="0"/>
    <s v="United States"/>
    <x v="13"/>
    <x v="7"/>
    <x v="2"/>
    <s v="FUR-FU-10000521"/>
    <s v="Furniture"/>
    <x v="3"/>
    <s v="Seth Thomas 14&quot; Putty-Colored Wall Clock"/>
    <n v="117.36"/>
    <n v="4"/>
    <n v="36.381599999999999"/>
    <x v="4"/>
    <x v="4"/>
  </r>
  <r>
    <x v="1013"/>
    <x v="663"/>
    <m/>
    <n v="41876"/>
    <x v="0"/>
    <s v="CR-12730"/>
    <s v="Craig Reiter"/>
    <x v="0"/>
    <s v="United States"/>
    <x v="9"/>
    <x v="8"/>
    <x v="3"/>
    <s v="FUR-CH-10004495"/>
    <s v="Furniture"/>
    <x v="1"/>
    <s v="Global Leather and Oak Executive Chair, Black"/>
    <n v="421.37200000000001"/>
    <n v="2"/>
    <n v="-6.0195999999999996"/>
    <x v="2"/>
    <x v="10"/>
  </r>
  <r>
    <x v="1014"/>
    <x v="596"/>
    <m/>
    <n v="43058"/>
    <x v="1"/>
    <s v="KE-16420"/>
    <s v="Katrina Edelman"/>
    <x v="1"/>
    <s v="United States"/>
    <x v="144"/>
    <x v="5"/>
    <x v="3"/>
    <s v="FUR-BO-10003441"/>
    <s v="Furniture"/>
    <x v="0"/>
    <s v="Bush Westfield Collection Bookcases, Fully Assembled"/>
    <n v="205.9992"/>
    <n v="3"/>
    <n v="-27.264600000000002"/>
    <x v="6"/>
    <x v="0"/>
  </r>
  <r>
    <x v="1015"/>
    <x v="664"/>
    <m/>
    <n v="42411"/>
    <x v="1"/>
    <s v="KB-16240"/>
    <s v="Karen Bern"/>
    <x v="1"/>
    <s v="United States"/>
    <x v="196"/>
    <x v="9"/>
    <x v="0"/>
    <s v="FUR-FU-10000723"/>
    <s v="Furniture"/>
    <x v="3"/>
    <s v="Deflect-o EconoMat Studded, No Bevel Mat for Low Pile Carpeting"/>
    <n v="132.22399999999999"/>
    <n v="4"/>
    <n v="-18.180800000000001"/>
    <x v="2"/>
    <x v="11"/>
  </r>
  <r>
    <x v="1016"/>
    <x v="665"/>
    <m/>
    <n v="42089"/>
    <x v="1"/>
    <s v="JD-16150"/>
    <s v="Justin Deggeller"/>
    <x v="1"/>
    <s v="United States"/>
    <x v="53"/>
    <x v="2"/>
    <x v="1"/>
    <s v="FUR-FU-10000747"/>
    <s v="Furniture"/>
    <x v="3"/>
    <s v="Tenex B1-RE Series Chair Mats for Low Pile Carpets"/>
    <n v="91.96"/>
    <n v="2"/>
    <n v="15.6332"/>
    <x v="4"/>
    <x v="9"/>
  </r>
  <r>
    <x v="1017"/>
    <x v="666"/>
    <m/>
    <n v="42873"/>
    <x v="1"/>
    <s v="CS-12175"/>
    <s v="Charles Sheldon"/>
    <x v="1"/>
    <s v="United States"/>
    <x v="28"/>
    <x v="2"/>
    <x v="1"/>
    <s v="FUR-TA-10001520"/>
    <s v="Furniture"/>
    <x v="2"/>
    <s v="Lesro Sheffield Collection Coffee Table, End Table, Center Table, Corner Table"/>
    <n v="285.48"/>
    <n v="5"/>
    <n v="-10.705500000000001"/>
    <x v="6"/>
    <x v="7"/>
  </r>
  <r>
    <x v="1018"/>
    <x v="667"/>
    <m/>
    <n v="42984"/>
    <x v="0"/>
    <s v="KB-16405"/>
    <s v="Katrina Bavinger"/>
    <x v="2"/>
    <s v="United States"/>
    <x v="13"/>
    <x v="7"/>
    <x v="2"/>
    <s v="FUR-CH-10004626"/>
    <s v="Furniture"/>
    <x v="1"/>
    <s v="Office Star Flex Back Scooter Chair with Aluminum Finish Frame"/>
    <n v="90.801000000000002"/>
    <n v="1"/>
    <n v="14.124599999999999"/>
    <x v="0"/>
    <x v="4"/>
  </r>
  <r>
    <x v="1018"/>
    <x v="667"/>
    <m/>
    <n v="42984"/>
    <x v="0"/>
    <s v="KB-16405"/>
    <s v="Katrina Bavinger"/>
    <x v="2"/>
    <s v="United States"/>
    <x v="13"/>
    <x v="7"/>
    <x v="2"/>
    <s v="FUR-CH-10004860"/>
    <s v="Furniture"/>
    <x v="1"/>
    <s v="Global Low Back Tilter Chair"/>
    <n v="181.76400000000001"/>
    <n v="2"/>
    <n v="-8.0784000000000002"/>
    <x v="0"/>
    <x v="4"/>
  </r>
  <r>
    <x v="1019"/>
    <x v="122"/>
    <m/>
    <n v="42711"/>
    <x v="1"/>
    <s v="MM-17920"/>
    <s v="Michael Moore"/>
    <x v="0"/>
    <s v="United States"/>
    <x v="52"/>
    <x v="6"/>
    <x v="3"/>
    <s v="FUR-TA-10004575"/>
    <s v="Furniture"/>
    <x v="2"/>
    <s v="Hon 5100 Series Wood Tables"/>
    <n v="581.96"/>
    <n v="2"/>
    <n v="104.75279999999999"/>
    <x v="4"/>
    <x v="5"/>
  </r>
  <r>
    <x v="1019"/>
    <x v="122"/>
    <m/>
    <n v="42711"/>
    <x v="1"/>
    <s v="MM-17920"/>
    <s v="Michael Moore"/>
    <x v="0"/>
    <s v="United States"/>
    <x v="52"/>
    <x v="6"/>
    <x v="3"/>
    <s v="FUR-CH-10004754"/>
    <s v="Furniture"/>
    <x v="1"/>
    <s v="Global Stack Chair with Arms, Black"/>
    <n v="29.98"/>
    <n v="1"/>
    <n v="8.0945999999999998"/>
    <x v="4"/>
    <x v="5"/>
  </r>
  <r>
    <x v="1020"/>
    <x v="668"/>
    <m/>
    <n v="42577"/>
    <x v="1"/>
    <s v="BP-11290"/>
    <s v="Beth Paige"/>
    <x v="0"/>
    <s v="United States"/>
    <x v="41"/>
    <x v="30"/>
    <x v="0"/>
    <s v="FUR-CH-10002961"/>
    <s v="Furniture"/>
    <x v="1"/>
    <s v="Leather Task Chair, Black"/>
    <n v="363.92"/>
    <n v="5"/>
    <n v="0"/>
    <x v="2"/>
    <x v="3"/>
  </r>
  <r>
    <x v="1021"/>
    <x v="159"/>
    <m/>
    <n v="42273"/>
    <x v="0"/>
    <s v="MG-17875"/>
    <s v="Michael Grace"/>
    <x v="2"/>
    <s v="United States"/>
    <x v="58"/>
    <x v="25"/>
    <x v="0"/>
    <s v="FUR-FU-10002554"/>
    <s v="Furniture"/>
    <x v="3"/>
    <s v="Westinghouse Floor Lamp with Metal Mesh Shade, Black"/>
    <n v="47.98"/>
    <n v="2"/>
    <n v="11.035399999999999"/>
    <x v="4"/>
    <x v="4"/>
  </r>
  <r>
    <x v="1022"/>
    <x v="669"/>
    <m/>
    <n v="42329"/>
    <x v="1"/>
    <s v="BS-11665"/>
    <s v="Brian Stugart"/>
    <x v="0"/>
    <s v="United States"/>
    <x v="53"/>
    <x v="2"/>
    <x v="1"/>
    <s v="FUR-FU-10002813"/>
    <s v="Furniture"/>
    <x v="3"/>
    <s v="DAX Contemporary Wood Frame with Silver Metal Mat, Desktop, 11 x 14 Size"/>
    <n v="80.959999999999994"/>
    <n v="4"/>
    <n v="29.145600000000002"/>
    <x v="4"/>
    <x v="0"/>
  </r>
  <r>
    <x v="1022"/>
    <x v="669"/>
    <m/>
    <n v="42329"/>
    <x v="1"/>
    <s v="BS-11665"/>
    <s v="Brian Stugart"/>
    <x v="0"/>
    <s v="United States"/>
    <x v="53"/>
    <x v="2"/>
    <x v="1"/>
    <s v="FUR-CH-10001708"/>
    <s v="Furniture"/>
    <x v="1"/>
    <s v="Office Star - Contemporary Swivel Chair with Padded Adjustable Arms and Flex Back"/>
    <n v="225.56800000000001"/>
    <n v="2"/>
    <n v="2.8195999999999999"/>
    <x v="4"/>
    <x v="0"/>
  </r>
  <r>
    <x v="1022"/>
    <x v="669"/>
    <m/>
    <n v="42329"/>
    <x v="1"/>
    <s v="BS-11665"/>
    <s v="Brian Stugart"/>
    <x v="0"/>
    <s v="United States"/>
    <x v="53"/>
    <x v="2"/>
    <x v="1"/>
    <s v="FUR-FU-10001591"/>
    <s v="Furniture"/>
    <x v="3"/>
    <s v="Advantus Panel Wall Certificate Holder - 8.5x11"/>
    <n v="36.6"/>
    <n v="3"/>
    <n v="15.372"/>
    <x v="4"/>
    <x v="0"/>
  </r>
  <r>
    <x v="1023"/>
    <x v="670"/>
    <m/>
    <n v="42322"/>
    <x v="1"/>
    <s v="PO-19180"/>
    <s v="Philisse Overcash"/>
    <x v="2"/>
    <s v="United States"/>
    <x v="18"/>
    <x v="11"/>
    <x v="3"/>
    <s v="FUR-FU-10004351"/>
    <s v="Furniture"/>
    <x v="3"/>
    <s v="Staple-based wall hangings"/>
    <n v="29.22"/>
    <n v="3"/>
    <n v="12.8568"/>
    <x v="4"/>
    <x v="0"/>
  </r>
  <r>
    <x v="1024"/>
    <x v="671"/>
    <m/>
    <n v="42227"/>
    <x v="1"/>
    <s v="AH-10690"/>
    <s v="Anna HÅ berlin"/>
    <x v="1"/>
    <s v="United States"/>
    <x v="144"/>
    <x v="5"/>
    <x v="3"/>
    <s v="FUR-FU-10002364"/>
    <s v="Furniture"/>
    <x v="3"/>
    <s v="Eldon Expressions Wood Desk Accessories, Oak"/>
    <n v="14.76"/>
    <n v="5"/>
    <n v="-11.439"/>
    <x v="6"/>
    <x v="10"/>
  </r>
  <r>
    <x v="1025"/>
    <x v="667"/>
    <m/>
    <n v="42985"/>
    <x v="0"/>
    <s v="JK-15730"/>
    <s v="Joe Kamberova"/>
    <x v="0"/>
    <s v="United States"/>
    <x v="41"/>
    <x v="2"/>
    <x v="1"/>
    <s v="FUR-BO-10004218"/>
    <s v="Furniture"/>
    <x v="0"/>
    <s v="Bush Heritage Pine Collection 5-Shelf Bookcase, Albany Pine Finish, *Special Order"/>
    <n v="239.666"/>
    <n v="2"/>
    <n v="14.098000000000001"/>
    <x v="4"/>
    <x v="4"/>
  </r>
  <r>
    <x v="1026"/>
    <x v="341"/>
    <m/>
    <n v="42316"/>
    <x v="1"/>
    <s v="MS-17530"/>
    <s v="MaryBeth Skach"/>
    <x v="0"/>
    <s v="United States"/>
    <x v="285"/>
    <x v="31"/>
    <x v="0"/>
    <s v="FUR-TA-10002530"/>
    <s v="Furniture"/>
    <x v="2"/>
    <s v="Iceberg OfficeWorks 42&quot; Round Tables"/>
    <n v="301.95999999999998"/>
    <n v="2"/>
    <n v="45.293999999999997"/>
    <x v="1"/>
    <x v="0"/>
  </r>
  <r>
    <x v="1027"/>
    <x v="31"/>
    <m/>
    <n v="41858"/>
    <x v="0"/>
    <s v="RS-19420"/>
    <s v="Ricardo Sperren"/>
    <x v="1"/>
    <s v="United States"/>
    <x v="286"/>
    <x v="19"/>
    <x v="2"/>
    <s v="FUR-CH-10002335"/>
    <s v="Furniture"/>
    <x v="1"/>
    <s v="Hon GuestStacker Chair"/>
    <n v="1133.3499999999999"/>
    <n v="5"/>
    <n v="294.67099999999999"/>
    <x v="3"/>
    <x v="10"/>
  </r>
  <r>
    <x v="1028"/>
    <x v="267"/>
    <m/>
    <n v="42686"/>
    <x v="1"/>
    <s v="MA-17995"/>
    <s v="Michelle Arnett"/>
    <x v="2"/>
    <s v="United States"/>
    <x v="287"/>
    <x v="45"/>
    <x v="1"/>
    <s v="FUR-CH-10001215"/>
    <s v="Furniture"/>
    <x v="1"/>
    <s v="Global Troy Executive Leather Low-Back Tilter"/>
    <n v="1603.136"/>
    <n v="4"/>
    <n v="100.196"/>
    <x v="2"/>
    <x v="0"/>
  </r>
  <r>
    <x v="1029"/>
    <x v="184"/>
    <m/>
    <n v="42535"/>
    <x v="3"/>
    <s v="EB-13705"/>
    <s v="Ed Braxton"/>
    <x v="1"/>
    <s v="United States"/>
    <x v="261"/>
    <x v="2"/>
    <x v="1"/>
    <s v="FUR-TA-10001771"/>
    <s v="Furniture"/>
    <x v="2"/>
    <s v="Bush Cubix Conference Tables, Fully Assembled"/>
    <n v="1293.4880000000001"/>
    <n v="7"/>
    <n v="80.843000000000004"/>
    <x v="7"/>
    <x v="2"/>
  </r>
  <r>
    <x v="1030"/>
    <x v="211"/>
    <m/>
    <n v="42641"/>
    <x v="1"/>
    <s v="RD-19900"/>
    <s v="Ruben Dartt"/>
    <x v="0"/>
    <s v="United States"/>
    <x v="17"/>
    <x v="6"/>
    <x v="3"/>
    <s v="FUR-FU-10004006"/>
    <s v="Furniture"/>
    <x v="3"/>
    <s v="Deflect-o DuraMat Lighweight, Studded, Beveled Mat for Low Pile Carpeting"/>
    <n v="127.95"/>
    <n v="3"/>
    <n v="21.7515"/>
    <x v="4"/>
    <x v="4"/>
  </r>
  <r>
    <x v="1031"/>
    <x v="126"/>
    <m/>
    <n v="42635"/>
    <x v="1"/>
    <s v="JW-15220"/>
    <s v="Jane Waco"/>
    <x v="1"/>
    <s v="United States"/>
    <x v="53"/>
    <x v="2"/>
    <x v="1"/>
    <s v="FUR-CH-10001215"/>
    <s v="Furniture"/>
    <x v="1"/>
    <s v="Global Troy Executive Leather Low-Back Tilter"/>
    <n v="801.56799999999998"/>
    <n v="2"/>
    <n v="50.097999999999999"/>
    <x v="4"/>
    <x v="4"/>
  </r>
  <r>
    <x v="1031"/>
    <x v="126"/>
    <m/>
    <n v="42635"/>
    <x v="1"/>
    <s v="JW-15220"/>
    <s v="Jane Waco"/>
    <x v="1"/>
    <s v="United States"/>
    <x v="53"/>
    <x v="2"/>
    <x v="1"/>
    <s v="FUR-CH-10002880"/>
    <s v="Furniture"/>
    <x v="1"/>
    <s v="Global High-Back Leather Tilter, Burgundy"/>
    <n v="885.52800000000002"/>
    <n v="9"/>
    <n v="-99.621899999999997"/>
    <x v="4"/>
    <x v="4"/>
  </r>
  <r>
    <x v="1032"/>
    <x v="345"/>
    <m/>
    <n v="42444"/>
    <x v="0"/>
    <s v="EH-13765"/>
    <s v="Edward Hooks"/>
    <x v="1"/>
    <s v="United States"/>
    <x v="28"/>
    <x v="2"/>
    <x v="1"/>
    <s v="FUR-FU-10004712"/>
    <s v="Furniture"/>
    <x v="3"/>
    <s v="Westinghouse Mesh Shade Clip-On Gooseneck Lamp, Black"/>
    <n v="28.28"/>
    <n v="2"/>
    <n v="7.3528000000000002"/>
    <x v="3"/>
    <x v="9"/>
  </r>
  <r>
    <x v="1033"/>
    <x v="672"/>
    <m/>
    <n v="42469"/>
    <x v="1"/>
    <s v="ZD-21925"/>
    <s v="Zuschuss Donatelli"/>
    <x v="0"/>
    <s v="United States"/>
    <x v="52"/>
    <x v="6"/>
    <x v="3"/>
    <s v="FUR-FU-10003799"/>
    <s v="Furniture"/>
    <x v="3"/>
    <s v="Seth Thomas 13 1/2&quot; Wall Clock"/>
    <n v="71.12"/>
    <n v="4"/>
    <n v="22.0472"/>
    <x v="6"/>
    <x v="6"/>
  </r>
  <r>
    <x v="1034"/>
    <x v="673"/>
    <m/>
    <n v="42706"/>
    <x v="1"/>
    <s v="PC-18745"/>
    <s v="Pamela Coakley"/>
    <x v="1"/>
    <s v="United States"/>
    <x v="162"/>
    <x v="18"/>
    <x v="2"/>
    <s v="FUR-FU-10001889"/>
    <s v="Furniture"/>
    <x v="3"/>
    <s v="Ultra Door Pull Handle"/>
    <n v="31.56"/>
    <n v="3"/>
    <n v="10.4148"/>
    <x v="2"/>
    <x v="0"/>
  </r>
  <r>
    <x v="1035"/>
    <x v="674"/>
    <m/>
    <n v="42711"/>
    <x v="1"/>
    <s v="KD-16495"/>
    <s v="Keith Dawkins"/>
    <x v="1"/>
    <s v="United States"/>
    <x v="124"/>
    <x v="2"/>
    <x v="1"/>
    <s v="FUR-FU-10003026"/>
    <s v="Furniture"/>
    <x v="3"/>
    <s v="Eldon Regeneration Recycled Desk Accessories, Black"/>
    <n v="14.52"/>
    <n v="3"/>
    <n v="5.6627999999999998"/>
    <x v="2"/>
    <x v="5"/>
  </r>
  <r>
    <x v="1036"/>
    <x v="5"/>
    <m/>
    <n v="42270"/>
    <x v="1"/>
    <s v="PF-19120"/>
    <s v="Peter Fuller"/>
    <x v="0"/>
    <s v="United States"/>
    <x v="13"/>
    <x v="7"/>
    <x v="2"/>
    <s v="FUR-CH-10001973"/>
    <s v="Furniture"/>
    <x v="1"/>
    <s v="Office Star Flex Back Scooter Chair with White Frame"/>
    <n v="199.76400000000001"/>
    <n v="2"/>
    <n v="8.8783999999999992"/>
    <x v="6"/>
    <x v="4"/>
  </r>
  <r>
    <x v="1036"/>
    <x v="5"/>
    <m/>
    <n v="42270"/>
    <x v="1"/>
    <s v="PF-19120"/>
    <s v="Peter Fuller"/>
    <x v="0"/>
    <s v="United States"/>
    <x v="13"/>
    <x v="7"/>
    <x v="2"/>
    <s v="FUR-BO-10004834"/>
    <s v="Furniture"/>
    <x v="0"/>
    <s v="Riverside Palais Royal Lawyers Bookcase, Royale Cherry Finish"/>
    <n v="4228.7039999999997"/>
    <n v="6"/>
    <n v="158.57640000000001"/>
    <x v="6"/>
    <x v="4"/>
  </r>
  <r>
    <x v="1036"/>
    <x v="5"/>
    <m/>
    <n v="42270"/>
    <x v="1"/>
    <s v="PF-19120"/>
    <s v="Peter Fuller"/>
    <x v="0"/>
    <s v="United States"/>
    <x v="13"/>
    <x v="7"/>
    <x v="2"/>
    <s v="FUR-BO-10002213"/>
    <s v="Furniture"/>
    <x v="0"/>
    <s v="DMI Eclipse Executive Suite Bookcases"/>
    <n v="2003.92"/>
    <n v="5"/>
    <n v="-25.048999999999999"/>
    <x v="6"/>
    <x v="4"/>
  </r>
  <r>
    <x v="1037"/>
    <x v="675"/>
    <m/>
    <n v="42704"/>
    <x v="0"/>
    <s v="DK-13225"/>
    <s v="Dean Katz"/>
    <x v="1"/>
    <s v="United States"/>
    <x v="13"/>
    <x v="7"/>
    <x v="2"/>
    <s v="FUR-TA-10002958"/>
    <s v="Furniture"/>
    <x v="2"/>
    <s v="Bevis Oval Conference Table, Walnut"/>
    <n v="313.17599999999999"/>
    <n v="2"/>
    <n v="-120.0508"/>
    <x v="4"/>
    <x v="0"/>
  </r>
  <r>
    <x v="1038"/>
    <x v="676"/>
    <m/>
    <n v="41741"/>
    <x v="1"/>
    <s v="RA-19885"/>
    <s v="Ruben Ausman"/>
    <x v="1"/>
    <s v="United States"/>
    <x v="42"/>
    <x v="33"/>
    <x v="0"/>
    <s v="FUR-TA-10001086"/>
    <s v="Furniture"/>
    <x v="2"/>
    <s v="SAFCO PlanMaster Boards, 60w x 37-1/2d, White Melamine"/>
    <n v="1215.92"/>
    <n v="8"/>
    <n v="316.13920000000002"/>
    <x v="4"/>
    <x v="6"/>
  </r>
  <r>
    <x v="1039"/>
    <x v="524"/>
    <m/>
    <n v="41927"/>
    <x v="1"/>
    <s v="DB-13555"/>
    <s v="Dorothy Badders"/>
    <x v="1"/>
    <s v="United States"/>
    <x v="160"/>
    <x v="31"/>
    <x v="0"/>
    <s v="FUR-FU-10002107"/>
    <s v="Furniture"/>
    <x v="3"/>
    <s v="Eldon Pizzaz Desk Accessories"/>
    <n v="8.92"/>
    <n v="4"/>
    <n v="3.9247999999999998"/>
    <x v="4"/>
    <x v="1"/>
  </r>
  <r>
    <x v="1040"/>
    <x v="677"/>
    <m/>
    <n v="42925"/>
    <x v="2"/>
    <s v="RL-19615"/>
    <s v="Rob Lucas"/>
    <x v="0"/>
    <s v="United States"/>
    <x v="3"/>
    <x v="3"/>
    <x v="2"/>
    <s v="FUR-BO-10001519"/>
    <s v="Furniture"/>
    <x v="0"/>
    <s v="O'Sullivan 3-Shelf Heavy-Duty Bookcases"/>
    <n v="87.21"/>
    <n v="3"/>
    <n v="-45.349200000000003"/>
    <x v="3"/>
    <x v="3"/>
  </r>
  <r>
    <x v="1041"/>
    <x v="557"/>
    <m/>
    <n v="42555"/>
    <x v="3"/>
    <s v="RB-19465"/>
    <s v="Rick Bensley"/>
    <x v="2"/>
    <s v="United States"/>
    <x v="15"/>
    <x v="13"/>
    <x v="1"/>
    <s v="FUR-FU-10000221"/>
    <s v="Furniture"/>
    <x v="3"/>
    <s v="Master Caster Door Stop, Brown"/>
    <n v="25.4"/>
    <n v="5"/>
    <n v="8.6359999999999992"/>
    <x v="7"/>
    <x v="3"/>
  </r>
  <r>
    <x v="1042"/>
    <x v="678"/>
    <m/>
    <n v="41880"/>
    <x v="1"/>
    <s v="JM-15265"/>
    <s v="Janet Molinari"/>
    <x v="1"/>
    <s v="United States"/>
    <x v="2"/>
    <x v="2"/>
    <x v="1"/>
    <s v="FUR-FU-10000771"/>
    <s v="Furniture"/>
    <x v="3"/>
    <s v="Eldon 200 Class Desk Accessories, Smoke"/>
    <n v="6.28"/>
    <n v="1"/>
    <n v="2.6375999999999999"/>
    <x v="4"/>
    <x v="10"/>
  </r>
  <r>
    <x v="1043"/>
    <x v="163"/>
    <m/>
    <n v="41958"/>
    <x v="0"/>
    <s v="TS-21430"/>
    <s v="Tom Stivers"/>
    <x v="1"/>
    <s v="United States"/>
    <x v="288"/>
    <x v="3"/>
    <x v="2"/>
    <s v="FUR-FU-10000409"/>
    <s v="Furniture"/>
    <x v="3"/>
    <s v="GE 4 Foot Flourescent Tube, 40 Watt"/>
    <n v="23.968"/>
    <n v="2"/>
    <n v="7.7896000000000001"/>
    <x v="4"/>
    <x v="0"/>
  </r>
  <r>
    <x v="1043"/>
    <x v="163"/>
    <m/>
    <n v="41958"/>
    <x v="0"/>
    <s v="TS-21430"/>
    <s v="Tom Stivers"/>
    <x v="1"/>
    <s v="United States"/>
    <x v="288"/>
    <x v="3"/>
    <x v="2"/>
    <s v="FUR-BO-10002545"/>
    <s v="Furniture"/>
    <x v="0"/>
    <s v="Atlantic Metals Mobile 3-Shelf Bookcases, Custom Colors"/>
    <n v="521.96"/>
    <n v="4"/>
    <n v="-250.54079999999999"/>
    <x v="4"/>
    <x v="0"/>
  </r>
  <r>
    <x v="1044"/>
    <x v="679"/>
    <m/>
    <n v="42444"/>
    <x v="0"/>
    <s v="DK-13225"/>
    <s v="Dean Katz"/>
    <x v="1"/>
    <s v="United States"/>
    <x v="28"/>
    <x v="2"/>
    <x v="1"/>
    <s v="FUR-CH-10003746"/>
    <s v="Furniture"/>
    <x v="1"/>
    <s v="Hon 4070 Series Pagoda Round Back Stacking Chairs"/>
    <n v="770.35199999999998"/>
    <n v="3"/>
    <n v="77.035200000000003"/>
    <x v="0"/>
    <x v="9"/>
  </r>
  <r>
    <x v="1045"/>
    <x v="436"/>
    <m/>
    <n v="42780"/>
    <x v="0"/>
    <s v="ML-17395"/>
    <s v="Marina Lichtenstein"/>
    <x v="1"/>
    <s v="United States"/>
    <x v="2"/>
    <x v="2"/>
    <x v="1"/>
    <s v="FUR-FU-10003142"/>
    <s v="Furniture"/>
    <x v="3"/>
    <s v="Master Big Foot Doorstop, Beige"/>
    <n v="21.12"/>
    <n v="4"/>
    <n v="6.5472000000000001"/>
    <x v="2"/>
    <x v="11"/>
  </r>
  <r>
    <x v="1046"/>
    <x v="435"/>
    <m/>
    <n v="41842"/>
    <x v="2"/>
    <s v="CC-12145"/>
    <s v="Charles Crestani"/>
    <x v="0"/>
    <s v="United States"/>
    <x v="53"/>
    <x v="2"/>
    <x v="1"/>
    <s v="FUR-FU-10003577"/>
    <s v="Furniture"/>
    <x v="3"/>
    <s v="Nu-Dell Leatherette Frames"/>
    <n v="43.02"/>
    <n v="3"/>
    <n v="15.4872"/>
    <x v="3"/>
    <x v="3"/>
  </r>
  <r>
    <x v="1047"/>
    <x v="335"/>
    <m/>
    <n v="42777"/>
    <x v="1"/>
    <s v="BD-11770"/>
    <s v="Bryan Davis"/>
    <x v="0"/>
    <s v="United States"/>
    <x v="13"/>
    <x v="7"/>
    <x v="2"/>
    <s v="FUR-BO-10001811"/>
    <s v="Furniture"/>
    <x v="0"/>
    <s v="Atlantic Metals Mobile 5-Shelf Bookcases, Custom Colors"/>
    <n v="240.78399999999999"/>
    <n v="1"/>
    <n v="30.097999999999999"/>
    <x v="2"/>
    <x v="11"/>
  </r>
  <r>
    <x v="1048"/>
    <x v="266"/>
    <m/>
    <n v="41895"/>
    <x v="1"/>
    <s v="RB-19465"/>
    <s v="Rick Bensley"/>
    <x v="2"/>
    <s v="United States"/>
    <x v="169"/>
    <x v="37"/>
    <x v="3"/>
    <s v="FUR-TA-10001039"/>
    <s v="Furniture"/>
    <x v="2"/>
    <s v="KI Adjustable-Height Table"/>
    <n v="429.9"/>
    <n v="5"/>
    <n v="111.774"/>
    <x v="6"/>
    <x v="4"/>
  </r>
  <r>
    <x v="1048"/>
    <x v="266"/>
    <m/>
    <n v="41895"/>
    <x v="1"/>
    <s v="RB-19465"/>
    <s v="Rick Bensley"/>
    <x v="2"/>
    <s v="United States"/>
    <x v="169"/>
    <x v="37"/>
    <x v="3"/>
    <s v="FUR-CH-10004698"/>
    <s v="Furniture"/>
    <x v="1"/>
    <s v="Padded Folding Chairs, Black, 4/Carton"/>
    <n v="161.96"/>
    <n v="2"/>
    <n v="45.348799999999997"/>
    <x v="6"/>
    <x v="4"/>
  </r>
  <r>
    <x v="1049"/>
    <x v="680"/>
    <m/>
    <n v="42576"/>
    <x v="1"/>
    <s v="JS-16030"/>
    <s v="Joy Smith"/>
    <x v="0"/>
    <s v="United States"/>
    <x v="289"/>
    <x v="21"/>
    <x v="0"/>
    <s v="FUR-FU-10001185"/>
    <s v="Furniture"/>
    <x v="3"/>
    <s v="Advantus Employee of the Month Certificate Frame, 11 x 13-1/2"/>
    <n v="185.58"/>
    <n v="6"/>
    <n v="76.087800000000001"/>
    <x v="6"/>
    <x v="3"/>
  </r>
  <r>
    <x v="1049"/>
    <x v="680"/>
    <m/>
    <n v="42576"/>
    <x v="1"/>
    <s v="JS-16030"/>
    <s v="Joy Smith"/>
    <x v="0"/>
    <s v="United States"/>
    <x v="289"/>
    <x v="21"/>
    <x v="0"/>
    <s v="FUR-BO-10003546"/>
    <s v="Furniture"/>
    <x v="0"/>
    <s v="Hon 4-Shelf Metal Bookcases"/>
    <n v="504.9"/>
    <n v="5"/>
    <n v="126.22499999999999"/>
    <x v="6"/>
    <x v="3"/>
  </r>
  <r>
    <x v="1050"/>
    <x v="102"/>
    <m/>
    <n v="42999"/>
    <x v="1"/>
    <s v="ES-14020"/>
    <s v="Erica Smith"/>
    <x v="0"/>
    <s v="United States"/>
    <x v="2"/>
    <x v="2"/>
    <x v="1"/>
    <s v="FUR-CH-10003396"/>
    <s v="Furniture"/>
    <x v="1"/>
    <s v="Global Deluxe Steno Chair"/>
    <n v="184.75200000000001"/>
    <n v="3"/>
    <n v="-20.784600000000001"/>
    <x v="6"/>
    <x v="4"/>
  </r>
  <r>
    <x v="1051"/>
    <x v="106"/>
    <m/>
    <n v="42715"/>
    <x v="3"/>
    <s v="NS-18640"/>
    <s v="Noel Staavos"/>
    <x v="1"/>
    <s v="United States"/>
    <x v="29"/>
    <x v="15"/>
    <x v="2"/>
    <s v="FUR-CH-10003298"/>
    <s v="Furniture"/>
    <x v="1"/>
    <s v="Office Star - Contemporary Task Swivel chair with Loop Arms, Charcoal"/>
    <n v="458.43"/>
    <n v="5"/>
    <n v="-137.529"/>
    <x v="7"/>
    <x v="5"/>
  </r>
  <r>
    <x v="1051"/>
    <x v="106"/>
    <m/>
    <n v="42715"/>
    <x v="3"/>
    <s v="NS-18640"/>
    <s v="Noel Staavos"/>
    <x v="1"/>
    <s v="United States"/>
    <x v="29"/>
    <x v="15"/>
    <x v="2"/>
    <s v="FUR-TA-10003008"/>
    <s v="Furniture"/>
    <x v="2"/>
    <s v="Lesro Round Back Collection Coffee Table, End Table"/>
    <n v="328.59"/>
    <n v="3"/>
    <n v="-147.8655"/>
    <x v="7"/>
    <x v="5"/>
  </r>
  <r>
    <x v="1052"/>
    <x v="681"/>
    <m/>
    <n v="41987"/>
    <x v="1"/>
    <s v="SH-19975"/>
    <s v="Sally Hughsby"/>
    <x v="1"/>
    <s v="United States"/>
    <x v="290"/>
    <x v="42"/>
    <x v="1"/>
    <s v="FUR-CH-10001708"/>
    <s v="Furniture"/>
    <x v="1"/>
    <s v="Office Star - Contemporary Swivel Chair with Padded Adjustable Arms and Flex Back"/>
    <n v="338.35199999999998"/>
    <n v="3"/>
    <n v="4.2294"/>
    <x v="4"/>
    <x v="5"/>
  </r>
  <r>
    <x v="1053"/>
    <x v="536"/>
    <m/>
    <n v="41990"/>
    <x v="1"/>
    <s v="RF-19345"/>
    <s v="Randy Ferguson"/>
    <x v="1"/>
    <s v="United States"/>
    <x v="43"/>
    <x v="22"/>
    <x v="1"/>
    <s v="FUR-FU-10002553"/>
    <s v="Furniture"/>
    <x v="3"/>
    <s v="Electrix Incandescent Magnifying Lamp, Black"/>
    <n v="87.96"/>
    <n v="3"/>
    <n v="7.6965000000000003"/>
    <x v="4"/>
    <x v="5"/>
  </r>
  <r>
    <x v="1054"/>
    <x v="87"/>
    <m/>
    <n v="42989"/>
    <x v="1"/>
    <s v="AG-10390"/>
    <s v="Allen Goldenen"/>
    <x v="0"/>
    <s v="United States"/>
    <x v="2"/>
    <x v="2"/>
    <x v="1"/>
    <s v="FUR-FU-10002597"/>
    <s v="Furniture"/>
    <x v="3"/>
    <s v="C-Line Magnetic Cubicle Keepers, Clear Polypropylene"/>
    <n v="19.760000000000002"/>
    <n v="4"/>
    <n v="8.2992000000000008"/>
    <x v="4"/>
    <x v="4"/>
  </r>
  <r>
    <x v="1055"/>
    <x v="46"/>
    <m/>
    <n v="42315"/>
    <x v="1"/>
    <s v="SW-20245"/>
    <s v="Scot Wooten"/>
    <x v="0"/>
    <s v="United States"/>
    <x v="8"/>
    <x v="7"/>
    <x v="2"/>
    <s v="FUR-CH-10003535"/>
    <s v="Furniture"/>
    <x v="1"/>
    <s v="Global Armless Task Chair, Royal Blue"/>
    <n v="109.764"/>
    <n v="2"/>
    <n v="8.5372000000000003"/>
    <x v="2"/>
    <x v="0"/>
  </r>
  <r>
    <x v="1056"/>
    <x v="535"/>
    <m/>
    <n v="42828"/>
    <x v="2"/>
    <s v="GB-14530"/>
    <s v="George Bell"/>
    <x v="1"/>
    <s v="United States"/>
    <x v="73"/>
    <x v="10"/>
    <x v="0"/>
    <s v="FUR-FU-10004006"/>
    <s v="Furniture"/>
    <x v="3"/>
    <s v="Deflect-o DuraMat Lighweight, Studded, Beveled Mat for Low Pile Carpeting"/>
    <n v="127.95"/>
    <n v="3"/>
    <n v="21.7515"/>
    <x v="3"/>
    <x v="6"/>
  </r>
  <r>
    <x v="1057"/>
    <x v="226"/>
    <m/>
    <n v="41741"/>
    <x v="1"/>
    <s v="AY-10555"/>
    <s v="Andy Yotov"/>
    <x v="1"/>
    <s v="United States"/>
    <x v="2"/>
    <x v="2"/>
    <x v="1"/>
    <s v="FUR-FU-10000747"/>
    <s v="Furniture"/>
    <x v="3"/>
    <s v="Tenex B1-RE Series Chair Mats for Low Pile Carpets"/>
    <n v="91.96"/>
    <n v="2"/>
    <n v="15.6332"/>
    <x v="6"/>
    <x v="6"/>
  </r>
  <r>
    <x v="1057"/>
    <x v="226"/>
    <m/>
    <n v="41741"/>
    <x v="1"/>
    <s v="AY-10555"/>
    <s v="Andy Yotov"/>
    <x v="1"/>
    <s v="United States"/>
    <x v="2"/>
    <x v="2"/>
    <x v="1"/>
    <s v="FUR-FU-10001918"/>
    <s v="Furniture"/>
    <x v="3"/>
    <s v="C-Line Cubicle Keepers Polyproplyene Holder With Velcro Backings"/>
    <n v="33.11"/>
    <n v="7"/>
    <n v="12.9129"/>
    <x v="6"/>
    <x v="6"/>
  </r>
  <r>
    <x v="1058"/>
    <x v="682"/>
    <m/>
    <n v="42922"/>
    <x v="3"/>
    <s v="AH-10585"/>
    <s v="Angele Hood"/>
    <x v="0"/>
    <s v="United States"/>
    <x v="89"/>
    <x v="1"/>
    <x v="0"/>
    <s v="FUR-CH-10000155"/>
    <s v="Furniture"/>
    <x v="1"/>
    <s v="Global Comet Stacking Armless Chair"/>
    <n v="239.24"/>
    <n v="1"/>
    <n v="23.923999999999999"/>
    <x v="7"/>
    <x v="3"/>
  </r>
  <r>
    <x v="1059"/>
    <x v="683"/>
    <m/>
    <n v="42736"/>
    <x v="1"/>
    <s v="SS-20140"/>
    <s v="Saphhira Shifley"/>
    <x v="1"/>
    <s v="United States"/>
    <x v="291"/>
    <x v="28"/>
    <x v="2"/>
    <s v="FUR-FU-10003142"/>
    <s v="Furniture"/>
    <x v="3"/>
    <s v="Master Big Foot Doorstop, Beige"/>
    <n v="21.12"/>
    <n v="4"/>
    <n v="6.5472000000000001"/>
    <x v="1"/>
    <x v="5"/>
  </r>
  <r>
    <x v="1060"/>
    <x v="646"/>
    <m/>
    <n v="42356"/>
    <x v="1"/>
    <s v="PP-18955"/>
    <s v="Paul Prost"/>
    <x v="2"/>
    <s v="United States"/>
    <x v="2"/>
    <x v="2"/>
    <x v="1"/>
    <s v="FUR-FU-10002963"/>
    <s v="Furniture"/>
    <x v="3"/>
    <s v="Master Caster Door Stop, Gray"/>
    <n v="15.24"/>
    <n v="3"/>
    <n v="5.1816000000000004"/>
    <x v="4"/>
    <x v="5"/>
  </r>
  <r>
    <x v="1061"/>
    <x v="631"/>
    <m/>
    <n v="42621"/>
    <x v="1"/>
    <s v="AA-10645"/>
    <s v="Anna Andreadi"/>
    <x v="0"/>
    <s v="United States"/>
    <x v="292"/>
    <x v="0"/>
    <x v="0"/>
    <s v="FUR-FU-10003347"/>
    <s v="Furniture"/>
    <x v="3"/>
    <s v="Coloredge Poster Frame"/>
    <n v="42.6"/>
    <n v="3"/>
    <n v="16.614000000000001"/>
    <x v="4"/>
    <x v="4"/>
  </r>
  <r>
    <x v="1062"/>
    <x v="684"/>
    <m/>
    <n v="42408"/>
    <x v="1"/>
    <s v="TB-21520"/>
    <s v="Tracy Blumstein"/>
    <x v="0"/>
    <s v="United States"/>
    <x v="293"/>
    <x v="22"/>
    <x v="1"/>
    <s v="FUR-FU-10002088"/>
    <s v="Furniture"/>
    <x v="3"/>
    <s v="Nu-Dell Float Frame 11 x 14 1/2"/>
    <n v="14.368"/>
    <n v="2"/>
    <n v="3.9512"/>
    <x v="4"/>
    <x v="11"/>
  </r>
  <r>
    <x v="1063"/>
    <x v="405"/>
    <m/>
    <n v="42879"/>
    <x v="0"/>
    <s v="AH-10075"/>
    <s v="Adam Hart"/>
    <x v="1"/>
    <s v="United States"/>
    <x v="270"/>
    <x v="9"/>
    <x v="0"/>
    <s v="FUR-CH-10001482"/>
    <s v="Furniture"/>
    <x v="1"/>
    <s v="Office Star - Mesh Screen back chair with Vinyl seat"/>
    <n v="314.35199999999998"/>
    <n v="3"/>
    <n v="-35.364600000000003"/>
    <x v="2"/>
    <x v="7"/>
  </r>
  <r>
    <x v="1064"/>
    <x v="558"/>
    <m/>
    <n v="42255"/>
    <x v="1"/>
    <s v="CP-12085"/>
    <s v="Cathy Prescott"/>
    <x v="1"/>
    <s v="United States"/>
    <x v="104"/>
    <x v="22"/>
    <x v="1"/>
    <s v="FUR-FU-10002937"/>
    <s v="Furniture"/>
    <x v="3"/>
    <s v="GE 48&quot; Fluorescent Tube, Cool White Energy Saver, 34 Watts, 30/Box"/>
    <n v="238.15199999999999"/>
    <n v="3"/>
    <n v="89.307000000000002"/>
    <x v="2"/>
    <x v="4"/>
  </r>
  <r>
    <x v="1065"/>
    <x v="641"/>
    <m/>
    <n v="42537"/>
    <x v="1"/>
    <s v="BF-11215"/>
    <s v="Benjamin Farhat"/>
    <x v="2"/>
    <s v="United States"/>
    <x v="12"/>
    <x v="11"/>
    <x v="3"/>
    <s v="FUR-TA-10001771"/>
    <s v="Furniture"/>
    <x v="2"/>
    <s v="Bush Cubix Conference Tables, Fully Assembled"/>
    <n v="692.94"/>
    <n v="3"/>
    <n v="173.23500000000001"/>
    <x v="1"/>
    <x v="2"/>
  </r>
  <r>
    <x v="1066"/>
    <x v="348"/>
    <m/>
    <n v="42639"/>
    <x v="0"/>
    <s v="JS-15940"/>
    <s v="Joni Sundaresam"/>
    <x v="2"/>
    <s v="United States"/>
    <x v="68"/>
    <x v="15"/>
    <x v="2"/>
    <s v="FUR-FU-10004963"/>
    <s v="Furniture"/>
    <x v="3"/>
    <s v="Eldon 400 Class Desk Accessories, Black Carbon"/>
    <n v="28"/>
    <n v="4"/>
    <n v="7.7"/>
    <x v="0"/>
    <x v="4"/>
  </r>
  <r>
    <x v="1067"/>
    <x v="685"/>
    <m/>
    <n v="42879"/>
    <x v="1"/>
    <s v="CC-12430"/>
    <s v="Chuck Clark"/>
    <x v="2"/>
    <s v="United States"/>
    <x v="174"/>
    <x v="2"/>
    <x v="1"/>
    <s v="FUR-CH-10000225"/>
    <s v="Furniture"/>
    <x v="1"/>
    <s v="Global Geo Office Task Chair, Gray"/>
    <n v="518.27200000000005"/>
    <n v="8"/>
    <n v="-97.176000000000002"/>
    <x v="4"/>
    <x v="7"/>
  </r>
  <r>
    <x v="1067"/>
    <x v="685"/>
    <m/>
    <n v="42879"/>
    <x v="1"/>
    <s v="CC-12430"/>
    <s v="Chuck Clark"/>
    <x v="2"/>
    <s v="United States"/>
    <x v="174"/>
    <x v="2"/>
    <x v="1"/>
    <s v="FUR-FU-10002191"/>
    <s v="Furniture"/>
    <x v="3"/>
    <s v="G.E. Halogen Desk Lamp Bulbs"/>
    <n v="6.98"/>
    <n v="1"/>
    <n v="3.3504"/>
    <x v="4"/>
    <x v="7"/>
  </r>
  <r>
    <x v="1068"/>
    <x v="686"/>
    <m/>
    <n v="42620"/>
    <x v="1"/>
    <s v="PG-18820"/>
    <s v="Patrick Gardner"/>
    <x v="0"/>
    <s v="United States"/>
    <x v="13"/>
    <x v="7"/>
    <x v="2"/>
    <s v="FUR-FU-10004864"/>
    <s v="Furniture"/>
    <x v="3"/>
    <s v="Howard Miller 14-1/2&quot; Diameter Chrome Round Wall Clock"/>
    <n v="191.82"/>
    <n v="3"/>
    <n v="61.382399999999997"/>
    <x v="6"/>
    <x v="4"/>
  </r>
  <r>
    <x v="1069"/>
    <x v="687"/>
    <m/>
    <n v="41688"/>
    <x v="3"/>
    <s v="TB-21595"/>
    <s v="Troy Blackwell"/>
    <x v="0"/>
    <s v="United States"/>
    <x v="294"/>
    <x v="5"/>
    <x v="3"/>
    <s v="FUR-FU-10002396"/>
    <s v="Furniture"/>
    <x v="3"/>
    <s v="DAX Copper Panel Document Frame, 5 x 7 Size"/>
    <n v="25.16"/>
    <n v="5"/>
    <n v="-11.321999999999999"/>
    <x v="7"/>
    <x v="11"/>
  </r>
  <r>
    <x v="1070"/>
    <x v="646"/>
    <m/>
    <n v="42356"/>
    <x v="1"/>
    <s v="EH-13945"/>
    <s v="Eric Hoffmann"/>
    <x v="0"/>
    <s v="United States"/>
    <x v="46"/>
    <x v="2"/>
    <x v="1"/>
    <s v="FUR-FU-10004351"/>
    <s v="Furniture"/>
    <x v="3"/>
    <s v="Staple-based wall hangings"/>
    <n v="29.22"/>
    <n v="3"/>
    <n v="12.8568"/>
    <x v="4"/>
    <x v="5"/>
  </r>
  <r>
    <x v="1071"/>
    <x v="688"/>
    <m/>
    <n v="43004"/>
    <x v="1"/>
    <s v="SV-20365"/>
    <s v="Seth Vernon"/>
    <x v="0"/>
    <s v="United States"/>
    <x v="13"/>
    <x v="7"/>
    <x v="2"/>
    <s v="FUR-CH-10003846"/>
    <s v="Furniture"/>
    <x v="1"/>
    <s v="Hon Valutask Swivel Chairs"/>
    <n v="272.64600000000002"/>
    <n v="3"/>
    <n v="18.176400000000001"/>
    <x v="6"/>
    <x v="4"/>
  </r>
  <r>
    <x v="1071"/>
    <x v="688"/>
    <m/>
    <n v="43004"/>
    <x v="1"/>
    <s v="SV-20365"/>
    <s v="Seth Vernon"/>
    <x v="0"/>
    <s v="United States"/>
    <x v="13"/>
    <x v="7"/>
    <x v="2"/>
    <s v="FUR-CH-10003061"/>
    <s v="Furniture"/>
    <x v="1"/>
    <s v="Global Leather Task Chair, Black"/>
    <n v="80.991"/>
    <n v="1"/>
    <n v="8.0991"/>
    <x v="6"/>
    <x v="4"/>
  </r>
  <r>
    <x v="1071"/>
    <x v="688"/>
    <m/>
    <n v="43004"/>
    <x v="1"/>
    <s v="SV-20365"/>
    <s v="Seth Vernon"/>
    <x v="0"/>
    <s v="United States"/>
    <x v="13"/>
    <x v="7"/>
    <x v="2"/>
    <s v="FUR-CH-10004086"/>
    <s v="Furniture"/>
    <x v="1"/>
    <s v="Hon 4070 Series Pagoda Armless Upholstered Stacking Chairs"/>
    <n v="2888.127"/>
    <n v="11"/>
    <n v="609.71569999999997"/>
    <x v="6"/>
    <x v="4"/>
  </r>
  <r>
    <x v="1071"/>
    <x v="688"/>
    <m/>
    <n v="43004"/>
    <x v="1"/>
    <s v="SV-20365"/>
    <s v="Seth Vernon"/>
    <x v="0"/>
    <s v="United States"/>
    <x v="13"/>
    <x v="7"/>
    <x v="2"/>
    <s v="FUR-CH-10001215"/>
    <s v="Furniture"/>
    <x v="1"/>
    <s v="Global Troy Executive Leather Low-Back Tilter"/>
    <n v="2254.41"/>
    <n v="5"/>
    <n v="375.73500000000001"/>
    <x v="6"/>
    <x v="4"/>
  </r>
  <r>
    <x v="1072"/>
    <x v="621"/>
    <m/>
    <n v="42971"/>
    <x v="2"/>
    <s v="Dp-13240"/>
    <s v="Dean percer"/>
    <x v="2"/>
    <s v="United States"/>
    <x v="3"/>
    <x v="3"/>
    <x v="2"/>
    <s v="FUR-TA-10002356"/>
    <s v="Furniture"/>
    <x v="2"/>
    <s v="Bevis Boat-Shaped Conference Table"/>
    <n v="314.53199999999998"/>
    <n v="2"/>
    <n v="-83.875200000000007"/>
    <x v="3"/>
    <x v="10"/>
  </r>
  <r>
    <x v="1073"/>
    <x v="689"/>
    <m/>
    <n v="42690"/>
    <x v="1"/>
    <s v="SP-20920"/>
    <s v="Susan Pistek"/>
    <x v="0"/>
    <s v="United States"/>
    <x v="255"/>
    <x v="15"/>
    <x v="2"/>
    <s v="FUR-CH-10004495"/>
    <s v="Furniture"/>
    <x v="1"/>
    <s v="Global Leather and Oak Executive Chair, Black"/>
    <n v="1474.8019999999999"/>
    <n v="7"/>
    <n v="-21.0686"/>
    <x v="4"/>
    <x v="0"/>
  </r>
  <r>
    <x v="1073"/>
    <x v="689"/>
    <m/>
    <n v="42690"/>
    <x v="1"/>
    <s v="SP-20920"/>
    <s v="Susan Pistek"/>
    <x v="0"/>
    <s v="United States"/>
    <x v="255"/>
    <x v="15"/>
    <x v="2"/>
    <s v="FUR-CH-10000454"/>
    <s v="Furniture"/>
    <x v="1"/>
    <s v="Hon Deluxe Fabric Upholstered Stacking Chairs, Rounded Back"/>
    <n v="1537.0740000000001"/>
    <n v="9"/>
    <n v="0"/>
    <x v="4"/>
    <x v="0"/>
  </r>
  <r>
    <x v="1073"/>
    <x v="689"/>
    <m/>
    <n v="42690"/>
    <x v="1"/>
    <s v="SP-20920"/>
    <s v="Susan Pistek"/>
    <x v="0"/>
    <s v="United States"/>
    <x v="255"/>
    <x v="15"/>
    <x v="2"/>
    <s v="FUR-CH-10003746"/>
    <s v="Furniture"/>
    <x v="1"/>
    <s v="Hon 4070 Series Pagoda Round Back Stacking Chairs"/>
    <n v="449.37200000000001"/>
    <n v="2"/>
    <n v="-12.8392"/>
    <x v="4"/>
    <x v="0"/>
  </r>
  <r>
    <x v="1074"/>
    <x v="690"/>
    <m/>
    <n v="43003"/>
    <x v="1"/>
    <s v="JR-16210"/>
    <s v="Justin Ritter"/>
    <x v="1"/>
    <s v="United States"/>
    <x v="76"/>
    <x v="36"/>
    <x v="1"/>
    <s v="FUR-FU-10004864"/>
    <s v="Furniture"/>
    <x v="3"/>
    <s v="Howard Miller 14-1/2&quot; Diameter Chrome Round Wall Clock"/>
    <n v="409.21600000000001"/>
    <n v="8"/>
    <n v="61.382399999999997"/>
    <x v="6"/>
    <x v="4"/>
  </r>
  <r>
    <x v="1074"/>
    <x v="690"/>
    <m/>
    <n v="43003"/>
    <x v="1"/>
    <s v="JR-16210"/>
    <s v="Justin Ritter"/>
    <x v="1"/>
    <s v="United States"/>
    <x v="76"/>
    <x v="36"/>
    <x v="1"/>
    <s v="FUR-BO-10001972"/>
    <s v="Furniture"/>
    <x v="0"/>
    <s v="O'Sullivan 4-Shelf Bookcase in Odessa Pine"/>
    <n v="72.587999999999994"/>
    <n v="2"/>
    <n v="-128.2388"/>
    <x v="6"/>
    <x v="4"/>
  </r>
  <r>
    <x v="1075"/>
    <x v="691"/>
    <m/>
    <n v="42466"/>
    <x v="1"/>
    <s v="EH-13990"/>
    <s v="Erica Hackney"/>
    <x v="0"/>
    <s v="United States"/>
    <x v="13"/>
    <x v="7"/>
    <x v="2"/>
    <s v="FUR-CH-10003817"/>
    <s v="Furniture"/>
    <x v="1"/>
    <s v="Global Value Steno Chair, Gray"/>
    <n v="327.99599999999998"/>
    <n v="6"/>
    <n v="54.665999999999997"/>
    <x v="6"/>
    <x v="9"/>
  </r>
  <r>
    <x v="1076"/>
    <x v="421"/>
    <m/>
    <n v="42004"/>
    <x v="1"/>
    <s v="TB-21190"/>
    <s v="Thomas Brumley"/>
    <x v="2"/>
    <s v="United States"/>
    <x v="13"/>
    <x v="7"/>
    <x v="2"/>
    <s v="FUR-CH-10004477"/>
    <s v="Furniture"/>
    <x v="1"/>
    <s v="Global Push Button Manager's Chair, Indigo"/>
    <n v="767.21400000000006"/>
    <n v="14"/>
    <n v="161.9674"/>
    <x v="4"/>
    <x v="5"/>
  </r>
  <r>
    <x v="1077"/>
    <x v="692"/>
    <m/>
    <n v="42601"/>
    <x v="2"/>
    <s v="AO-10810"/>
    <s v="Anthony O'Donnell"/>
    <x v="1"/>
    <s v="United States"/>
    <x v="2"/>
    <x v="2"/>
    <x v="1"/>
    <s v="FUR-TA-10004152"/>
    <s v="Furniture"/>
    <x v="2"/>
    <s v="Barricks 18&quot; x 48&quot; Non-Folding Utility Table with Bottom Storage Shelf"/>
    <n v="161.28"/>
    <n v="2"/>
    <n v="12.096"/>
    <x v="0"/>
    <x v="10"/>
  </r>
  <r>
    <x v="1078"/>
    <x v="693"/>
    <m/>
    <n v="41733"/>
    <x v="1"/>
    <s v="GA-14725"/>
    <s v="Guy Armstrong"/>
    <x v="0"/>
    <s v="United States"/>
    <x v="28"/>
    <x v="2"/>
    <x v="1"/>
    <s v="FUR-BO-10001337"/>
    <s v="Furniture"/>
    <x v="0"/>
    <s v="O'Sullivan Living Dimensions 2-Shelf Bookcases"/>
    <n v="205.666"/>
    <n v="2"/>
    <n v="-12.098000000000001"/>
    <x v="2"/>
    <x v="9"/>
  </r>
  <r>
    <x v="1079"/>
    <x v="158"/>
    <m/>
    <n v="43100"/>
    <x v="2"/>
    <s v="JG-15310"/>
    <s v="Jason Gross"/>
    <x v="1"/>
    <s v="United States"/>
    <x v="62"/>
    <x v="2"/>
    <x v="1"/>
    <s v="FUR-CH-10003968"/>
    <s v="Furniture"/>
    <x v="1"/>
    <s v="Novimex Turbo Task Chair"/>
    <n v="340.70400000000001"/>
    <n v="6"/>
    <n v="-34.070399999999999"/>
    <x v="0"/>
    <x v="5"/>
  </r>
  <r>
    <x v="1080"/>
    <x v="57"/>
    <m/>
    <n v="42471"/>
    <x v="2"/>
    <s v="RM-19375"/>
    <s v="Raymond Messe"/>
    <x v="0"/>
    <s v="United States"/>
    <x v="29"/>
    <x v="24"/>
    <x v="0"/>
    <s v="FUR-BO-10001608"/>
    <s v="Furniture"/>
    <x v="0"/>
    <s v="Hon Metal Bookcases, Black"/>
    <n v="354.9"/>
    <n v="5"/>
    <n v="88.724999999999994"/>
    <x v="0"/>
    <x v="6"/>
  </r>
  <r>
    <x v="1081"/>
    <x v="385"/>
    <m/>
    <n v="41719"/>
    <x v="0"/>
    <s v="EK-13795"/>
    <s v="Eileen Kiefer"/>
    <x v="2"/>
    <s v="United States"/>
    <x v="28"/>
    <x v="2"/>
    <x v="1"/>
    <s v="FUR-BO-10004218"/>
    <s v="Furniture"/>
    <x v="0"/>
    <s v="Bush Heritage Pine Collection 5-Shelf Bookcase, Albany Pine Finish, *Special Order"/>
    <n v="1198.33"/>
    <n v="10"/>
    <n v="70.489999999999995"/>
    <x v="0"/>
    <x v="9"/>
  </r>
  <r>
    <x v="1082"/>
    <x v="333"/>
    <m/>
    <n v="42848"/>
    <x v="2"/>
    <s v="CV-12805"/>
    <s v="Cynthia Voltz"/>
    <x v="1"/>
    <s v="United States"/>
    <x v="3"/>
    <x v="3"/>
    <x v="2"/>
    <s v="FUR-FU-10001876"/>
    <s v="Furniture"/>
    <x v="3"/>
    <s v="Computer Room Manger, 14&quot;"/>
    <n v="51.968000000000004"/>
    <n v="2"/>
    <n v="10.393599999999999"/>
    <x v="0"/>
    <x v="6"/>
  </r>
  <r>
    <x v="1082"/>
    <x v="333"/>
    <m/>
    <n v="42848"/>
    <x v="2"/>
    <s v="CV-12805"/>
    <s v="Cynthia Voltz"/>
    <x v="1"/>
    <s v="United States"/>
    <x v="3"/>
    <x v="3"/>
    <x v="2"/>
    <s v="FUR-FU-10004671"/>
    <s v="Furniture"/>
    <x v="3"/>
    <s v="Executive Impressions 12&quot; Wall Clock"/>
    <n v="42.408000000000001"/>
    <n v="3"/>
    <n v="9.5418000000000003"/>
    <x v="0"/>
    <x v="6"/>
  </r>
  <r>
    <x v="1083"/>
    <x v="694"/>
    <m/>
    <n v="41719"/>
    <x v="2"/>
    <s v="MC-17605"/>
    <s v="Matt Connell"/>
    <x v="1"/>
    <s v="United States"/>
    <x v="49"/>
    <x v="1"/>
    <x v="0"/>
    <s v="FUR-FU-10003981"/>
    <s v="Furniture"/>
    <x v="3"/>
    <s v="Eldon Wave Desk Accessories"/>
    <n v="4.992"/>
    <n v="3"/>
    <n v="1.3728"/>
    <x v="3"/>
    <x v="9"/>
  </r>
  <r>
    <x v="1083"/>
    <x v="694"/>
    <m/>
    <n v="41719"/>
    <x v="2"/>
    <s v="MC-17605"/>
    <s v="Matt Connell"/>
    <x v="1"/>
    <s v="United States"/>
    <x v="49"/>
    <x v="1"/>
    <x v="0"/>
    <s v="FUR-FU-10002508"/>
    <s v="Furniture"/>
    <x v="3"/>
    <s v="Document Clip Frames"/>
    <n v="20.015999999999998"/>
    <n v="3"/>
    <n v="5.5044000000000004"/>
    <x v="3"/>
    <x v="9"/>
  </r>
  <r>
    <x v="1084"/>
    <x v="231"/>
    <m/>
    <n v="42273"/>
    <x v="1"/>
    <s v="GB-14575"/>
    <s v="Giulietta Baptist"/>
    <x v="0"/>
    <s v="United States"/>
    <x v="11"/>
    <x v="10"/>
    <x v="0"/>
    <s v="FUR-CH-10000309"/>
    <s v="Furniture"/>
    <x v="1"/>
    <s v="Global Comet Stacking Arm Chair"/>
    <n v="1690.04"/>
    <n v="4"/>
    <n v="422.51"/>
    <x v="2"/>
    <x v="4"/>
  </r>
  <r>
    <x v="1085"/>
    <x v="106"/>
    <m/>
    <n v="42717"/>
    <x v="2"/>
    <s v="DB-13270"/>
    <s v="Deborah Brumfield"/>
    <x v="2"/>
    <s v="United States"/>
    <x v="295"/>
    <x v="36"/>
    <x v="1"/>
    <s v="FUR-CH-10004218"/>
    <s v="Furniture"/>
    <x v="1"/>
    <s v="Global Fabric Manager's Chair, Dark Gray"/>
    <n v="403.92"/>
    <n v="5"/>
    <n v="25.245000000000001"/>
    <x v="3"/>
    <x v="5"/>
  </r>
  <r>
    <x v="1086"/>
    <x v="695"/>
    <m/>
    <n v="42732"/>
    <x v="1"/>
    <s v="JM-15535"/>
    <s v="Jessica Myrick"/>
    <x v="0"/>
    <s v="United States"/>
    <x v="13"/>
    <x v="7"/>
    <x v="2"/>
    <s v="FUR-FU-10003192"/>
    <s v="Furniture"/>
    <x v="3"/>
    <s v="Luxo Adjustable Task Clamp Lamp"/>
    <n v="799.56"/>
    <n v="9"/>
    <n v="207.88560000000001"/>
    <x v="4"/>
    <x v="5"/>
  </r>
  <r>
    <x v="1087"/>
    <x v="696"/>
    <m/>
    <n v="42727"/>
    <x v="1"/>
    <s v="PK-19075"/>
    <s v="Pete Kriz"/>
    <x v="0"/>
    <s v="United States"/>
    <x v="278"/>
    <x v="2"/>
    <x v="1"/>
    <s v="FUR-CH-10001708"/>
    <s v="Furniture"/>
    <x v="1"/>
    <s v="Office Star - Contemporary Swivel Chair with Padded Adjustable Arms and Flex Back"/>
    <n v="563.91999999999996"/>
    <n v="5"/>
    <n v="7.0490000000000004"/>
    <x v="1"/>
    <x v="5"/>
  </r>
  <r>
    <x v="1088"/>
    <x v="451"/>
    <m/>
    <n v="43072"/>
    <x v="2"/>
    <s v="MG-17650"/>
    <s v="Matthew Grinstein"/>
    <x v="2"/>
    <s v="United States"/>
    <x v="149"/>
    <x v="15"/>
    <x v="2"/>
    <s v="FUR-FU-10002885"/>
    <s v="Furniture"/>
    <x v="3"/>
    <s v="Magna Visual Magnetic Picture Hangers"/>
    <n v="7.7119999999999997"/>
    <n v="2"/>
    <n v="1.7352000000000001"/>
    <x v="3"/>
    <x v="5"/>
  </r>
  <r>
    <x v="1089"/>
    <x v="697"/>
    <m/>
    <n v="42667"/>
    <x v="0"/>
    <s v="CM-12445"/>
    <s v="Chuck Magee"/>
    <x v="0"/>
    <s v="United States"/>
    <x v="6"/>
    <x v="5"/>
    <x v="3"/>
    <s v="FUR-CH-10002372"/>
    <s v="Furniture"/>
    <x v="1"/>
    <s v="Office Star - Ergonomically Designed Knee Chair"/>
    <n v="56.686"/>
    <n v="1"/>
    <n v="-14.5764"/>
    <x v="4"/>
    <x v="1"/>
  </r>
  <r>
    <x v="1090"/>
    <x v="100"/>
    <m/>
    <n v="42972"/>
    <x v="1"/>
    <s v="YS-21880"/>
    <s v="Yana Sorensen"/>
    <x v="1"/>
    <s v="United States"/>
    <x v="15"/>
    <x v="13"/>
    <x v="1"/>
    <s v="FUR-FU-10001475"/>
    <s v="Furniture"/>
    <x v="3"/>
    <s v="Contract Clock, 14&quot;, Brown"/>
    <n v="65.94"/>
    <n v="3"/>
    <n v="22.419599999999999"/>
    <x v="1"/>
    <x v="10"/>
  </r>
  <r>
    <x v="1091"/>
    <x v="44"/>
    <m/>
    <n v="42341"/>
    <x v="1"/>
    <s v="MC-17425"/>
    <s v="Mark Cousins"/>
    <x v="1"/>
    <s v="United States"/>
    <x v="13"/>
    <x v="7"/>
    <x v="2"/>
    <s v="FUR-FU-10000087"/>
    <s v="Furniture"/>
    <x v="3"/>
    <s v="Executive Impressions 14&quot; Two-Color Numerals Wall Clock"/>
    <n v="68.16"/>
    <n v="3"/>
    <n v="27.945599999999999"/>
    <x v="2"/>
    <x v="0"/>
  </r>
  <r>
    <x v="1092"/>
    <x v="340"/>
    <m/>
    <n v="43096"/>
    <x v="1"/>
    <s v="DK-12985"/>
    <s v="Darren Koutras"/>
    <x v="0"/>
    <s v="United States"/>
    <x v="296"/>
    <x v="9"/>
    <x v="0"/>
    <s v="FUR-FU-10000087"/>
    <s v="Furniture"/>
    <x v="3"/>
    <s v="Executive Impressions 14&quot; Two-Color Numerals Wall Clock"/>
    <n v="72.703999999999994"/>
    <n v="4"/>
    <n v="19.084800000000001"/>
    <x v="4"/>
    <x v="5"/>
  </r>
  <r>
    <x v="1093"/>
    <x v="698"/>
    <m/>
    <n v="42286"/>
    <x v="1"/>
    <s v="JF-15490"/>
    <s v="Jeremy Farry"/>
    <x v="0"/>
    <s v="United States"/>
    <x v="295"/>
    <x v="36"/>
    <x v="1"/>
    <s v="FUR-BO-10003660"/>
    <s v="Furniture"/>
    <x v="0"/>
    <s v="Bush Cubix Collection Bookcases, Fully Assembled"/>
    <n v="66.293999999999997"/>
    <n v="1"/>
    <n v="-103.86060000000001"/>
    <x v="4"/>
    <x v="1"/>
  </r>
  <r>
    <x v="1093"/>
    <x v="698"/>
    <m/>
    <n v="42286"/>
    <x v="1"/>
    <s v="JF-15490"/>
    <s v="Jeremy Farry"/>
    <x v="0"/>
    <s v="United States"/>
    <x v="295"/>
    <x v="36"/>
    <x v="1"/>
    <s v="FUR-CH-10000422"/>
    <s v="Furniture"/>
    <x v="1"/>
    <s v="Global Highback Leather Tilter in Burgundy"/>
    <n v="291.16800000000001"/>
    <n v="4"/>
    <n v="-14.558400000000001"/>
    <x v="4"/>
    <x v="1"/>
  </r>
  <r>
    <x v="1094"/>
    <x v="91"/>
    <m/>
    <n v="42989"/>
    <x v="3"/>
    <s v="JF-15415"/>
    <s v="Jennifer Ferguson"/>
    <x v="0"/>
    <s v="United States"/>
    <x v="15"/>
    <x v="13"/>
    <x v="1"/>
    <s v="FUR-CH-10003199"/>
    <s v="Furniture"/>
    <x v="1"/>
    <s v="Office Star - Contemporary Task Swivel Chair"/>
    <n v="177.56800000000001"/>
    <n v="2"/>
    <n v="8.8783999999999992"/>
    <x v="7"/>
    <x v="4"/>
  </r>
  <r>
    <x v="1095"/>
    <x v="132"/>
    <m/>
    <n v="42354"/>
    <x v="1"/>
    <s v="HA-14905"/>
    <s v="Helen Abelman"/>
    <x v="0"/>
    <s v="United States"/>
    <x v="124"/>
    <x v="2"/>
    <x v="1"/>
    <s v="FUR-FU-10004597"/>
    <s v="Furniture"/>
    <x v="3"/>
    <s v="Eldon Cleatmat Chair Mats for Medium Pile Carpets"/>
    <n v="166.5"/>
    <n v="3"/>
    <n v="21.645"/>
    <x v="4"/>
    <x v="5"/>
  </r>
  <r>
    <x v="1096"/>
    <x v="15"/>
    <m/>
    <n v="42886"/>
    <x v="0"/>
    <s v="LO-17170"/>
    <s v="Lori Olson"/>
    <x v="1"/>
    <s v="United States"/>
    <x v="41"/>
    <x v="28"/>
    <x v="2"/>
    <s v="FUR-FU-10001185"/>
    <s v="Furniture"/>
    <x v="3"/>
    <s v="Advantus Employee of the Month Certificate Frame, 11 x 13-1/2"/>
    <n v="247.44"/>
    <n v="8"/>
    <n v="101.4504"/>
    <x v="0"/>
    <x v="7"/>
  </r>
  <r>
    <x v="1097"/>
    <x v="141"/>
    <m/>
    <n v="42333"/>
    <x v="1"/>
    <s v="KB-16405"/>
    <s v="Katrina Bavinger"/>
    <x v="2"/>
    <s v="United States"/>
    <x v="15"/>
    <x v="13"/>
    <x v="1"/>
    <s v="FUR-FU-10002364"/>
    <s v="Furniture"/>
    <x v="3"/>
    <s v="Eldon Expressions Wood Desk Accessories, Oak"/>
    <n v="22.14"/>
    <n v="3"/>
    <n v="6.4206000000000003"/>
    <x v="2"/>
    <x v="0"/>
  </r>
  <r>
    <x v="1098"/>
    <x v="464"/>
    <m/>
    <n v="42890"/>
    <x v="1"/>
    <s v="ML-17410"/>
    <s v="Maris LaWare"/>
    <x v="0"/>
    <s v="United States"/>
    <x v="29"/>
    <x v="6"/>
    <x v="3"/>
    <s v="FUR-FU-10003981"/>
    <s v="Furniture"/>
    <x v="3"/>
    <s v="Eldon Wave Desk Accessories"/>
    <n v="6.24"/>
    <n v="3"/>
    <n v="2.6208"/>
    <x v="6"/>
    <x v="7"/>
  </r>
  <r>
    <x v="1099"/>
    <x v="699"/>
    <m/>
    <n v="42261"/>
    <x v="1"/>
    <s v="VW-21775"/>
    <s v="Victoria Wilson"/>
    <x v="1"/>
    <s v="United States"/>
    <x v="132"/>
    <x v="33"/>
    <x v="0"/>
    <s v="FUR-FU-10001731"/>
    <s v="Furniture"/>
    <x v="3"/>
    <s v="Acrylic Self-Standing Desk Frames"/>
    <n v="21.36"/>
    <n v="8"/>
    <n v="8.1167999999999996"/>
    <x v="6"/>
    <x v="4"/>
  </r>
  <r>
    <x v="1100"/>
    <x v="308"/>
    <m/>
    <n v="43075"/>
    <x v="1"/>
    <s v="BB-11545"/>
    <s v="Brenda Bowman"/>
    <x v="1"/>
    <s v="United States"/>
    <x v="121"/>
    <x v="2"/>
    <x v="1"/>
    <s v="FUR-CH-10004983"/>
    <s v="Furniture"/>
    <x v="1"/>
    <s v="Office Star - Mid Back Dual function Ergonomic High Back Chair with 2-Way Adjustable Arms"/>
    <n v="1159.056"/>
    <n v="9"/>
    <n v="43.464599999999997"/>
    <x v="4"/>
    <x v="5"/>
  </r>
  <r>
    <x v="1101"/>
    <x v="700"/>
    <m/>
    <n v="42573"/>
    <x v="0"/>
    <s v="DK-13375"/>
    <s v="Dennis Kane"/>
    <x v="0"/>
    <s v="United States"/>
    <x v="15"/>
    <x v="13"/>
    <x v="1"/>
    <s v="FUR-FU-10001847"/>
    <s v="Furniture"/>
    <x v="3"/>
    <s v="Eldon Image Series Black Desk Accessories"/>
    <n v="12.42"/>
    <n v="3"/>
    <n v="4.4711999999999996"/>
    <x v="2"/>
    <x v="3"/>
  </r>
  <r>
    <x v="1101"/>
    <x v="700"/>
    <m/>
    <n v="42573"/>
    <x v="0"/>
    <s v="DK-13375"/>
    <s v="Dennis Kane"/>
    <x v="0"/>
    <s v="United States"/>
    <x v="15"/>
    <x v="13"/>
    <x v="1"/>
    <s v="FUR-FU-10004164"/>
    <s v="Furniture"/>
    <x v="3"/>
    <s v="Eldon 300 Class Desk Accessories, Black"/>
    <n v="24.75"/>
    <n v="5"/>
    <n v="10.89"/>
    <x v="2"/>
    <x v="3"/>
  </r>
  <r>
    <x v="1102"/>
    <x v="141"/>
    <m/>
    <n v="42334"/>
    <x v="1"/>
    <s v="JK-15205"/>
    <s v="Jamie Kunitz"/>
    <x v="0"/>
    <s v="United States"/>
    <x v="149"/>
    <x v="15"/>
    <x v="2"/>
    <s v="FUR-FU-10002874"/>
    <s v="Furniture"/>
    <x v="3"/>
    <s v="Ultra Commercial Grade Dual Valve Door Closer"/>
    <n v="63.823999999999998"/>
    <n v="2"/>
    <n v="9.5736000000000008"/>
    <x v="6"/>
    <x v="0"/>
  </r>
  <r>
    <x v="1103"/>
    <x v="211"/>
    <m/>
    <n v="42641"/>
    <x v="1"/>
    <s v="EH-13765"/>
    <s v="Edward Hooks"/>
    <x v="1"/>
    <s v="United States"/>
    <x v="2"/>
    <x v="2"/>
    <x v="1"/>
    <s v="FUR-CH-10000988"/>
    <s v="Furniture"/>
    <x v="1"/>
    <s v="Hon Olson Stacker Stools"/>
    <n v="563.24"/>
    <n v="5"/>
    <n v="56.323999999999998"/>
    <x v="4"/>
    <x v="4"/>
  </r>
  <r>
    <x v="1104"/>
    <x v="59"/>
    <m/>
    <n v="42669"/>
    <x v="1"/>
    <s v="VW-21775"/>
    <s v="Victoria Wilson"/>
    <x v="1"/>
    <s v="United States"/>
    <x v="174"/>
    <x v="15"/>
    <x v="2"/>
    <s v="FUR-TA-10003238"/>
    <s v="Furniture"/>
    <x v="2"/>
    <s v="Chromcraft Bull-Nose Wood 48&quot; x 96&quot; Rectangular Conference Tables"/>
    <n v="661.17600000000004"/>
    <n v="2"/>
    <n v="-231.41159999999999"/>
    <x v="2"/>
    <x v="1"/>
  </r>
  <r>
    <x v="1105"/>
    <x v="591"/>
    <m/>
    <n v="41832"/>
    <x v="1"/>
    <s v="EB-13705"/>
    <s v="Ed Braxton"/>
    <x v="1"/>
    <s v="United States"/>
    <x v="28"/>
    <x v="2"/>
    <x v="1"/>
    <s v="FUR-TA-10003715"/>
    <s v="Furniture"/>
    <x v="2"/>
    <s v="Hon 2111 Invitation Series Corner Table"/>
    <n v="502.488"/>
    <n v="3"/>
    <n v="-87.935400000000001"/>
    <x v="4"/>
    <x v="3"/>
  </r>
  <r>
    <x v="1106"/>
    <x v="310"/>
    <m/>
    <n v="42081"/>
    <x v="0"/>
    <s v="NF-18595"/>
    <s v="Nicole Fjeld"/>
    <x v="2"/>
    <s v="United States"/>
    <x v="297"/>
    <x v="2"/>
    <x v="1"/>
    <s v="FUR-CH-10004063"/>
    <s v="Furniture"/>
    <x v="1"/>
    <s v="Global Deluxe High-Back Manager's Chair"/>
    <n v="915.13599999999997"/>
    <n v="4"/>
    <n v="102.9528"/>
    <x v="2"/>
    <x v="9"/>
  </r>
  <r>
    <x v="1106"/>
    <x v="310"/>
    <m/>
    <n v="42081"/>
    <x v="0"/>
    <s v="NF-18595"/>
    <s v="Nicole Fjeld"/>
    <x v="2"/>
    <s v="United States"/>
    <x v="297"/>
    <x v="2"/>
    <x v="1"/>
    <s v="FUR-FU-10001979"/>
    <s v="Furniture"/>
    <x v="3"/>
    <s v="Dana Halogen Swing-Arm Architect Lamp"/>
    <n v="327.76"/>
    <n v="8"/>
    <n v="91.772800000000004"/>
    <x v="2"/>
    <x v="9"/>
  </r>
  <r>
    <x v="1107"/>
    <x v="308"/>
    <m/>
    <n v="43074"/>
    <x v="2"/>
    <s v="ME-17725"/>
    <s v="Max Engle"/>
    <x v="0"/>
    <s v="United States"/>
    <x v="279"/>
    <x v="25"/>
    <x v="0"/>
    <s v="FUR-CH-10001854"/>
    <s v="Furniture"/>
    <x v="1"/>
    <s v="Office Star - Professional Matrix Back Chair with 2-to-1 Synchro Tilt and Mesh Fabric Seat"/>
    <n v="701.96"/>
    <n v="2"/>
    <n v="168.47040000000001"/>
    <x v="0"/>
    <x v="5"/>
  </r>
  <r>
    <x v="1108"/>
    <x v="147"/>
    <m/>
    <n v="43072"/>
    <x v="2"/>
    <s v="MZ-17335"/>
    <s v="Maria Zettner"/>
    <x v="2"/>
    <s v="United States"/>
    <x v="28"/>
    <x v="2"/>
    <x v="1"/>
    <s v="FUR-FU-10003489"/>
    <s v="Furniture"/>
    <x v="3"/>
    <s v="Contemporary Borderless Frame"/>
    <n v="25.83"/>
    <n v="3"/>
    <n v="9.5571000000000002"/>
    <x v="0"/>
    <x v="0"/>
  </r>
  <r>
    <x v="1109"/>
    <x v="114"/>
    <m/>
    <n v="42680"/>
    <x v="0"/>
    <s v="TP-21565"/>
    <s v="Tracy Poddar"/>
    <x v="1"/>
    <s v="United States"/>
    <x v="298"/>
    <x v="36"/>
    <x v="1"/>
    <s v="FUR-CH-10003298"/>
    <s v="Furniture"/>
    <x v="1"/>
    <s v="Office Star - Contemporary Task Swivel chair with Loop Arms, Charcoal"/>
    <n v="104.78400000000001"/>
    <n v="1"/>
    <n v="-14.4078"/>
    <x v="3"/>
    <x v="0"/>
  </r>
  <r>
    <x v="1109"/>
    <x v="114"/>
    <m/>
    <n v="42680"/>
    <x v="0"/>
    <s v="TP-21565"/>
    <s v="Tracy Poddar"/>
    <x v="1"/>
    <s v="United States"/>
    <x v="298"/>
    <x v="36"/>
    <x v="1"/>
    <s v="FUR-CH-10000229"/>
    <s v="Furniture"/>
    <x v="1"/>
    <s v="Global Enterprise Series Seating High-Back Swivel/Tilt Chairs"/>
    <n v="650.35199999999998"/>
    <n v="3"/>
    <n v="-97.552800000000005"/>
    <x v="3"/>
    <x v="0"/>
  </r>
  <r>
    <x v="1110"/>
    <x v="701"/>
    <m/>
    <n v="41898"/>
    <x v="1"/>
    <s v="LW-17125"/>
    <s v="Liz Willingham"/>
    <x v="0"/>
    <s v="United States"/>
    <x v="299"/>
    <x v="2"/>
    <x v="1"/>
    <s v="FUR-FU-10004006"/>
    <s v="Furniture"/>
    <x v="3"/>
    <s v="Deflect-o DuraMat Lighweight, Studded, Beveled Mat for Low Pile Carpeting"/>
    <n v="127.95"/>
    <n v="3"/>
    <n v="21.7515"/>
    <x v="2"/>
    <x v="4"/>
  </r>
  <r>
    <x v="1111"/>
    <x v="187"/>
    <m/>
    <n v="41665"/>
    <x v="1"/>
    <s v="XP-21865"/>
    <s v="Xylona Preis"/>
    <x v="0"/>
    <s v="United States"/>
    <x v="300"/>
    <x v="17"/>
    <x v="3"/>
    <s v="FUR-FU-10002918"/>
    <s v="Furniture"/>
    <x v="3"/>
    <s v="Eldon ClusterMat Chair Mat with Cordless Antistatic Protection"/>
    <n v="272.94"/>
    <n v="3"/>
    <n v="30.023399999999999"/>
    <x v="6"/>
    <x v="8"/>
  </r>
  <r>
    <x v="1111"/>
    <x v="187"/>
    <m/>
    <n v="41665"/>
    <x v="1"/>
    <s v="XP-21865"/>
    <s v="Xylona Preis"/>
    <x v="0"/>
    <s v="United States"/>
    <x v="300"/>
    <x v="17"/>
    <x v="3"/>
    <s v="FUR-FU-10002268"/>
    <s v="Furniture"/>
    <x v="3"/>
    <s v="Ultra Door Push Plate"/>
    <n v="14.73"/>
    <n v="3"/>
    <n v="4.8609"/>
    <x v="6"/>
    <x v="8"/>
  </r>
  <r>
    <x v="1112"/>
    <x v="55"/>
    <m/>
    <n v="42619"/>
    <x v="1"/>
    <s v="BG-11740"/>
    <s v="Bruce Geld"/>
    <x v="0"/>
    <s v="United States"/>
    <x v="2"/>
    <x v="2"/>
    <x v="1"/>
    <s v="FUR-FU-10000672"/>
    <s v="Furniture"/>
    <x v="3"/>
    <s v="Executive Impressions 10&quot; Spectator Wall Clock"/>
    <n v="47.04"/>
    <n v="4"/>
    <n v="15.993600000000001"/>
    <x v="1"/>
    <x v="10"/>
  </r>
  <r>
    <x v="1113"/>
    <x v="702"/>
    <m/>
    <n v="43017"/>
    <x v="1"/>
    <s v="TS-21370"/>
    <s v="Todd Sumrall"/>
    <x v="1"/>
    <s v="United States"/>
    <x v="13"/>
    <x v="7"/>
    <x v="2"/>
    <s v="FUR-CH-10002880"/>
    <s v="Furniture"/>
    <x v="1"/>
    <s v="Global High-Back Leather Tilter, Burgundy"/>
    <n v="221.38200000000001"/>
    <n v="2"/>
    <n v="2.4598"/>
    <x v="4"/>
    <x v="1"/>
  </r>
  <r>
    <x v="1114"/>
    <x v="667"/>
    <m/>
    <n v="42986"/>
    <x v="1"/>
    <s v="AG-10900"/>
    <s v="Arthur Gainer"/>
    <x v="0"/>
    <s v="United States"/>
    <x v="144"/>
    <x v="5"/>
    <x v="3"/>
    <s v="FUR-FU-10004622"/>
    <s v="Furniture"/>
    <x v="3"/>
    <s v="Eldon Advantage Foldable Chair Mats for Low Pile Carpets"/>
    <n v="108.4"/>
    <n v="5"/>
    <n v="-105.69"/>
    <x v="2"/>
    <x v="4"/>
  </r>
  <r>
    <x v="1115"/>
    <x v="162"/>
    <m/>
    <n v="42650"/>
    <x v="1"/>
    <s v="TP-21565"/>
    <s v="Tracy Poddar"/>
    <x v="1"/>
    <s v="United States"/>
    <x v="141"/>
    <x v="5"/>
    <x v="3"/>
    <s v="FUR-FU-10001756"/>
    <s v="Furniture"/>
    <x v="3"/>
    <s v="Eldon Expressions Desk Accessory, Wood Photo Frame, Mahogany"/>
    <n v="38.08"/>
    <n v="5"/>
    <n v="-29.512"/>
    <x v="4"/>
    <x v="1"/>
  </r>
  <r>
    <x v="1116"/>
    <x v="431"/>
    <m/>
    <n v="42695"/>
    <x v="3"/>
    <s v="JK-16120"/>
    <s v="Julie Kriz"/>
    <x v="2"/>
    <s v="United States"/>
    <x v="13"/>
    <x v="7"/>
    <x v="2"/>
    <s v="FUR-BO-10002598"/>
    <s v="Furniture"/>
    <x v="0"/>
    <s v="Hon Metal Bookcases, Putty"/>
    <n v="113.568"/>
    <n v="2"/>
    <n v="12.776400000000001"/>
    <x v="7"/>
    <x v="0"/>
  </r>
  <r>
    <x v="1117"/>
    <x v="433"/>
    <m/>
    <n v="43013"/>
    <x v="0"/>
    <s v="CC-12430"/>
    <s v="Chuck Clark"/>
    <x v="2"/>
    <s v="United States"/>
    <x v="13"/>
    <x v="7"/>
    <x v="2"/>
    <s v="FUR-FU-10001934"/>
    <s v="Furniture"/>
    <x v="3"/>
    <s v="Magnifier Swing Arm Lamp"/>
    <n v="83.92"/>
    <n v="4"/>
    <n v="21.819199999999999"/>
    <x v="3"/>
    <x v="1"/>
  </r>
  <r>
    <x v="1118"/>
    <x v="149"/>
    <m/>
    <n v="41762"/>
    <x v="1"/>
    <s v="LA-16780"/>
    <s v="Laura Armstrong"/>
    <x v="1"/>
    <s v="United States"/>
    <x v="10"/>
    <x v="9"/>
    <x v="0"/>
    <s v="FUR-CH-10001394"/>
    <s v="Furniture"/>
    <x v="1"/>
    <s v="Global Leather Executive Chair"/>
    <n v="561.58399999999995"/>
    <n v="2"/>
    <n v="70.197999999999993"/>
    <x v="4"/>
    <x v="6"/>
  </r>
  <r>
    <x v="1119"/>
    <x v="120"/>
    <m/>
    <n v="42726"/>
    <x v="1"/>
    <s v="BP-11230"/>
    <s v="Benjamin Patterson"/>
    <x v="0"/>
    <s v="United States"/>
    <x v="2"/>
    <x v="2"/>
    <x v="1"/>
    <s v="FUR-FU-10002364"/>
    <s v="Furniture"/>
    <x v="3"/>
    <s v="Eldon Expressions Wood Desk Accessories, Oak"/>
    <n v="14.76"/>
    <n v="2"/>
    <n v="4.2804000000000002"/>
    <x v="1"/>
    <x v="5"/>
  </r>
  <r>
    <x v="1120"/>
    <x v="477"/>
    <m/>
    <n v="42462"/>
    <x v="1"/>
    <s v="TB-21595"/>
    <s v="Troy Blackwell"/>
    <x v="0"/>
    <s v="United States"/>
    <x v="76"/>
    <x v="15"/>
    <x v="2"/>
    <s v="FUR-BO-10004015"/>
    <s v="Furniture"/>
    <x v="0"/>
    <s v="Bush Andora Bookcase, Maple/Graphite Gray Finish"/>
    <n v="299.97500000000002"/>
    <n v="5"/>
    <n v="-167.98599999999999"/>
    <x v="4"/>
    <x v="9"/>
  </r>
  <r>
    <x v="1121"/>
    <x v="469"/>
    <m/>
    <n v="42723"/>
    <x v="1"/>
    <s v="PK-19075"/>
    <s v="Pete Kriz"/>
    <x v="0"/>
    <s v="United States"/>
    <x v="13"/>
    <x v="7"/>
    <x v="2"/>
    <s v="FUR-FU-10002937"/>
    <s v="Furniture"/>
    <x v="3"/>
    <s v="GE 48&quot; Fluorescent Tube, Cool White Energy Saver, 34 Watts, 30/Box"/>
    <n v="396.92"/>
    <n v="4"/>
    <n v="198.46"/>
    <x v="2"/>
    <x v="5"/>
  </r>
  <r>
    <x v="1122"/>
    <x v="703"/>
    <m/>
    <n v="42886"/>
    <x v="2"/>
    <s v="BD-11725"/>
    <s v="Bruce Degenhardt"/>
    <x v="0"/>
    <s v="United States"/>
    <x v="120"/>
    <x v="35"/>
    <x v="0"/>
    <s v="FUR-BO-10000330"/>
    <s v="Furniture"/>
    <x v="0"/>
    <s v="Sauder Camden County Barrister Bookcase, Planked Cherry Finish"/>
    <n v="241.96"/>
    <n v="2"/>
    <n v="33.874400000000001"/>
    <x v="5"/>
    <x v="7"/>
  </r>
  <r>
    <x v="1122"/>
    <x v="703"/>
    <m/>
    <n v="42886"/>
    <x v="2"/>
    <s v="BD-11725"/>
    <s v="Bruce Degenhardt"/>
    <x v="0"/>
    <s v="United States"/>
    <x v="120"/>
    <x v="35"/>
    <x v="0"/>
    <s v="FUR-FU-10001731"/>
    <s v="Furniture"/>
    <x v="3"/>
    <s v="Acrylic Self-Standing Desk Frames"/>
    <n v="8.01"/>
    <n v="3"/>
    <n v="3.0438000000000001"/>
    <x v="5"/>
    <x v="7"/>
  </r>
  <r>
    <x v="1123"/>
    <x v="704"/>
    <m/>
    <n v="42980"/>
    <x v="0"/>
    <s v="BW-11110"/>
    <s v="Bart Watters"/>
    <x v="1"/>
    <s v="United States"/>
    <x v="129"/>
    <x v="13"/>
    <x v="1"/>
    <s v="FUR-CH-10002331"/>
    <s v="Furniture"/>
    <x v="1"/>
    <s v="Hon 4700 Series Mobuis Mid-Back Task Chairs with Adjustable Arms"/>
    <n v="569.56799999999998"/>
    <n v="2"/>
    <n v="7.1196000000000002"/>
    <x v="3"/>
    <x v="10"/>
  </r>
  <r>
    <x v="1124"/>
    <x v="138"/>
    <m/>
    <n v="42870"/>
    <x v="2"/>
    <s v="GT-14710"/>
    <s v="Greg Tran"/>
    <x v="0"/>
    <s v="United States"/>
    <x v="6"/>
    <x v="5"/>
    <x v="3"/>
    <s v="FUR-CH-10003981"/>
    <s v="Furniture"/>
    <x v="1"/>
    <s v="Global Commerce Series Low-Back Swivel/Tilt Chairs"/>
    <n v="899.43"/>
    <n v="5"/>
    <n v="-12.849"/>
    <x v="5"/>
    <x v="7"/>
  </r>
  <r>
    <x v="1125"/>
    <x v="359"/>
    <m/>
    <n v="42679"/>
    <x v="1"/>
    <s v="HW-14935"/>
    <s v="Helen Wasserman"/>
    <x v="1"/>
    <s v="United States"/>
    <x v="169"/>
    <x v="37"/>
    <x v="3"/>
    <s v="FUR-CH-10002084"/>
    <s v="Furniture"/>
    <x v="1"/>
    <s v="Hon Mobius Operator's Chair"/>
    <n v="368.97"/>
    <n v="3"/>
    <n v="81.173400000000001"/>
    <x v="2"/>
    <x v="1"/>
  </r>
  <r>
    <x v="1126"/>
    <x v="634"/>
    <m/>
    <n v="42304"/>
    <x v="2"/>
    <s v="RD-19660"/>
    <s v="Robert Dilbeck"/>
    <x v="2"/>
    <s v="United States"/>
    <x v="121"/>
    <x v="2"/>
    <x v="1"/>
    <s v="FUR-CH-10003956"/>
    <s v="Furniture"/>
    <x v="1"/>
    <s v="Novimex High-Tech Fabric Mesh Task Chair"/>
    <n v="454.27199999999999"/>
    <n v="8"/>
    <n v="-73.819199999999995"/>
    <x v="0"/>
    <x v="1"/>
  </r>
  <r>
    <x v="1127"/>
    <x v="705"/>
    <m/>
    <n v="41950"/>
    <x v="1"/>
    <s v="SH-20395"/>
    <s v="Shahid Hopkins"/>
    <x v="0"/>
    <s v="United States"/>
    <x v="51"/>
    <x v="30"/>
    <x v="0"/>
    <s v="FUR-TA-10001768"/>
    <s v="Furniture"/>
    <x v="2"/>
    <s v="Hon Racetrack Conference Tables"/>
    <n v="945.03599999999994"/>
    <n v="6"/>
    <n v="-299.26139999999998"/>
    <x v="4"/>
    <x v="0"/>
  </r>
  <r>
    <x v="1127"/>
    <x v="705"/>
    <m/>
    <n v="41950"/>
    <x v="1"/>
    <s v="SH-20395"/>
    <s v="Shahid Hopkins"/>
    <x v="0"/>
    <s v="United States"/>
    <x v="51"/>
    <x v="30"/>
    <x v="0"/>
    <s v="FUR-FU-10001468"/>
    <s v="Furniture"/>
    <x v="3"/>
    <s v="Tenex Antistatic Computer Chair Mats"/>
    <n v="410.35199999999998"/>
    <n v="3"/>
    <n v="-51.293999999999997"/>
    <x v="4"/>
    <x v="0"/>
  </r>
  <r>
    <x v="1128"/>
    <x v="706"/>
    <m/>
    <n v="42884"/>
    <x v="2"/>
    <s v="JG-15160"/>
    <s v="James Galang"/>
    <x v="0"/>
    <s v="United States"/>
    <x v="280"/>
    <x v="42"/>
    <x v="1"/>
    <s v="FUR-FU-10004963"/>
    <s v="Furniture"/>
    <x v="3"/>
    <s v="Eldon 400 Class Desk Accessories, Black Carbon"/>
    <n v="35"/>
    <n v="4"/>
    <n v="14.7"/>
    <x v="3"/>
    <x v="7"/>
  </r>
  <r>
    <x v="1129"/>
    <x v="417"/>
    <m/>
    <n v="43088"/>
    <x v="1"/>
    <s v="LC-16885"/>
    <s v="Lena Creighton"/>
    <x v="0"/>
    <s v="United States"/>
    <x v="215"/>
    <x v="5"/>
    <x v="3"/>
    <s v="FUR-TA-10000577"/>
    <s v="Furniture"/>
    <x v="2"/>
    <s v="Bretford CR4500 Series Slim Rectangular Table"/>
    <n v="974.98800000000006"/>
    <n v="4"/>
    <n v="-97.498800000000003"/>
    <x v="2"/>
    <x v="5"/>
  </r>
  <r>
    <x v="1130"/>
    <x v="707"/>
    <m/>
    <n v="41918"/>
    <x v="2"/>
    <s v="CC-12220"/>
    <s v="Chris Cortes"/>
    <x v="0"/>
    <s v="United States"/>
    <x v="13"/>
    <x v="7"/>
    <x v="2"/>
    <s v="FUR-CH-10003298"/>
    <s v="Furniture"/>
    <x v="1"/>
    <s v="Office Star - Contemporary Task Swivel chair with Loop Arms, Charcoal"/>
    <n v="589.41"/>
    <n v="5"/>
    <n v="-6.5490000000000004"/>
    <x v="3"/>
    <x v="1"/>
  </r>
  <r>
    <x v="1131"/>
    <x v="25"/>
    <m/>
    <n v="42663"/>
    <x v="1"/>
    <s v="BW-11110"/>
    <s v="Bart Watters"/>
    <x v="1"/>
    <s v="United States"/>
    <x v="13"/>
    <x v="7"/>
    <x v="2"/>
    <s v="FUR-FU-10003535"/>
    <s v="Furniture"/>
    <x v="3"/>
    <s v="Howard Miller Distant Time Traveler Alarm Clock"/>
    <n v="82.26"/>
    <n v="3"/>
    <n v="33.726599999999998"/>
    <x v="1"/>
    <x v="1"/>
  </r>
  <r>
    <x v="1132"/>
    <x v="708"/>
    <m/>
    <n v="42800"/>
    <x v="0"/>
    <s v="TT-21460"/>
    <s v="Tonja Turnell"/>
    <x v="2"/>
    <s v="United States"/>
    <x v="6"/>
    <x v="5"/>
    <x v="3"/>
    <s v="FUR-FU-10004848"/>
    <s v="Furniture"/>
    <x v="3"/>
    <s v="Howard Miller 13-3/4&quot; Diameter Brushed Chrome Round Wall Clock"/>
    <n v="103.5"/>
    <n v="5"/>
    <n v="-77.625"/>
    <x v="3"/>
    <x v="9"/>
  </r>
  <r>
    <x v="1133"/>
    <x v="709"/>
    <m/>
    <n v="42950"/>
    <x v="2"/>
    <s v="EC-14050"/>
    <s v="Erin Creighton"/>
    <x v="0"/>
    <s v="United States"/>
    <x v="28"/>
    <x v="2"/>
    <x v="1"/>
    <s v="FUR-FU-10003142"/>
    <s v="Furniture"/>
    <x v="3"/>
    <s v="Master Big Foot Doorstop, Beige"/>
    <n v="36.96"/>
    <n v="7"/>
    <n v="11.457599999999999"/>
    <x v="0"/>
    <x v="3"/>
  </r>
  <r>
    <x v="1134"/>
    <x v="138"/>
    <m/>
    <n v="42872"/>
    <x v="2"/>
    <s v="AJ-10780"/>
    <s v="Anthony Jacobs"/>
    <x v="1"/>
    <s v="United States"/>
    <x v="237"/>
    <x v="32"/>
    <x v="2"/>
    <s v="FUR-CH-10003298"/>
    <s v="Furniture"/>
    <x v="1"/>
    <s v="Office Star - Contemporary Task Swivel chair with Loop Arms, Charcoal"/>
    <n v="261.95999999999998"/>
    <n v="2"/>
    <n v="23.5764"/>
    <x v="0"/>
    <x v="7"/>
  </r>
  <r>
    <x v="1135"/>
    <x v="710"/>
    <m/>
    <n v="42641"/>
    <x v="1"/>
    <s v="AS-10630"/>
    <s v="Ann Steele"/>
    <x v="2"/>
    <s v="United States"/>
    <x v="74"/>
    <x v="0"/>
    <x v="0"/>
    <s v="FUR-FU-10004586"/>
    <s v="Furniture"/>
    <x v="3"/>
    <s v="G.E. Longer-Life Indoor Recessed Floodlight Bulbs"/>
    <n v="13.28"/>
    <n v="2"/>
    <n v="6.3743999999999996"/>
    <x v="6"/>
    <x v="4"/>
  </r>
  <r>
    <x v="1136"/>
    <x v="674"/>
    <m/>
    <n v="42712"/>
    <x v="1"/>
    <s v="DB-13270"/>
    <s v="Deborah Brumfield"/>
    <x v="2"/>
    <s v="United States"/>
    <x v="134"/>
    <x v="38"/>
    <x v="2"/>
    <s v="FUR-FU-10004864"/>
    <s v="Furniture"/>
    <x v="3"/>
    <s v="Eldon 500 Class Desk Accessories"/>
    <n v="72.42"/>
    <n v="6"/>
    <n v="23.898599999999998"/>
    <x v="6"/>
    <x v="5"/>
  </r>
  <r>
    <x v="1137"/>
    <x v="711"/>
    <m/>
    <n v="41654"/>
    <x v="2"/>
    <s v="BS-11590"/>
    <s v="Brendan Sweed"/>
    <x v="1"/>
    <s v="United States"/>
    <x v="3"/>
    <x v="3"/>
    <x v="2"/>
    <s v="FUR-BO-10003433"/>
    <s v="Furniture"/>
    <x v="0"/>
    <s v="Sauder Cornerstone Collection Library"/>
    <n v="61.96"/>
    <n v="4"/>
    <n v="-53.285600000000002"/>
    <x v="5"/>
    <x v="8"/>
  </r>
  <r>
    <x v="1138"/>
    <x v="35"/>
    <m/>
    <n v="42896"/>
    <x v="1"/>
    <s v="NR-18550"/>
    <s v="Nick Radford"/>
    <x v="0"/>
    <s v="United States"/>
    <x v="36"/>
    <x v="1"/>
    <x v="0"/>
    <s v="FUR-BO-10002824"/>
    <s v="Furniture"/>
    <x v="0"/>
    <s v="Bush Mission Pointe Library"/>
    <n v="241.56800000000001"/>
    <n v="2"/>
    <n v="0"/>
    <x v="1"/>
    <x v="2"/>
  </r>
  <r>
    <x v="1139"/>
    <x v="35"/>
    <m/>
    <n v="42895"/>
    <x v="1"/>
    <s v="KN-16390"/>
    <s v="Katherine Nockton"/>
    <x v="1"/>
    <s v="United States"/>
    <x v="13"/>
    <x v="7"/>
    <x v="2"/>
    <s v="FUR-TA-10001932"/>
    <s v="Furniture"/>
    <x v="2"/>
    <s v="Chromcraft 48&quot; x 96&quot; Racetrack Double Pedestal Table"/>
    <n v="384.76799999999997"/>
    <n v="2"/>
    <n v="-115.43040000000001"/>
    <x v="6"/>
    <x v="2"/>
  </r>
  <r>
    <x v="1140"/>
    <x v="712"/>
    <m/>
    <n v="41901"/>
    <x v="1"/>
    <s v="MF-18250"/>
    <s v="Monica Federle"/>
    <x v="1"/>
    <s v="United States"/>
    <x v="3"/>
    <x v="3"/>
    <x v="2"/>
    <s v="FUR-FU-10000222"/>
    <s v="Furniture"/>
    <x v="3"/>
    <s v="Seth Thomas 16&quot; Steel Case Clock"/>
    <n v="103.93600000000001"/>
    <n v="4"/>
    <n v="16.889600000000002"/>
    <x v="4"/>
    <x v="4"/>
  </r>
  <r>
    <x v="1141"/>
    <x v="47"/>
    <m/>
    <n v="42699"/>
    <x v="1"/>
    <s v="FA-14230"/>
    <s v="Frank Atkinson"/>
    <x v="1"/>
    <s v="United States"/>
    <x v="301"/>
    <x v="1"/>
    <x v="0"/>
    <s v="FUR-BO-10004695"/>
    <s v="Furniture"/>
    <x v="0"/>
    <s v="O'Sullivan 2-Door Barrister Bookcase in Odessa Pine"/>
    <n v="289.56799999999998"/>
    <n v="2"/>
    <n v="10.8588"/>
    <x v="2"/>
    <x v="0"/>
  </r>
  <r>
    <x v="1142"/>
    <x v="713"/>
    <m/>
    <n v="42213"/>
    <x v="1"/>
    <s v="SS-20515"/>
    <s v="Shirley Schmidt"/>
    <x v="2"/>
    <s v="United States"/>
    <x v="74"/>
    <x v="0"/>
    <x v="0"/>
    <s v="FUR-FU-10001487"/>
    <s v="Furniture"/>
    <x v="3"/>
    <s v="Eldon Expressions Wood and Plastic Desk Accessories, Cherry Wood"/>
    <n v="20.94"/>
    <n v="3"/>
    <n v="6.0726000000000004"/>
    <x v="4"/>
    <x v="3"/>
  </r>
  <r>
    <x v="1143"/>
    <x v="714"/>
    <m/>
    <n v="42654"/>
    <x v="0"/>
    <s v="SP-20545"/>
    <s v="Sibella Parks"/>
    <x v="1"/>
    <s v="United States"/>
    <x v="3"/>
    <x v="3"/>
    <x v="2"/>
    <s v="FUR-FU-10004071"/>
    <s v="Furniture"/>
    <x v="3"/>
    <s v="Luxo Professional Magnifying Clamp-On Fluorescent Lamps"/>
    <n v="332.83199999999999"/>
    <n v="4"/>
    <n v="-24.962399999999999"/>
    <x v="3"/>
    <x v="1"/>
  </r>
  <r>
    <x v="1144"/>
    <x v="102"/>
    <m/>
    <n v="42997"/>
    <x v="1"/>
    <s v="RD-19480"/>
    <s v="Rick Duston"/>
    <x v="0"/>
    <s v="United States"/>
    <x v="28"/>
    <x v="2"/>
    <x v="1"/>
    <s v="FUR-CH-10002961"/>
    <s v="Furniture"/>
    <x v="1"/>
    <s v="Leather Task Chair, Black"/>
    <n v="218.352"/>
    <n v="3"/>
    <n v="0"/>
    <x v="4"/>
    <x v="4"/>
  </r>
  <r>
    <x v="1144"/>
    <x v="102"/>
    <m/>
    <n v="42997"/>
    <x v="1"/>
    <s v="RD-19480"/>
    <s v="Rick Duston"/>
    <x v="0"/>
    <s v="United States"/>
    <x v="28"/>
    <x v="2"/>
    <x v="1"/>
    <s v="FUR-FU-10001488"/>
    <s v="Furniture"/>
    <x v="3"/>
    <s v="Tenex 46&quot; x 60&quot; Computer Anti-Static Chairmat, Rectangular Shaped"/>
    <n v="529.9"/>
    <n v="5"/>
    <n v="105.98"/>
    <x v="4"/>
    <x v="4"/>
  </r>
  <r>
    <x v="1145"/>
    <x v="623"/>
    <m/>
    <n v="42753"/>
    <x v="0"/>
    <s v="AR-10540"/>
    <s v="Andy Reiter"/>
    <x v="0"/>
    <s v="United States"/>
    <x v="38"/>
    <x v="17"/>
    <x v="3"/>
    <s v="FUR-CH-10004626"/>
    <s v="Furniture"/>
    <x v="1"/>
    <s v="Office Star Flex Back Scooter Chair with Aluminum Finish Frame"/>
    <n v="302.67"/>
    <n v="3"/>
    <n v="72.640799999999999"/>
    <x v="3"/>
    <x v="8"/>
  </r>
  <r>
    <x v="1146"/>
    <x v="317"/>
    <m/>
    <n v="41965"/>
    <x v="1"/>
    <s v="GT-14710"/>
    <s v="Greg Tran"/>
    <x v="0"/>
    <s v="United States"/>
    <x v="252"/>
    <x v="7"/>
    <x v="2"/>
    <s v="FUR-BO-10002213"/>
    <s v="Furniture"/>
    <x v="0"/>
    <s v="DMI Eclipse Executive Suite Bookcases"/>
    <n v="4007.84"/>
    <n v="10"/>
    <n v="-50.097999999999999"/>
    <x v="2"/>
    <x v="0"/>
  </r>
  <r>
    <x v="1147"/>
    <x v="715"/>
    <m/>
    <n v="41935"/>
    <x v="2"/>
    <s v="FH-14365"/>
    <s v="Fred Hopkins"/>
    <x v="1"/>
    <s v="United States"/>
    <x v="270"/>
    <x v="9"/>
    <x v="0"/>
    <s v="FUR-TA-10003008"/>
    <s v="Furniture"/>
    <x v="2"/>
    <s v="Lesro Round Back Collection Coffee Table, End Table"/>
    <n v="328.59"/>
    <n v="3"/>
    <n v="-147.8655"/>
    <x v="0"/>
    <x v="1"/>
  </r>
  <r>
    <x v="1148"/>
    <x v="551"/>
    <m/>
    <n v="42307"/>
    <x v="1"/>
    <s v="HK-14890"/>
    <s v="Heather Kirkland"/>
    <x v="1"/>
    <s v="United States"/>
    <x v="19"/>
    <x v="14"/>
    <x v="2"/>
    <s v="FUR-CH-10002439"/>
    <s v="Furniture"/>
    <x v="1"/>
    <s v="Iceberg Nesting Folding Chair, 19w x 6d x 43h"/>
    <n v="291.10000000000002"/>
    <n v="5"/>
    <n v="75.686000000000007"/>
    <x v="2"/>
    <x v="1"/>
  </r>
  <r>
    <x v="1149"/>
    <x v="716"/>
    <m/>
    <n v="43058"/>
    <x v="2"/>
    <s v="CC-12220"/>
    <s v="Chris Cortes"/>
    <x v="0"/>
    <s v="United States"/>
    <x v="15"/>
    <x v="13"/>
    <x v="1"/>
    <s v="FUR-FU-10003394"/>
    <s v="Furniture"/>
    <x v="3"/>
    <s v="Tenex &quot;The Solids&quot; Textured Chair Mats"/>
    <n v="139.91999999999999"/>
    <n v="2"/>
    <n v="23.7864"/>
    <x v="0"/>
    <x v="0"/>
  </r>
  <r>
    <x v="1150"/>
    <x v="29"/>
    <m/>
    <n v="41703"/>
    <x v="1"/>
    <s v="VF-21715"/>
    <s v="Vicky Freymann"/>
    <x v="2"/>
    <s v="United States"/>
    <x v="302"/>
    <x v="8"/>
    <x v="3"/>
    <s v="FUR-CH-10000863"/>
    <s v="Furniture"/>
    <x v="1"/>
    <s v="Novimex Swivel Fabric Task Chair"/>
    <n v="634.11599999999999"/>
    <n v="6"/>
    <n v="-172.1172"/>
    <x v="4"/>
    <x v="9"/>
  </r>
  <r>
    <x v="1151"/>
    <x v="45"/>
    <m/>
    <n v="42217"/>
    <x v="2"/>
    <s v="GH-14410"/>
    <s v="Gary Hansen"/>
    <x v="2"/>
    <s v="United States"/>
    <x v="27"/>
    <x v="11"/>
    <x v="3"/>
    <s v="FUR-CH-10002304"/>
    <s v="Furniture"/>
    <x v="1"/>
    <s v="Global Stack Chair without Arms, Black"/>
    <n v="155.88"/>
    <n v="6"/>
    <n v="38.97"/>
    <x v="3"/>
    <x v="3"/>
  </r>
  <r>
    <x v="1152"/>
    <x v="341"/>
    <m/>
    <n v="42311"/>
    <x v="0"/>
    <s v="JH-16180"/>
    <s v="Justin Hirsh"/>
    <x v="0"/>
    <s v="United States"/>
    <x v="13"/>
    <x v="7"/>
    <x v="2"/>
    <s v="FUR-CH-10000422"/>
    <s v="Furniture"/>
    <x v="1"/>
    <s v="Global Highback Leather Tilter in Burgundy"/>
    <n v="327.56400000000002"/>
    <n v="4"/>
    <n v="21.837599999999998"/>
    <x v="3"/>
    <x v="0"/>
  </r>
  <r>
    <x v="1153"/>
    <x v="717"/>
    <m/>
    <n v="42165"/>
    <x v="1"/>
    <s v="EB-13750"/>
    <s v="Edward Becker"/>
    <x v="1"/>
    <s v="United States"/>
    <x v="252"/>
    <x v="7"/>
    <x v="2"/>
    <s v="FUR-CH-10004997"/>
    <s v="Furniture"/>
    <x v="1"/>
    <s v="Hon Every-Day Series Multi-Task Chairs"/>
    <n v="1522.6379999999999"/>
    <n v="9"/>
    <n v="169.18199999999999"/>
    <x v="2"/>
    <x v="2"/>
  </r>
  <r>
    <x v="1154"/>
    <x v="718"/>
    <m/>
    <n v="41771"/>
    <x v="1"/>
    <s v="CT-11995"/>
    <s v="Carol Triggs"/>
    <x v="0"/>
    <s v="United States"/>
    <x v="37"/>
    <x v="20"/>
    <x v="2"/>
    <s v="FUR-TA-10003469"/>
    <s v="Furniture"/>
    <x v="2"/>
    <s v="Balt Split Level Computer Training Table"/>
    <n v="194.25"/>
    <n v="2"/>
    <n v="-38.85"/>
    <x v="2"/>
    <x v="7"/>
  </r>
  <r>
    <x v="1154"/>
    <x v="718"/>
    <m/>
    <n v="41771"/>
    <x v="1"/>
    <s v="CT-11995"/>
    <s v="Carol Triggs"/>
    <x v="0"/>
    <s v="United States"/>
    <x v="37"/>
    <x v="20"/>
    <x v="2"/>
    <s v="FUR-CH-10004675"/>
    <s v="Furniture"/>
    <x v="1"/>
    <s v="Lifetime Advantage Folding Chairs, 4/Carton"/>
    <n v="872.32"/>
    <n v="4"/>
    <n v="244.24959999999999"/>
    <x v="2"/>
    <x v="7"/>
  </r>
  <r>
    <x v="1155"/>
    <x v="719"/>
    <m/>
    <n v="41751"/>
    <x v="1"/>
    <s v="KM-16720"/>
    <s v="Kunst Miller"/>
    <x v="0"/>
    <s v="United States"/>
    <x v="6"/>
    <x v="5"/>
    <x v="3"/>
    <s v="FUR-CH-10002602"/>
    <s v="Furniture"/>
    <x v="1"/>
    <s v="DMI Arturo Collection Mission-style Design Wood Chair"/>
    <n v="317.05799999999999"/>
    <n v="3"/>
    <n v="-18.117599999999999"/>
    <x v="4"/>
    <x v="6"/>
  </r>
  <r>
    <x v="1156"/>
    <x v="470"/>
    <m/>
    <n v="42802"/>
    <x v="1"/>
    <s v="EJ-13720"/>
    <s v="Ed Jacobs"/>
    <x v="0"/>
    <s v="United States"/>
    <x v="2"/>
    <x v="2"/>
    <x v="1"/>
    <s v="FUR-CH-10003968"/>
    <s v="Furniture"/>
    <x v="1"/>
    <s v="Novimex Turbo Task Chair"/>
    <n v="170.352"/>
    <n v="3"/>
    <n v="-17.0352"/>
    <x v="2"/>
    <x v="9"/>
  </r>
  <r>
    <x v="1157"/>
    <x v="148"/>
    <m/>
    <n v="42665"/>
    <x v="3"/>
    <s v="MS-17530"/>
    <s v="MaryBeth Skach"/>
    <x v="0"/>
    <s v="United States"/>
    <x v="15"/>
    <x v="13"/>
    <x v="1"/>
    <s v="FUR-FU-10003095"/>
    <s v="Furniture"/>
    <x v="3"/>
    <s v="Linden 12&quot; Wall Clock With Oak Frame"/>
    <n v="101.94"/>
    <n v="3"/>
    <n v="30.582000000000001"/>
    <x v="7"/>
    <x v="1"/>
  </r>
  <r>
    <x v="1158"/>
    <x v="720"/>
    <m/>
    <n v="42943"/>
    <x v="1"/>
    <s v="AM-10705"/>
    <s v="Anne McFarland"/>
    <x v="0"/>
    <s v="United States"/>
    <x v="279"/>
    <x v="25"/>
    <x v="0"/>
    <s v="FUR-FU-10003274"/>
    <s v="Furniture"/>
    <x v="3"/>
    <s v="Regeneration Desk Collection"/>
    <n v="8.8000000000000007"/>
    <n v="5"/>
    <n v="3.8719999999999999"/>
    <x v="6"/>
    <x v="3"/>
  </r>
  <r>
    <x v="1158"/>
    <x v="720"/>
    <m/>
    <n v="42943"/>
    <x v="1"/>
    <s v="AM-10705"/>
    <s v="Anne McFarland"/>
    <x v="0"/>
    <s v="United States"/>
    <x v="279"/>
    <x v="25"/>
    <x v="0"/>
    <s v="FUR-BO-10003441"/>
    <s v="Furniture"/>
    <x v="0"/>
    <s v="Bush Westfield Collection Bookcases, Fully Assembled"/>
    <n v="302.94"/>
    <n v="3"/>
    <n v="69.676199999999994"/>
    <x v="6"/>
    <x v="3"/>
  </r>
  <r>
    <x v="1159"/>
    <x v="116"/>
    <m/>
    <n v="41980"/>
    <x v="1"/>
    <s v="ON-18715"/>
    <s v="Odella Nelson"/>
    <x v="1"/>
    <s v="United States"/>
    <x v="218"/>
    <x v="32"/>
    <x v="2"/>
    <s v="FUR-FU-10003849"/>
    <s v="Furniture"/>
    <x v="3"/>
    <s v="DAX Metal Frame, Desktop, Stepped-Edge"/>
    <n v="60.72"/>
    <n v="3"/>
    <n v="23.680800000000001"/>
    <x v="2"/>
    <x v="5"/>
  </r>
  <r>
    <x v="1159"/>
    <x v="116"/>
    <m/>
    <n v="41980"/>
    <x v="1"/>
    <s v="ON-18715"/>
    <s v="Odella Nelson"/>
    <x v="1"/>
    <s v="United States"/>
    <x v="218"/>
    <x v="32"/>
    <x v="2"/>
    <s v="FUR-CH-10004754"/>
    <s v="Furniture"/>
    <x v="1"/>
    <s v="Global Stack Chair with Arms, Black"/>
    <n v="239.84"/>
    <n v="8"/>
    <n v="64.756799999999998"/>
    <x v="2"/>
    <x v="5"/>
  </r>
  <r>
    <x v="1160"/>
    <x v="205"/>
    <m/>
    <n v="42521"/>
    <x v="1"/>
    <s v="SV-20785"/>
    <s v="Stewart Visinsky"/>
    <x v="0"/>
    <s v="United States"/>
    <x v="72"/>
    <x v="2"/>
    <x v="1"/>
    <s v="FUR-CH-10004860"/>
    <s v="Furniture"/>
    <x v="1"/>
    <s v="Global Low Back Tilter Chair"/>
    <n v="484.70400000000001"/>
    <n v="6"/>
    <n v="-84.8232"/>
    <x v="2"/>
    <x v="7"/>
  </r>
  <r>
    <x v="1161"/>
    <x v="721"/>
    <m/>
    <n v="42122"/>
    <x v="1"/>
    <s v="JK-16090"/>
    <s v="Juliana Krohn"/>
    <x v="0"/>
    <s v="United States"/>
    <x v="74"/>
    <x v="0"/>
    <x v="0"/>
    <s v="FUR-CH-10001891"/>
    <s v="Furniture"/>
    <x v="1"/>
    <s v="Global Deluxe Office Fabric Chairs"/>
    <n v="191.96"/>
    <n v="2"/>
    <n v="51.8292"/>
    <x v="1"/>
    <x v="6"/>
  </r>
  <r>
    <x v="1161"/>
    <x v="721"/>
    <m/>
    <n v="42122"/>
    <x v="1"/>
    <s v="JK-16090"/>
    <s v="Juliana Krohn"/>
    <x v="0"/>
    <s v="United States"/>
    <x v="74"/>
    <x v="0"/>
    <x v="0"/>
    <s v="FUR-FU-10003394"/>
    <s v="Furniture"/>
    <x v="3"/>
    <s v="Tenex &quot;The Solids&quot; Textured Chair Mats"/>
    <n v="209.88"/>
    <n v="3"/>
    <n v="35.679600000000001"/>
    <x v="1"/>
    <x v="6"/>
  </r>
  <r>
    <x v="1162"/>
    <x v="9"/>
    <m/>
    <n v="42540"/>
    <x v="2"/>
    <s v="MV-18190"/>
    <s v="Mike Vittorini"/>
    <x v="0"/>
    <s v="United States"/>
    <x v="2"/>
    <x v="2"/>
    <x v="1"/>
    <s v="FUR-BO-10004218"/>
    <s v="Furniture"/>
    <x v="0"/>
    <s v="Bush Heritage Pine Collection 5-Shelf Bookcase, Albany Pine Finish, *Special Order"/>
    <n v="239.666"/>
    <n v="2"/>
    <n v="14.098000000000001"/>
    <x v="3"/>
    <x v="2"/>
  </r>
  <r>
    <x v="1163"/>
    <x v="722"/>
    <m/>
    <n v="42753"/>
    <x v="0"/>
    <s v="CP-12085"/>
    <s v="Cathy Prescott"/>
    <x v="1"/>
    <s v="United States"/>
    <x v="76"/>
    <x v="23"/>
    <x v="3"/>
    <s v="FUR-BO-10001608"/>
    <s v="Furniture"/>
    <x v="0"/>
    <s v="Hon Metal Bookcases, Black"/>
    <n v="212.94"/>
    <n v="3"/>
    <n v="53.234999999999999"/>
    <x v="2"/>
    <x v="8"/>
  </r>
  <r>
    <x v="1164"/>
    <x v="723"/>
    <m/>
    <n v="41891"/>
    <x v="2"/>
    <s v="VP-21760"/>
    <s v="Victoria Pisteka"/>
    <x v="1"/>
    <s v="United States"/>
    <x v="28"/>
    <x v="2"/>
    <x v="1"/>
    <s v="FUR-FU-10001487"/>
    <s v="Furniture"/>
    <x v="3"/>
    <s v="Eldon Expressions Wood and Plastic Desk Accessories, Cherry Wood"/>
    <n v="41.88"/>
    <n v="6"/>
    <n v="12.145200000000001"/>
    <x v="0"/>
    <x v="4"/>
  </r>
  <r>
    <x v="1165"/>
    <x v="724"/>
    <m/>
    <n v="42027"/>
    <x v="1"/>
    <s v="PM-18940"/>
    <s v="Paul MacIntyre"/>
    <x v="0"/>
    <s v="United States"/>
    <x v="303"/>
    <x v="5"/>
    <x v="3"/>
    <s v="FUR-TA-10002855"/>
    <s v="Furniture"/>
    <x v="2"/>
    <s v="Bevis Round Conference Table Top &amp; Single Column Base"/>
    <n v="102.438"/>
    <n v="1"/>
    <n v="-13.1706"/>
    <x v="4"/>
    <x v="8"/>
  </r>
  <r>
    <x v="1165"/>
    <x v="724"/>
    <m/>
    <n v="42027"/>
    <x v="1"/>
    <s v="PM-18940"/>
    <s v="Paul MacIntyre"/>
    <x v="0"/>
    <s v="United States"/>
    <x v="303"/>
    <x v="5"/>
    <x v="3"/>
    <s v="FUR-CH-10004875"/>
    <s v="Furniture"/>
    <x v="1"/>
    <s v="Harbour Creations 67200 Series Stacking Chairs"/>
    <n v="199.304"/>
    <n v="4"/>
    <n v="-8.5416000000000007"/>
    <x v="4"/>
    <x v="8"/>
  </r>
  <r>
    <x v="1166"/>
    <x v="683"/>
    <m/>
    <n v="42734"/>
    <x v="1"/>
    <s v="JE-15715"/>
    <s v="Joe Elijah"/>
    <x v="0"/>
    <s v="United States"/>
    <x v="15"/>
    <x v="13"/>
    <x v="1"/>
    <s v="FUR-CH-10000847"/>
    <s v="Furniture"/>
    <x v="1"/>
    <s v="Global Executive Mid-Back Manager's Chair"/>
    <n v="698.35199999999998"/>
    <n v="3"/>
    <n v="52.376399999999997"/>
    <x v="2"/>
    <x v="5"/>
  </r>
  <r>
    <x v="1166"/>
    <x v="683"/>
    <m/>
    <n v="42734"/>
    <x v="1"/>
    <s v="JE-15715"/>
    <s v="Joe Elijah"/>
    <x v="0"/>
    <s v="United States"/>
    <x v="15"/>
    <x v="13"/>
    <x v="1"/>
    <s v="FUR-TA-10001307"/>
    <s v="Furniture"/>
    <x v="2"/>
    <s v="SAFCO PlanMaster Heigh-Adjustable Drafting Table Base, 43w x 30d x 30-37h, Black"/>
    <n v="1747.25"/>
    <n v="5"/>
    <n v="629.01"/>
    <x v="2"/>
    <x v="5"/>
  </r>
  <r>
    <x v="1167"/>
    <x v="314"/>
    <m/>
    <n v="41945"/>
    <x v="0"/>
    <s v="AJ-10780"/>
    <s v="Anthony Jacobs"/>
    <x v="1"/>
    <s v="United States"/>
    <x v="75"/>
    <x v="15"/>
    <x v="2"/>
    <s v="FUR-TA-10003954"/>
    <s v="Furniture"/>
    <x v="2"/>
    <s v="Hon 94000 Series Round Tables"/>
    <n v="1421.664"/>
    <n v="8"/>
    <n v="-734.52639999999997"/>
    <x v="3"/>
    <x v="1"/>
  </r>
  <r>
    <x v="1168"/>
    <x v="120"/>
    <m/>
    <n v="42725"/>
    <x v="1"/>
    <s v="MP-18175"/>
    <s v="Mike Pelletier"/>
    <x v="2"/>
    <s v="United States"/>
    <x v="76"/>
    <x v="36"/>
    <x v="1"/>
    <s v="FUR-TA-10003473"/>
    <s v="Furniture"/>
    <x v="2"/>
    <s v="Bretford Rectangular Conference Table Tops"/>
    <n v="564.19500000000005"/>
    <n v="3"/>
    <n v="-304.6653"/>
    <x v="6"/>
    <x v="5"/>
  </r>
  <r>
    <x v="1169"/>
    <x v="272"/>
    <m/>
    <n v="42989"/>
    <x v="2"/>
    <s v="BF-11020"/>
    <s v="Barry FranzÅ¡sisch"/>
    <x v="1"/>
    <s v="United States"/>
    <x v="58"/>
    <x v="5"/>
    <x v="3"/>
    <s v="FUR-FU-10001095"/>
    <s v="Furniture"/>
    <x v="3"/>
    <s v="DAX Black Cherry Wood-Tone Poster Frame"/>
    <n v="21.184000000000001"/>
    <n v="2"/>
    <n v="-11.651199999999999"/>
    <x v="0"/>
    <x v="4"/>
  </r>
  <r>
    <x v="1169"/>
    <x v="272"/>
    <m/>
    <n v="42989"/>
    <x v="2"/>
    <s v="BF-11020"/>
    <s v="Barry FranzÅ¡sisch"/>
    <x v="1"/>
    <s v="United States"/>
    <x v="58"/>
    <x v="5"/>
    <x v="3"/>
    <s v="FUR-CH-10003535"/>
    <s v="Furniture"/>
    <x v="1"/>
    <s v="Global Armless Task Chair, Royal Blue"/>
    <n v="213.43"/>
    <n v="5"/>
    <n v="-39.637"/>
    <x v="0"/>
    <x v="4"/>
  </r>
  <r>
    <x v="1170"/>
    <x v="134"/>
    <m/>
    <n v="42793"/>
    <x v="1"/>
    <s v="KM-16375"/>
    <s v="Katherine Murray"/>
    <x v="2"/>
    <s v="United States"/>
    <x v="171"/>
    <x v="22"/>
    <x v="1"/>
    <s v="FUR-FU-10002253"/>
    <s v="Furniture"/>
    <x v="3"/>
    <s v="Howard Miller 13&quot; Diameter Pewter Finish Round Wall Clock"/>
    <n v="68.703999999999994"/>
    <n v="2"/>
    <n v="16.3172"/>
    <x v="1"/>
    <x v="11"/>
  </r>
  <r>
    <x v="1170"/>
    <x v="134"/>
    <m/>
    <n v="42793"/>
    <x v="1"/>
    <s v="KM-16375"/>
    <s v="Katherine Murray"/>
    <x v="2"/>
    <s v="United States"/>
    <x v="171"/>
    <x v="22"/>
    <x v="1"/>
    <s v="FUR-TA-10001039"/>
    <s v="Furniture"/>
    <x v="2"/>
    <s v="KI Adjustable-Height Table"/>
    <n v="386.91"/>
    <n v="9"/>
    <n v="-185.71680000000001"/>
    <x v="1"/>
    <x v="11"/>
  </r>
  <r>
    <x v="1171"/>
    <x v="725"/>
    <m/>
    <n v="43040"/>
    <x v="1"/>
    <s v="OT-18730"/>
    <s v="Olvera Toch"/>
    <x v="0"/>
    <s v="United States"/>
    <x v="304"/>
    <x v="25"/>
    <x v="0"/>
    <s v="FUR-TA-10001520"/>
    <s v="Furniture"/>
    <x v="2"/>
    <s v="Lesro Sheffield Collection Coffee Table, End Table, Center Table, Corner Table"/>
    <n v="356.85"/>
    <n v="5"/>
    <n v="60.664499999999997"/>
    <x v="6"/>
    <x v="1"/>
  </r>
  <r>
    <x v="1172"/>
    <x v="666"/>
    <m/>
    <n v="42869"/>
    <x v="0"/>
    <s v="CA-12775"/>
    <s v="Cynthia Arntzen"/>
    <x v="0"/>
    <s v="United States"/>
    <x v="109"/>
    <x v="18"/>
    <x v="2"/>
    <s v="FUR-FU-10000719"/>
    <s v="Furniture"/>
    <x v="3"/>
    <s v="DAX Cubicle Frames, 8-1/2 x 11"/>
    <n v="42.85"/>
    <n v="5"/>
    <n v="15.426"/>
    <x v="3"/>
    <x v="7"/>
  </r>
  <r>
    <x v="1173"/>
    <x v="278"/>
    <m/>
    <n v="42259"/>
    <x v="1"/>
    <s v="TW-21025"/>
    <s v="Tamara Willingham"/>
    <x v="2"/>
    <s v="United States"/>
    <x v="305"/>
    <x v="25"/>
    <x v="0"/>
    <s v="FUR-FU-10000820"/>
    <s v="Furniture"/>
    <x v="3"/>
    <s v="Tensor Brushed Steel Torchiere Floor Lamp"/>
    <n v="67.959999999999994"/>
    <n v="4"/>
    <n v="12.232799999999999"/>
    <x v="1"/>
    <x v="4"/>
  </r>
  <r>
    <x v="1174"/>
    <x v="567"/>
    <m/>
    <n v="41926"/>
    <x v="1"/>
    <s v="SD-20485"/>
    <s v="Shirley Daniels"/>
    <x v="2"/>
    <s v="United States"/>
    <x v="43"/>
    <x v="22"/>
    <x v="1"/>
    <s v="FUR-FU-10003724"/>
    <s v="Furniture"/>
    <x v="3"/>
    <s v="Westinghouse Clip-On Gooseneck Lamps"/>
    <n v="46.872"/>
    <n v="7"/>
    <n v="3.5154000000000001"/>
    <x v="4"/>
    <x v="1"/>
  </r>
  <r>
    <x v="1175"/>
    <x v="726"/>
    <m/>
    <n v="41953"/>
    <x v="1"/>
    <s v="DE-13255"/>
    <s v="Deanra Eno"/>
    <x v="2"/>
    <s v="United States"/>
    <x v="2"/>
    <x v="2"/>
    <x v="1"/>
    <s v="FUR-FU-10000320"/>
    <s v="Furniture"/>
    <x v="3"/>
    <s v="OIC Stacking Trays"/>
    <n v="20.04"/>
    <n v="6"/>
    <n v="8.8176000000000005"/>
    <x v="2"/>
    <x v="0"/>
  </r>
  <r>
    <x v="1176"/>
    <x v="584"/>
    <m/>
    <n v="42360"/>
    <x v="1"/>
    <s v="MC-18100"/>
    <s v="Mick Crebagga"/>
    <x v="0"/>
    <s v="United States"/>
    <x v="17"/>
    <x v="8"/>
    <x v="3"/>
    <s v="FUR-FU-10000965"/>
    <s v="Furniture"/>
    <x v="3"/>
    <s v="Howard Miller 11-1/2&quot; Diameter Ridgewood Wall Clock"/>
    <n v="41.552"/>
    <n v="2"/>
    <n v="-19.737200000000001"/>
    <x v="2"/>
    <x v="5"/>
  </r>
  <r>
    <x v="1177"/>
    <x v="720"/>
    <m/>
    <n v="42941"/>
    <x v="1"/>
    <s v="SW-20455"/>
    <s v="Shaun Weien"/>
    <x v="0"/>
    <s v="United States"/>
    <x v="53"/>
    <x v="2"/>
    <x v="1"/>
    <s v="FUR-CH-10000988"/>
    <s v="Furniture"/>
    <x v="1"/>
    <s v="Hon Olson Stacker Stools"/>
    <n v="225.29599999999999"/>
    <n v="2"/>
    <n v="22.529599999999999"/>
    <x v="4"/>
    <x v="3"/>
  </r>
  <r>
    <x v="1178"/>
    <x v="727"/>
    <m/>
    <n v="42148"/>
    <x v="1"/>
    <s v="SG-20470"/>
    <s v="Sheri Gordon"/>
    <x v="0"/>
    <s v="United States"/>
    <x v="306"/>
    <x v="30"/>
    <x v="0"/>
    <s v="FUR-FU-10001986"/>
    <s v="Furniture"/>
    <x v="3"/>
    <s v="Dana Fluorescent Magnifying Lamp, White, 36&quot;"/>
    <n v="163.136"/>
    <n v="4"/>
    <n v="20.391999999999999"/>
    <x v="4"/>
    <x v="7"/>
  </r>
  <r>
    <x v="1179"/>
    <x v="502"/>
    <m/>
    <n v="42327"/>
    <x v="1"/>
    <s v="GZ-14470"/>
    <s v="Gary Zandusky"/>
    <x v="0"/>
    <s v="United States"/>
    <x v="307"/>
    <x v="41"/>
    <x v="1"/>
    <s v="FUR-CH-10004287"/>
    <s v="Furniture"/>
    <x v="1"/>
    <s v="SAFCO Arco Folding Chair"/>
    <n v="883.84"/>
    <n v="4"/>
    <n v="99.432000000000002"/>
    <x v="2"/>
    <x v="0"/>
  </r>
  <r>
    <x v="1179"/>
    <x v="502"/>
    <m/>
    <n v="42327"/>
    <x v="1"/>
    <s v="GZ-14470"/>
    <s v="Gary Zandusky"/>
    <x v="0"/>
    <s v="United States"/>
    <x v="307"/>
    <x v="41"/>
    <x v="1"/>
    <s v="FUR-CH-10001891"/>
    <s v="Furniture"/>
    <x v="1"/>
    <s v="Global Deluxe Office Fabric Chairs"/>
    <n v="230.352"/>
    <n v="3"/>
    <n v="20.155799999999999"/>
    <x v="2"/>
    <x v="0"/>
  </r>
  <r>
    <x v="1180"/>
    <x v="417"/>
    <m/>
    <n v="43083"/>
    <x v="3"/>
    <s v="DB-13060"/>
    <s v="Dave Brooks"/>
    <x v="0"/>
    <s v="United States"/>
    <x v="187"/>
    <x v="8"/>
    <x v="3"/>
    <s v="FUR-FU-10002298"/>
    <s v="Furniture"/>
    <x v="3"/>
    <s v="Rubbermaid ClusterMat Chairmats, Mat Size- 66&quot; x 60&quot;, Lip 20&quot; x 11&quot; -90 Degree Angle"/>
    <n v="266.35199999999998"/>
    <n v="6"/>
    <n v="-292.98719999999997"/>
    <x v="7"/>
    <x v="5"/>
  </r>
  <r>
    <x v="1180"/>
    <x v="417"/>
    <m/>
    <n v="43083"/>
    <x v="3"/>
    <s v="DB-13060"/>
    <s v="Dave Brooks"/>
    <x v="0"/>
    <s v="United States"/>
    <x v="187"/>
    <x v="8"/>
    <x v="3"/>
    <s v="FUR-FU-10004091"/>
    <s v="Furniture"/>
    <x v="3"/>
    <s v="Howard Miller 13&quot; Diameter Goldtone Round Wall Clock"/>
    <n v="56.328000000000003"/>
    <n v="3"/>
    <n v="-26.755800000000001"/>
    <x v="7"/>
    <x v="5"/>
  </r>
  <r>
    <x v="1181"/>
    <x v="57"/>
    <m/>
    <n v="42475"/>
    <x v="1"/>
    <s v="CK-12325"/>
    <s v="Christine Kargatis"/>
    <x v="2"/>
    <s v="United States"/>
    <x v="308"/>
    <x v="31"/>
    <x v="0"/>
    <s v="FUR-FU-10003268"/>
    <s v="Furniture"/>
    <x v="3"/>
    <s v="Eldon Radial Chair Mat for Low to Medium Pile Carpets"/>
    <n v="159.91999999999999"/>
    <n v="4"/>
    <n v="31.984000000000002"/>
    <x v="1"/>
    <x v="6"/>
  </r>
  <r>
    <x v="1182"/>
    <x v="114"/>
    <m/>
    <n v="42683"/>
    <x v="1"/>
    <s v="MF-17665"/>
    <s v="Maureen Fritzler"/>
    <x v="1"/>
    <s v="United States"/>
    <x v="89"/>
    <x v="1"/>
    <x v="0"/>
    <s v="FUR-FU-10001889"/>
    <s v="Furniture"/>
    <x v="3"/>
    <s v="Ultra Door Pull Handle"/>
    <n v="50.496000000000002"/>
    <n v="6"/>
    <n v="8.2056000000000004"/>
    <x v="2"/>
    <x v="0"/>
  </r>
  <r>
    <x v="1183"/>
    <x v="311"/>
    <m/>
    <n v="42175"/>
    <x v="2"/>
    <s v="BV-11245"/>
    <s v="Benjamin Venier"/>
    <x v="1"/>
    <s v="United States"/>
    <x v="107"/>
    <x v="9"/>
    <x v="0"/>
    <s v="FUR-CH-10002965"/>
    <s v="Furniture"/>
    <x v="1"/>
    <s v="Global Leather Highback Executive Chair with Pneumatic Height Adjustment, Black"/>
    <n v="643.13599999999997"/>
    <n v="4"/>
    <n v="56.2744"/>
    <x v="3"/>
    <x v="2"/>
  </r>
  <r>
    <x v="1184"/>
    <x v="261"/>
    <m/>
    <n v="41790"/>
    <x v="1"/>
    <s v="MM-18055"/>
    <s v="Michelle Moray"/>
    <x v="0"/>
    <s v="United States"/>
    <x v="9"/>
    <x v="8"/>
    <x v="3"/>
    <s v="FUR-CH-10003981"/>
    <s v="Furniture"/>
    <x v="1"/>
    <s v="Global Commerce Series Low-Back Swivel/Tilt Chairs"/>
    <n v="359.77199999999999"/>
    <n v="2"/>
    <n v="-5.1395999999999997"/>
    <x v="2"/>
    <x v="7"/>
  </r>
  <r>
    <x v="1185"/>
    <x v="682"/>
    <m/>
    <n v="42927"/>
    <x v="1"/>
    <s v="PO-18850"/>
    <s v="Patrick O'Brill"/>
    <x v="0"/>
    <s v="United States"/>
    <x v="2"/>
    <x v="2"/>
    <x v="1"/>
    <s v="FUR-CH-10001146"/>
    <s v="Furniture"/>
    <x v="1"/>
    <s v="Global Task Chair, Black"/>
    <n v="122.136"/>
    <n v="3"/>
    <n v="-13.7403"/>
    <x v="2"/>
    <x v="3"/>
  </r>
  <r>
    <x v="1186"/>
    <x v="728"/>
    <m/>
    <n v="42551"/>
    <x v="0"/>
    <s v="BP-11155"/>
    <s v="Becky Pak"/>
    <x v="0"/>
    <s v="United States"/>
    <x v="309"/>
    <x v="18"/>
    <x v="2"/>
    <s v="FUR-CH-10003535"/>
    <s v="Furniture"/>
    <x v="1"/>
    <s v="Global Armless Task Chair, Royal Blue"/>
    <n v="121.96"/>
    <n v="2"/>
    <n v="20.7332"/>
    <x v="3"/>
    <x v="2"/>
  </r>
  <r>
    <x v="1187"/>
    <x v="102"/>
    <m/>
    <n v="42997"/>
    <x v="1"/>
    <s v="TC-21145"/>
    <s v="Theresa Coyne"/>
    <x v="1"/>
    <s v="United States"/>
    <x v="174"/>
    <x v="18"/>
    <x v="2"/>
    <s v="FUR-FU-10002445"/>
    <s v="Furniture"/>
    <x v="3"/>
    <s v="DAX Two-Tone Rosewood/Black Document Frame, Desktop, 5 x 7"/>
    <n v="47.4"/>
    <n v="5"/>
    <n v="18.96"/>
    <x v="4"/>
    <x v="4"/>
  </r>
  <r>
    <x v="1187"/>
    <x v="102"/>
    <m/>
    <n v="42997"/>
    <x v="1"/>
    <s v="TC-21145"/>
    <s v="Theresa Coyne"/>
    <x v="1"/>
    <s v="United States"/>
    <x v="174"/>
    <x v="18"/>
    <x v="2"/>
    <s v="FUR-CH-10003606"/>
    <s v="Furniture"/>
    <x v="1"/>
    <s v="SAFCO Folding Chair Trolley"/>
    <n v="512.96"/>
    <n v="4"/>
    <n v="143.62880000000001"/>
    <x v="4"/>
    <x v="4"/>
  </r>
  <r>
    <x v="1188"/>
    <x v="729"/>
    <m/>
    <n v="42577"/>
    <x v="0"/>
    <s v="DB-12970"/>
    <s v="Darren Budd"/>
    <x v="1"/>
    <s v="United States"/>
    <x v="13"/>
    <x v="7"/>
    <x v="2"/>
    <s v="FUR-CH-10001708"/>
    <s v="Furniture"/>
    <x v="1"/>
    <s v="Office Star - Contemporary Swivel Chair with Padded Adjustable Arms and Flex Back"/>
    <n v="253.76400000000001"/>
    <n v="2"/>
    <n v="31.015599999999999"/>
    <x v="3"/>
    <x v="3"/>
  </r>
  <r>
    <x v="1189"/>
    <x v="333"/>
    <m/>
    <n v="42849"/>
    <x v="1"/>
    <s v="SJ-20215"/>
    <s v="Sarah Jordon"/>
    <x v="0"/>
    <s v="United States"/>
    <x v="9"/>
    <x v="8"/>
    <x v="3"/>
    <s v="FUR-CH-10002602"/>
    <s v="Furniture"/>
    <x v="1"/>
    <s v="DMI Arturo Collection Mission-style Design Wood Chair"/>
    <n v="317.05799999999999"/>
    <n v="3"/>
    <n v="-18.117599999999999"/>
    <x v="4"/>
    <x v="6"/>
  </r>
  <r>
    <x v="1189"/>
    <x v="333"/>
    <m/>
    <n v="42849"/>
    <x v="1"/>
    <s v="SJ-20215"/>
    <s v="Sarah Jordon"/>
    <x v="0"/>
    <s v="United States"/>
    <x v="9"/>
    <x v="8"/>
    <x v="3"/>
    <s v="FUR-FU-10002456"/>
    <s v="Furniture"/>
    <x v="3"/>
    <s v="Master Caster Door Stop, Large Neon Orange"/>
    <n v="14.56"/>
    <n v="5"/>
    <n v="-6.1879999999999997"/>
    <x v="4"/>
    <x v="6"/>
  </r>
  <r>
    <x v="1190"/>
    <x v="222"/>
    <m/>
    <n v="42621"/>
    <x v="0"/>
    <s v="HF-14995"/>
    <s v="Herbert Flentye"/>
    <x v="0"/>
    <s v="United States"/>
    <x v="237"/>
    <x v="32"/>
    <x v="2"/>
    <s v="FUR-BO-10003159"/>
    <s v="Furniture"/>
    <x v="0"/>
    <s v="Sauder Camden County Collection Libraries, Planked Cherry Finish"/>
    <n v="344.94"/>
    <n v="3"/>
    <n v="31.044599999999999"/>
    <x v="2"/>
    <x v="4"/>
  </r>
  <r>
    <x v="1190"/>
    <x v="222"/>
    <m/>
    <n v="42621"/>
    <x v="0"/>
    <s v="HF-14995"/>
    <s v="Herbert Flentye"/>
    <x v="0"/>
    <s v="United States"/>
    <x v="237"/>
    <x v="32"/>
    <x v="2"/>
    <s v="FUR-FU-10002364"/>
    <s v="Furniture"/>
    <x v="3"/>
    <s v="Eldon Expressions Wood Desk Accessories, Oak"/>
    <n v="14.76"/>
    <n v="2"/>
    <n v="4.2804000000000002"/>
    <x v="2"/>
    <x v="4"/>
  </r>
  <r>
    <x v="1191"/>
    <x v="730"/>
    <m/>
    <n v="42944"/>
    <x v="0"/>
    <s v="JC-15775"/>
    <s v="John Castell"/>
    <x v="0"/>
    <s v="United States"/>
    <x v="3"/>
    <x v="3"/>
    <x v="2"/>
    <s v="FUR-FU-10000732"/>
    <s v="Furniture"/>
    <x v="3"/>
    <s v="Eldon 200 Class Desk Accessories"/>
    <n v="20.096"/>
    <n v="4"/>
    <n v="3.0144000000000002"/>
    <x v="0"/>
    <x v="3"/>
  </r>
  <r>
    <x v="1191"/>
    <x v="730"/>
    <m/>
    <n v="42944"/>
    <x v="0"/>
    <s v="JC-15775"/>
    <s v="John Castell"/>
    <x v="0"/>
    <s v="United States"/>
    <x v="3"/>
    <x v="3"/>
    <x v="2"/>
    <s v="FUR-TA-10001771"/>
    <s v="Furniture"/>
    <x v="2"/>
    <s v="Bush Cubix Conference Tables, Fully Assembled"/>
    <n v="138.58799999999999"/>
    <n v="1"/>
    <n v="-34.646999999999998"/>
    <x v="0"/>
    <x v="3"/>
  </r>
  <r>
    <x v="1192"/>
    <x v="615"/>
    <m/>
    <n v="42267"/>
    <x v="1"/>
    <s v="JH-15910"/>
    <s v="Jonathan Howell"/>
    <x v="0"/>
    <s v="United States"/>
    <x v="182"/>
    <x v="24"/>
    <x v="0"/>
    <s v="FUR-FU-10003975"/>
    <s v="Furniture"/>
    <x v="3"/>
    <s v="Eldon Advantage Chair Mats for Low to Medium Pile Carpets"/>
    <n v="129.93"/>
    <n v="3"/>
    <n v="12.993"/>
    <x v="1"/>
    <x v="4"/>
  </r>
  <r>
    <x v="1193"/>
    <x v="480"/>
    <m/>
    <n v="42689"/>
    <x v="1"/>
    <s v="BF-11170"/>
    <s v="Ben Ferrer"/>
    <x v="2"/>
    <s v="United States"/>
    <x v="155"/>
    <x v="2"/>
    <x v="1"/>
    <s v="FUR-FU-10003731"/>
    <s v="Furniture"/>
    <x v="3"/>
    <s v="Eldon Expressions Wood and Plastic Desk Accessories, Oak"/>
    <n v="9.98"/>
    <n v="1"/>
    <n v="2.7944"/>
    <x v="2"/>
    <x v="0"/>
  </r>
  <r>
    <x v="1194"/>
    <x v="397"/>
    <m/>
    <n v="42328"/>
    <x v="1"/>
    <s v="MC-17605"/>
    <s v="Matt Connell"/>
    <x v="1"/>
    <s v="United States"/>
    <x v="9"/>
    <x v="8"/>
    <x v="3"/>
    <s v="FUR-FU-10001215"/>
    <s v="Furniture"/>
    <x v="3"/>
    <s v="Howard Miller 11-1/2&quot; Diameter Brentwood Wall Clock"/>
    <n v="34.503999999999998"/>
    <n v="2"/>
    <n v="-15.5268"/>
    <x v="4"/>
    <x v="0"/>
  </r>
  <r>
    <x v="1195"/>
    <x v="382"/>
    <m/>
    <n v="42241"/>
    <x v="3"/>
    <s v="MC-18100"/>
    <s v="Mick Crebagga"/>
    <x v="0"/>
    <s v="United States"/>
    <x v="6"/>
    <x v="5"/>
    <x v="3"/>
    <s v="FUR-FU-10001473"/>
    <s v="Furniture"/>
    <x v="3"/>
    <s v="Eldon Executive Woodline II Desk Accessories, Mahogany"/>
    <n v="20.103999999999999"/>
    <n v="2"/>
    <n v="-16.585799999999999"/>
    <x v="7"/>
    <x v="10"/>
  </r>
  <r>
    <x v="1195"/>
    <x v="382"/>
    <m/>
    <n v="42241"/>
    <x v="3"/>
    <s v="MC-18100"/>
    <s v="Mick Crebagga"/>
    <x v="0"/>
    <s v="United States"/>
    <x v="6"/>
    <x v="5"/>
    <x v="3"/>
    <s v="FUR-FU-10002240"/>
    <s v="Furniture"/>
    <x v="3"/>
    <s v="Nu-Dell EZ-Mount Plastic Wall Frames"/>
    <n v="7.88"/>
    <n v="5"/>
    <n v="-3.94"/>
    <x v="7"/>
    <x v="10"/>
  </r>
  <r>
    <x v="1196"/>
    <x v="683"/>
    <m/>
    <n v="42736"/>
    <x v="1"/>
    <s v="LW-16825"/>
    <s v="Laurel Workman"/>
    <x v="1"/>
    <s v="United States"/>
    <x v="43"/>
    <x v="22"/>
    <x v="1"/>
    <s v="FUR-TA-10002607"/>
    <s v="Furniture"/>
    <x v="2"/>
    <s v="KI Conference Tables"/>
    <n v="35.445"/>
    <n v="1"/>
    <n v="-24.102599999999999"/>
    <x v="1"/>
    <x v="5"/>
  </r>
  <r>
    <x v="1196"/>
    <x v="683"/>
    <m/>
    <n v="42736"/>
    <x v="1"/>
    <s v="LW-16825"/>
    <s v="Laurel Workman"/>
    <x v="1"/>
    <s v="United States"/>
    <x v="43"/>
    <x v="22"/>
    <x v="1"/>
    <s v="FUR-CH-10004754"/>
    <s v="Furniture"/>
    <x v="1"/>
    <s v="Global Stack Chair with Arms, Black"/>
    <n v="47.968000000000004"/>
    <n v="2"/>
    <n v="4.1971999999999996"/>
    <x v="1"/>
    <x v="5"/>
  </r>
  <r>
    <x v="1197"/>
    <x v="731"/>
    <m/>
    <n v="42099"/>
    <x v="1"/>
    <s v="EB-13705"/>
    <s v="Ed Braxton"/>
    <x v="1"/>
    <s v="United States"/>
    <x v="6"/>
    <x v="5"/>
    <x v="3"/>
    <s v="FUR-FU-10001085"/>
    <s v="Furniture"/>
    <x v="3"/>
    <s v="3M Polarizing Light Filter Sleeves"/>
    <n v="22.38"/>
    <n v="3"/>
    <n v="-7.8330000000000002"/>
    <x v="2"/>
    <x v="9"/>
  </r>
  <r>
    <x v="1198"/>
    <x v="732"/>
    <m/>
    <n v="42993"/>
    <x v="2"/>
    <s v="PS-18760"/>
    <s v="Pamela Stobb"/>
    <x v="0"/>
    <s v="United States"/>
    <x v="3"/>
    <x v="3"/>
    <x v="2"/>
    <s v="FUR-CH-10002372"/>
    <s v="Furniture"/>
    <x v="1"/>
    <s v="Office Star - Ergonomically Designed Knee Chair"/>
    <n v="113.372"/>
    <n v="2"/>
    <n v="-29.152799999999999"/>
    <x v="5"/>
    <x v="4"/>
  </r>
  <r>
    <x v="1198"/>
    <x v="732"/>
    <m/>
    <n v="42993"/>
    <x v="2"/>
    <s v="PS-18760"/>
    <s v="Pamela Stobb"/>
    <x v="0"/>
    <s v="United States"/>
    <x v="3"/>
    <x v="3"/>
    <x v="2"/>
    <s v="FUR-FU-10001057"/>
    <s v="Furniture"/>
    <x v="3"/>
    <s v="Tensor Track Tree Floor Lamp"/>
    <n v="127.93600000000001"/>
    <n v="8"/>
    <n v="4.7976000000000001"/>
    <x v="5"/>
    <x v="4"/>
  </r>
  <r>
    <x v="1199"/>
    <x v="733"/>
    <m/>
    <n v="41811"/>
    <x v="1"/>
    <s v="GH-14425"/>
    <s v="Gary Hwang"/>
    <x v="0"/>
    <s v="United States"/>
    <x v="15"/>
    <x v="13"/>
    <x v="1"/>
    <s v="FUR-FU-10003981"/>
    <s v="Furniture"/>
    <x v="3"/>
    <s v="Eldon Wave Desk Accessories"/>
    <n v="6.24"/>
    <n v="3"/>
    <n v="2.6208"/>
    <x v="4"/>
    <x v="2"/>
  </r>
  <r>
    <x v="1200"/>
    <x v="158"/>
    <m/>
    <n v="43101"/>
    <x v="1"/>
    <s v="LO-17170"/>
    <s v="Lori Olson"/>
    <x v="1"/>
    <s v="United States"/>
    <x v="117"/>
    <x v="8"/>
    <x v="3"/>
    <s v="FUR-FU-10004586"/>
    <s v="Furniture"/>
    <x v="3"/>
    <s v="G.E. Longer-Life Indoor Recessed Floodlight Bulbs"/>
    <n v="7.968"/>
    <n v="3"/>
    <n v="-2.3904000000000001"/>
    <x v="4"/>
    <x v="5"/>
  </r>
  <r>
    <x v="1200"/>
    <x v="158"/>
    <m/>
    <n v="43101"/>
    <x v="1"/>
    <s v="LO-17170"/>
    <s v="Lori Olson"/>
    <x v="1"/>
    <s v="United States"/>
    <x v="117"/>
    <x v="8"/>
    <x v="3"/>
    <s v="FUR-CH-10004698"/>
    <s v="Furniture"/>
    <x v="1"/>
    <s v="Padded Folding Chairs, Black, 4/Carton"/>
    <n v="113.372"/>
    <n v="2"/>
    <n v="-3.2391999999999999"/>
    <x v="4"/>
    <x v="5"/>
  </r>
  <r>
    <x v="1200"/>
    <x v="158"/>
    <m/>
    <n v="43101"/>
    <x v="1"/>
    <s v="LO-17170"/>
    <s v="Lori Olson"/>
    <x v="1"/>
    <s v="United States"/>
    <x v="117"/>
    <x v="8"/>
    <x v="3"/>
    <s v="FUR-FU-10001935"/>
    <s v="Furniture"/>
    <x v="3"/>
    <s v="3M Hangers With Command Adhesive"/>
    <n v="2.96"/>
    <n v="2"/>
    <n v="-1.4059999999999999"/>
    <x v="4"/>
    <x v="5"/>
  </r>
  <r>
    <x v="1201"/>
    <x v="396"/>
    <m/>
    <n v="42214"/>
    <x v="1"/>
    <s v="YS-21880"/>
    <s v="Yana Sorensen"/>
    <x v="1"/>
    <s v="United States"/>
    <x v="132"/>
    <x v="33"/>
    <x v="0"/>
    <s v="FUR-TA-10002041"/>
    <s v="Furniture"/>
    <x v="2"/>
    <s v="Bevis Round Conference Table Top, X-Base"/>
    <n v="358.58"/>
    <n v="2"/>
    <n v="39.443800000000003"/>
    <x v="4"/>
    <x v="3"/>
  </r>
  <r>
    <x v="1202"/>
    <x v="63"/>
    <m/>
    <n v="42621"/>
    <x v="3"/>
    <s v="PJ-19015"/>
    <s v="Pauline Johnson"/>
    <x v="0"/>
    <s v="United States"/>
    <x v="72"/>
    <x v="2"/>
    <x v="1"/>
    <s v="FUR-TA-10003008"/>
    <s v="Furniture"/>
    <x v="2"/>
    <s v="Lesro Round Back Collection Coffee Table, End Table"/>
    <n v="146.04"/>
    <n v="1"/>
    <n v="-12.778499999999999"/>
    <x v="7"/>
    <x v="4"/>
  </r>
  <r>
    <x v="1203"/>
    <x v="487"/>
    <m/>
    <n v="43028"/>
    <x v="1"/>
    <s v="DL-13495"/>
    <s v="Dionis Lloyd"/>
    <x v="1"/>
    <s v="United States"/>
    <x v="310"/>
    <x v="2"/>
    <x v="1"/>
    <s v="FUR-FU-10000087"/>
    <s v="Furniture"/>
    <x v="3"/>
    <s v="Executive Impressions 14&quot; Two-Color Numerals Wall Clock"/>
    <n v="22.72"/>
    <n v="1"/>
    <n v="9.3152000000000008"/>
    <x v="2"/>
    <x v="1"/>
  </r>
  <r>
    <x v="1204"/>
    <x v="51"/>
    <m/>
    <n v="42630"/>
    <x v="1"/>
    <s v="AJ-10795"/>
    <s v="Anthony Johnson"/>
    <x v="1"/>
    <s v="United States"/>
    <x v="76"/>
    <x v="25"/>
    <x v="0"/>
    <s v="FUR-CH-10002073"/>
    <s v="Furniture"/>
    <x v="1"/>
    <s v="Hon Olson Stacker Chairs"/>
    <n v="1059.1199999999999"/>
    <n v="4"/>
    <n v="307.14479999999998"/>
    <x v="2"/>
    <x v="4"/>
  </r>
  <r>
    <x v="1205"/>
    <x v="734"/>
    <m/>
    <n v="41832"/>
    <x v="1"/>
    <s v="BC-11125"/>
    <s v="Becky Castell"/>
    <x v="2"/>
    <s v="United States"/>
    <x v="311"/>
    <x v="2"/>
    <x v="1"/>
    <s v="FUR-CH-10000155"/>
    <s v="Furniture"/>
    <x v="1"/>
    <s v="Global Comet Stacking Armless Chair"/>
    <n v="478.48"/>
    <n v="2"/>
    <n v="47.847999999999999"/>
    <x v="6"/>
    <x v="3"/>
  </r>
  <r>
    <x v="1206"/>
    <x v="607"/>
    <m/>
    <n v="41754"/>
    <x v="1"/>
    <s v="BP-11230"/>
    <s v="Benjamin Patterson"/>
    <x v="0"/>
    <s v="United States"/>
    <x v="2"/>
    <x v="2"/>
    <x v="1"/>
    <s v="FUR-FU-10000409"/>
    <s v="Furniture"/>
    <x v="3"/>
    <s v="GE 4 Foot Flourescent Tube, 40 Watt"/>
    <n v="59.92"/>
    <n v="4"/>
    <n v="27.563199999999998"/>
    <x v="2"/>
    <x v="6"/>
  </r>
  <r>
    <x v="1207"/>
    <x v="735"/>
    <m/>
    <n v="42381"/>
    <x v="1"/>
    <s v="JO-15145"/>
    <s v="Jack O'Briant"/>
    <x v="1"/>
    <s v="United States"/>
    <x v="20"/>
    <x v="16"/>
    <x v="3"/>
    <s v="FUR-BO-10002545"/>
    <s v="Furniture"/>
    <x v="0"/>
    <s v="Atlantic Metals Mobile 3-Shelf Bookcases, Custom Colors"/>
    <n v="1565.88"/>
    <n v="6"/>
    <n v="407.12880000000001"/>
    <x v="4"/>
    <x v="8"/>
  </r>
  <r>
    <x v="1208"/>
    <x v="452"/>
    <m/>
    <n v="42847"/>
    <x v="1"/>
    <s v="PS-18760"/>
    <s v="Pamela Stobb"/>
    <x v="0"/>
    <s v="United States"/>
    <x v="2"/>
    <x v="2"/>
    <x v="1"/>
    <s v="FUR-CH-10003774"/>
    <s v="Furniture"/>
    <x v="1"/>
    <s v="Global Wood Trimmed Manager's Task Chair, Khaki"/>
    <n v="218.352"/>
    <n v="3"/>
    <n v="-19.105799999999999"/>
    <x v="2"/>
    <x v="6"/>
  </r>
  <r>
    <x v="1209"/>
    <x v="650"/>
    <m/>
    <n v="42610"/>
    <x v="1"/>
    <s v="SC-20230"/>
    <s v="Scot Coram"/>
    <x v="1"/>
    <s v="United States"/>
    <x v="2"/>
    <x v="2"/>
    <x v="1"/>
    <s v="FUR-TA-10003569"/>
    <s v="Furniture"/>
    <x v="2"/>
    <s v="Bretford CR8500 Series Meeting Room Furniture"/>
    <n v="2887.056"/>
    <n v="9"/>
    <n v="180.441"/>
    <x v="1"/>
    <x v="10"/>
  </r>
  <r>
    <x v="1210"/>
    <x v="26"/>
    <m/>
    <n v="42623"/>
    <x v="1"/>
    <s v="MM-17920"/>
    <s v="Michael Moore"/>
    <x v="0"/>
    <s v="United States"/>
    <x v="180"/>
    <x v="25"/>
    <x v="0"/>
    <s v="FUR-TA-10003238"/>
    <s v="Furniture"/>
    <x v="2"/>
    <s v="Chromcraft Bull-Nose Wood 48&quot; x 96&quot; Rectangular Conference Tables"/>
    <n v="1652.94"/>
    <n v="3"/>
    <n v="314.05860000000001"/>
    <x v="2"/>
    <x v="4"/>
  </r>
  <r>
    <x v="1211"/>
    <x v="233"/>
    <m/>
    <n v="42292"/>
    <x v="3"/>
    <s v="CG-12520"/>
    <s v="Claire Gute"/>
    <x v="0"/>
    <s v="United States"/>
    <x v="144"/>
    <x v="5"/>
    <x v="3"/>
    <s v="FUR-FU-10004952"/>
    <s v="Furniture"/>
    <x v="3"/>
    <s v="C-Line Cubicle Keepers Polyproplyene Holder w/Velcro Back, 8-1/2x11, 25/Bx"/>
    <n v="131.376"/>
    <n v="6"/>
    <n v="-95.247600000000006"/>
    <x v="7"/>
    <x v="1"/>
  </r>
  <r>
    <x v="1212"/>
    <x v="239"/>
    <m/>
    <n v="42343"/>
    <x v="0"/>
    <s v="TW-21025"/>
    <s v="Tamara Willingham"/>
    <x v="2"/>
    <s v="United States"/>
    <x v="15"/>
    <x v="13"/>
    <x v="1"/>
    <s v="FUR-CH-10001215"/>
    <s v="Furniture"/>
    <x v="1"/>
    <s v="Global Troy Executive Leather Low-Back Tilter"/>
    <n v="2003.92"/>
    <n v="5"/>
    <n v="125.245"/>
    <x v="4"/>
    <x v="5"/>
  </r>
  <r>
    <x v="1212"/>
    <x v="239"/>
    <m/>
    <n v="42343"/>
    <x v="0"/>
    <s v="TW-21025"/>
    <s v="Tamara Willingham"/>
    <x v="2"/>
    <s v="United States"/>
    <x v="15"/>
    <x v="13"/>
    <x v="1"/>
    <s v="FUR-TA-10001705"/>
    <s v="Furniture"/>
    <x v="2"/>
    <s v="Bush Advantage Collection Round Conference Table"/>
    <n v="1913.4"/>
    <n v="9"/>
    <n v="401.81400000000002"/>
    <x v="4"/>
    <x v="5"/>
  </r>
  <r>
    <x v="1213"/>
    <x v="151"/>
    <m/>
    <n v="42159"/>
    <x v="1"/>
    <s v="BD-11320"/>
    <s v="Bill Donatelli"/>
    <x v="0"/>
    <s v="United States"/>
    <x v="12"/>
    <x v="11"/>
    <x v="3"/>
    <s v="FUR-CH-10002320"/>
    <s v="Furniture"/>
    <x v="1"/>
    <s v="Hon Pagoda Stacking Chairs"/>
    <n v="2567.84"/>
    <n v="8"/>
    <n v="770.35199999999998"/>
    <x v="4"/>
    <x v="7"/>
  </r>
  <r>
    <x v="1214"/>
    <x v="510"/>
    <m/>
    <n v="43000"/>
    <x v="1"/>
    <s v="SS-20140"/>
    <s v="Saphhira Shifley"/>
    <x v="1"/>
    <s v="United States"/>
    <x v="29"/>
    <x v="24"/>
    <x v="0"/>
    <s v="FUR-FU-10002963"/>
    <s v="Furniture"/>
    <x v="3"/>
    <s v="Master Caster Door Stop, Gray"/>
    <n v="20.32"/>
    <n v="4"/>
    <n v="6.9088000000000003"/>
    <x v="4"/>
    <x v="4"/>
  </r>
  <r>
    <x v="1215"/>
    <x v="736"/>
    <m/>
    <n v="42150"/>
    <x v="0"/>
    <s v="VS-21820"/>
    <s v="Vivek Sundaresam"/>
    <x v="0"/>
    <s v="United States"/>
    <x v="312"/>
    <x v="8"/>
    <x v="3"/>
    <s v="FUR-CH-10002880"/>
    <s v="Furniture"/>
    <x v="1"/>
    <s v="Global High-Back Leather Tilter, Burgundy"/>
    <n v="602.65099999999995"/>
    <n v="7"/>
    <n v="-163.57669999999999"/>
    <x v="3"/>
    <x v="7"/>
  </r>
  <r>
    <x v="1216"/>
    <x v="247"/>
    <m/>
    <n v="43084"/>
    <x v="1"/>
    <s v="JE-16165"/>
    <s v="Justin Ellison"/>
    <x v="1"/>
    <s v="United States"/>
    <x v="313"/>
    <x v="10"/>
    <x v="0"/>
    <s v="FUR-FU-10002364"/>
    <s v="Furniture"/>
    <x v="3"/>
    <s v="Eldon Expressions Wood Desk Accessories, Oak"/>
    <n v="14.76"/>
    <n v="2"/>
    <n v="4.2804000000000002"/>
    <x v="2"/>
    <x v="5"/>
  </r>
  <r>
    <x v="1217"/>
    <x v="605"/>
    <m/>
    <n v="42949"/>
    <x v="1"/>
    <s v="VG-21790"/>
    <s v="Vivek Gonzalez"/>
    <x v="0"/>
    <s v="United States"/>
    <x v="15"/>
    <x v="13"/>
    <x v="1"/>
    <s v="FUR-BO-10004709"/>
    <s v="Furniture"/>
    <x v="0"/>
    <s v="Bush Westfield Collection Bookcases, Medium Cherry Finish"/>
    <n v="115.96"/>
    <n v="2"/>
    <n v="25.511199999999999"/>
    <x v="4"/>
    <x v="3"/>
  </r>
  <r>
    <x v="1218"/>
    <x v="439"/>
    <m/>
    <n v="41994"/>
    <x v="1"/>
    <s v="SH-20635"/>
    <s v="Stefanie Holloman"/>
    <x v="1"/>
    <s v="United States"/>
    <x v="155"/>
    <x v="2"/>
    <x v="1"/>
    <s v="FUR-CH-10001854"/>
    <s v="Furniture"/>
    <x v="1"/>
    <s v="Office Star - Professional Matrix Back Chair with 2-to-1 Synchro Tilt and Mesh Fabric Seat"/>
    <n v="1403.92"/>
    <n v="5"/>
    <n v="70.195999999999998"/>
    <x v="2"/>
    <x v="5"/>
  </r>
  <r>
    <x v="1219"/>
    <x v="737"/>
    <m/>
    <n v="42342"/>
    <x v="1"/>
    <s v="JL-15235"/>
    <s v="Janet Lee"/>
    <x v="0"/>
    <s v="United States"/>
    <x v="13"/>
    <x v="7"/>
    <x v="2"/>
    <s v="FUR-BO-10001608"/>
    <s v="Furniture"/>
    <x v="0"/>
    <s v="Hon Metal Bookcases, Black"/>
    <n v="681.40800000000002"/>
    <n v="12"/>
    <n v="42.588000000000001"/>
    <x v="4"/>
    <x v="0"/>
  </r>
  <r>
    <x v="1220"/>
    <x v="738"/>
    <m/>
    <n v="41838"/>
    <x v="1"/>
    <s v="ST-20530"/>
    <s v="Shui Tom"/>
    <x v="0"/>
    <s v="United States"/>
    <x v="3"/>
    <x v="3"/>
    <x v="2"/>
    <s v="FUR-FU-10001057"/>
    <s v="Furniture"/>
    <x v="3"/>
    <s v="Tensor Track Tree Floor Lamp"/>
    <n v="31.984000000000002"/>
    <n v="2"/>
    <n v="1.1994"/>
    <x v="4"/>
    <x v="3"/>
  </r>
  <r>
    <x v="1221"/>
    <x v="227"/>
    <m/>
    <n v="42617"/>
    <x v="2"/>
    <s v="TA-21385"/>
    <s v="Tom Ashbrook"/>
    <x v="2"/>
    <s v="United States"/>
    <x v="9"/>
    <x v="8"/>
    <x v="3"/>
    <s v="FUR-FU-10000277"/>
    <s v="Furniture"/>
    <x v="3"/>
    <s v="Deflect-o DuraMat Antistatic Studded Beveled Mat for Medium Pile Carpeting"/>
    <n v="84.272000000000006"/>
    <n v="2"/>
    <n v="-75.844800000000006"/>
    <x v="3"/>
    <x v="4"/>
  </r>
  <r>
    <x v="1222"/>
    <x v="739"/>
    <m/>
    <n v="42647"/>
    <x v="1"/>
    <s v="GM-14680"/>
    <s v="Greg Matthias"/>
    <x v="0"/>
    <s v="United States"/>
    <x v="13"/>
    <x v="7"/>
    <x v="2"/>
    <s v="FUR-BO-10003034"/>
    <s v="Furniture"/>
    <x v="0"/>
    <s v="O'Sullivan Elevations Bookcase, Cherry Finish"/>
    <n v="523.91999999999996"/>
    <n v="5"/>
    <n v="-26.196000000000002"/>
    <x v="4"/>
    <x v="4"/>
  </r>
  <r>
    <x v="1223"/>
    <x v="740"/>
    <m/>
    <n v="42123"/>
    <x v="1"/>
    <s v="ZC-21910"/>
    <s v="Zuschuss Carroll"/>
    <x v="0"/>
    <s v="United States"/>
    <x v="14"/>
    <x v="8"/>
    <x v="3"/>
    <s v="FUR-CH-10003535"/>
    <s v="Furniture"/>
    <x v="1"/>
    <s v="Global Armless Task Chair, Royal Blue"/>
    <n v="128.05799999999999"/>
    <n v="3"/>
    <n v="-23.7822"/>
    <x v="4"/>
    <x v="6"/>
  </r>
  <r>
    <x v="1224"/>
    <x v="49"/>
    <m/>
    <n v="43058"/>
    <x v="3"/>
    <s v="AP-10720"/>
    <s v="Anne Pryor"/>
    <x v="2"/>
    <s v="United States"/>
    <x v="13"/>
    <x v="7"/>
    <x v="2"/>
    <s v="FUR-TA-10001676"/>
    <s v="Furniture"/>
    <x v="2"/>
    <s v="Hon 61000 Series Interactive Training Tables"/>
    <n v="79.974000000000004"/>
    <n v="3"/>
    <n v="-29.323799999999999"/>
    <x v="7"/>
    <x v="0"/>
  </r>
  <r>
    <x v="1225"/>
    <x v="197"/>
    <m/>
    <n v="42570"/>
    <x v="1"/>
    <s v="AR-10570"/>
    <s v="Anemone Ratner"/>
    <x v="0"/>
    <s v="United States"/>
    <x v="29"/>
    <x v="24"/>
    <x v="0"/>
    <s v="FUR-FU-10004848"/>
    <s v="Furniture"/>
    <x v="3"/>
    <s v="Howard Miller 13-3/4&quot; Diameter Brushed Chrome Round Wall Clock"/>
    <n v="51.75"/>
    <n v="1"/>
    <n v="15.525"/>
    <x v="2"/>
    <x v="3"/>
  </r>
  <r>
    <x v="1226"/>
    <x v="579"/>
    <m/>
    <n v="42382"/>
    <x v="0"/>
    <s v="JB-16000"/>
    <s v="Joy Bell-"/>
    <x v="0"/>
    <s v="United States"/>
    <x v="314"/>
    <x v="13"/>
    <x v="1"/>
    <s v="FUR-FU-10000010"/>
    <s v="Furniture"/>
    <x v="3"/>
    <s v="DAX Value U-Channel Document Frames, Easel Back"/>
    <n v="24.85"/>
    <n v="5"/>
    <n v="7.7035"/>
    <x v="0"/>
    <x v="8"/>
  </r>
  <r>
    <x v="1227"/>
    <x v="741"/>
    <m/>
    <n v="42187"/>
    <x v="1"/>
    <s v="CY-12745"/>
    <s v="Craig Yedwab"/>
    <x v="1"/>
    <s v="United States"/>
    <x v="171"/>
    <x v="22"/>
    <x v="1"/>
    <s v="FUR-FU-10004306"/>
    <s v="Furniture"/>
    <x v="3"/>
    <s v="Electrix Halogen Magnifier Lamp"/>
    <n v="621.76"/>
    <n v="4"/>
    <n v="46.631999999999998"/>
    <x v="4"/>
    <x v="2"/>
  </r>
  <r>
    <x v="1228"/>
    <x v="428"/>
    <m/>
    <n v="42321"/>
    <x v="0"/>
    <s v="RH-19600"/>
    <s v="Rob Haberlin"/>
    <x v="0"/>
    <s v="United States"/>
    <x v="247"/>
    <x v="25"/>
    <x v="0"/>
    <s v="FUR-FU-10000308"/>
    <s v="Furniture"/>
    <x v="3"/>
    <s v="Deflect-o Glass Clear Studded Chair Mats"/>
    <n v="186.54"/>
    <n v="3"/>
    <n v="41.038800000000002"/>
    <x v="2"/>
    <x v="0"/>
  </r>
  <r>
    <x v="1229"/>
    <x v="742"/>
    <m/>
    <n v="42097"/>
    <x v="1"/>
    <s v="DR-12940"/>
    <s v="Daniel Raglin"/>
    <x v="2"/>
    <s v="United States"/>
    <x v="315"/>
    <x v="8"/>
    <x v="3"/>
    <s v="FUR-CH-10003298"/>
    <s v="Furniture"/>
    <x v="1"/>
    <s v="Office Star - Contemporary Task Swivel chair with Loop Arms, Charcoal"/>
    <n v="366.74400000000003"/>
    <n v="4"/>
    <n v="-110.0232"/>
    <x v="4"/>
    <x v="9"/>
  </r>
  <r>
    <x v="1230"/>
    <x v="532"/>
    <m/>
    <n v="41872"/>
    <x v="0"/>
    <s v="DW-13195"/>
    <s v="David Wiener"/>
    <x v="1"/>
    <s v="United States"/>
    <x v="2"/>
    <x v="2"/>
    <x v="1"/>
    <s v="FUR-FU-10000723"/>
    <s v="Furniture"/>
    <x v="3"/>
    <s v="Deflect-o EconoMat Studded, No Bevel Mat for Low Pile Carpeting"/>
    <n v="289.24"/>
    <n v="7"/>
    <n v="26.031600000000001"/>
    <x v="3"/>
    <x v="10"/>
  </r>
  <r>
    <x v="1231"/>
    <x v="341"/>
    <m/>
    <n v="42313"/>
    <x v="1"/>
    <s v="JF-15490"/>
    <s v="Jeremy Farry"/>
    <x v="0"/>
    <s v="United States"/>
    <x v="13"/>
    <x v="7"/>
    <x v="2"/>
    <s v="FUR-CH-10001545"/>
    <s v="Furniture"/>
    <x v="1"/>
    <s v="Hon Comfortask Task/Swivel Chairs"/>
    <n v="205.16399999999999"/>
    <n v="2"/>
    <n v="13.6776"/>
    <x v="4"/>
    <x v="0"/>
  </r>
  <r>
    <x v="1232"/>
    <x v="256"/>
    <m/>
    <n v="41994"/>
    <x v="1"/>
    <s v="SP-20860"/>
    <s v="Sung Pak"/>
    <x v="1"/>
    <s v="United States"/>
    <x v="9"/>
    <x v="8"/>
    <x v="3"/>
    <s v="FUR-FU-10001546"/>
    <s v="Furniture"/>
    <x v="3"/>
    <s v="Dana Swing-Arm Lamps"/>
    <n v="8.5440000000000005"/>
    <n v="2"/>
    <n v="-7.476"/>
    <x v="6"/>
    <x v="5"/>
  </r>
  <r>
    <x v="1233"/>
    <x v="130"/>
    <m/>
    <n v="42241"/>
    <x v="1"/>
    <s v="KN-16390"/>
    <s v="Katherine Nockton"/>
    <x v="1"/>
    <s v="United States"/>
    <x v="76"/>
    <x v="15"/>
    <x v="2"/>
    <s v="FUR-CH-10003379"/>
    <s v="Furniture"/>
    <x v="1"/>
    <s v="Global Commerce Series High-Back Swivel/Tilt Chairs"/>
    <n v="598.45799999999997"/>
    <n v="3"/>
    <n v="-42.747"/>
    <x v="4"/>
    <x v="10"/>
  </r>
  <r>
    <x v="1233"/>
    <x v="130"/>
    <m/>
    <n v="42241"/>
    <x v="1"/>
    <s v="KN-16390"/>
    <s v="Katherine Nockton"/>
    <x v="1"/>
    <s v="United States"/>
    <x v="76"/>
    <x v="15"/>
    <x v="2"/>
    <s v="FUR-FU-10000193"/>
    <s v="Furniture"/>
    <x v="3"/>
    <s v="Tenex Chairmats For Use with Hard Floors"/>
    <n v="25.984000000000002"/>
    <n v="1"/>
    <n v="-3.8976000000000002"/>
    <x v="4"/>
    <x v="10"/>
  </r>
  <r>
    <x v="1234"/>
    <x v="13"/>
    <m/>
    <n v="43080"/>
    <x v="0"/>
    <s v="DB-12910"/>
    <s v="Daniel Byrd"/>
    <x v="2"/>
    <s v="United States"/>
    <x v="316"/>
    <x v="2"/>
    <x v="1"/>
    <s v="FUR-BO-10001519"/>
    <s v="Furniture"/>
    <x v="0"/>
    <s v="O'Sullivan 3-Shelf Heavy-Duty Bookcases"/>
    <n v="148.25700000000001"/>
    <n v="3"/>
    <n v="15.697800000000001"/>
    <x v="3"/>
    <x v="5"/>
  </r>
  <r>
    <x v="1235"/>
    <x v="743"/>
    <m/>
    <n v="41878"/>
    <x v="1"/>
    <s v="AP-10915"/>
    <s v="Arthur Prichep"/>
    <x v="0"/>
    <s v="United States"/>
    <x v="22"/>
    <x v="12"/>
    <x v="1"/>
    <s v="FUR-FU-10003274"/>
    <s v="Furniture"/>
    <x v="3"/>
    <s v="Regeneration Desk Collection"/>
    <n v="4.2240000000000002"/>
    <n v="3"/>
    <n v="1.2672000000000001"/>
    <x v="4"/>
    <x v="10"/>
  </r>
  <r>
    <x v="1236"/>
    <x v="367"/>
    <m/>
    <n v="42690"/>
    <x v="1"/>
    <s v="EB-13750"/>
    <s v="Edward Becker"/>
    <x v="1"/>
    <s v="United States"/>
    <x v="13"/>
    <x v="7"/>
    <x v="2"/>
    <s v="FUR-CH-10003774"/>
    <s v="Furniture"/>
    <x v="1"/>
    <s v="Global Wood Trimmed Manager's Task Chair, Khaki"/>
    <n v="245.64599999999999"/>
    <n v="3"/>
    <n v="8.1882000000000001"/>
    <x v="2"/>
    <x v="0"/>
  </r>
  <r>
    <x v="1237"/>
    <x v="17"/>
    <m/>
    <n v="43052"/>
    <x v="1"/>
    <s v="JE-15610"/>
    <s v="Jim Epp"/>
    <x v="1"/>
    <s v="United States"/>
    <x v="53"/>
    <x v="2"/>
    <x v="1"/>
    <s v="FUR-CH-10004675"/>
    <s v="Furniture"/>
    <x v="1"/>
    <s v="Lifetime Advantage Folding Chairs, 4/Carton"/>
    <n v="523.39200000000005"/>
    <n v="3"/>
    <n v="52.339199999999998"/>
    <x v="4"/>
    <x v="0"/>
  </r>
  <r>
    <x v="1238"/>
    <x v="430"/>
    <m/>
    <n v="43092"/>
    <x v="1"/>
    <s v="AT-10735"/>
    <s v="Annie Thurman"/>
    <x v="0"/>
    <s v="United States"/>
    <x v="13"/>
    <x v="7"/>
    <x v="2"/>
    <s v="FUR-FU-10000308"/>
    <s v="Furniture"/>
    <x v="3"/>
    <s v="Deflect-o Glass Clear Studded Chair Mats"/>
    <n v="124.36"/>
    <n v="2"/>
    <n v="27.359200000000001"/>
    <x v="6"/>
    <x v="5"/>
  </r>
  <r>
    <x v="1239"/>
    <x v="511"/>
    <m/>
    <n v="42939"/>
    <x v="1"/>
    <s v="SV-20365"/>
    <s v="Seth Vernon"/>
    <x v="0"/>
    <s v="United States"/>
    <x v="3"/>
    <x v="3"/>
    <x v="2"/>
    <s v="FUR-CH-10002647"/>
    <s v="Furniture"/>
    <x v="1"/>
    <s v="Situations Contoured Folding Chairs, 4/Set"/>
    <n v="198.744"/>
    <n v="4"/>
    <n v="-14.196"/>
    <x v="2"/>
    <x v="3"/>
  </r>
  <r>
    <x v="1240"/>
    <x v="676"/>
    <m/>
    <n v="41741"/>
    <x v="1"/>
    <s v="NM-18445"/>
    <s v="Nathan Mautz"/>
    <x v="2"/>
    <s v="United States"/>
    <x v="41"/>
    <x v="2"/>
    <x v="1"/>
    <s v="FUR-TA-10003748"/>
    <s v="Furniture"/>
    <x v="2"/>
    <s v="Bevis 36 x 72 Conference Tables"/>
    <n v="99.591999999999999"/>
    <n v="1"/>
    <n v="2.4897999999999998"/>
    <x v="4"/>
    <x v="6"/>
  </r>
  <r>
    <x v="1241"/>
    <x v="106"/>
    <m/>
    <n v="42715"/>
    <x v="3"/>
    <s v="WB-21850"/>
    <s v="William Brown"/>
    <x v="0"/>
    <s v="United States"/>
    <x v="261"/>
    <x v="2"/>
    <x v="1"/>
    <s v="FUR-CH-10003774"/>
    <s v="Furniture"/>
    <x v="1"/>
    <s v="Global Wood Trimmed Manager's Task Chair, Khaki"/>
    <n v="363.92"/>
    <n v="5"/>
    <n v="-31.843"/>
    <x v="7"/>
    <x v="5"/>
  </r>
  <r>
    <x v="1241"/>
    <x v="106"/>
    <m/>
    <n v="42715"/>
    <x v="3"/>
    <s v="WB-21850"/>
    <s v="William Brown"/>
    <x v="0"/>
    <s v="United States"/>
    <x v="261"/>
    <x v="2"/>
    <x v="1"/>
    <s v="FUR-TA-10004619"/>
    <s v="Furniture"/>
    <x v="2"/>
    <s v="Hon Non-Folding Utility Tables"/>
    <n v="892.13599999999997"/>
    <n v="7"/>
    <n v="111.517"/>
    <x v="7"/>
    <x v="5"/>
  </r>
  <r>
    <x v="1242"/>
    <x v="227"/>
    <m/>
    <n v="42619"/>
    <x v="1"/>
    <s v="JE-15715"/>
    <s v="Joe Elijah"/>
    <x v="0"/>
    <s v="United States"/>
    <x v="127"/>
    <x v="30"/>
    <x v="0"/>
    <s v="FUR-TA-10001768"/>
    <s v="Furniture"/>
    <x v="2"/>
    <s v="Hon Racetrack Conference Tables"/>
    <n v="472.51799999999997"/>
    <n v="3"/>
    <n v="-149.63069999999999"/>
    <x v="4"/>
    <x v="4"/>
  </r>
  <r>
    <x v="1243"/>
    <x v="744"/>
    <m/>
    <n v="42907"/>
    <x v="0"/>
    <s v="KH-16330"/>
    <s v="Katharine Harms"/>
    <x v="1"/>
    <s v="United States"/>
    <x v="19"/>
    <x v="15"/>
    <x v="2"/>
    <s v="FUR-CH-10000785"/>
    <s v="Furniture"/>
    <x v="1"/>
    <s v="Global Ergonomic Managers Chair"/>
    <n v="760.11599999999999"/>
    <n v="6"/>
    <n v="-43.435200000000002"/>
    <x v="3"/>
    <x v="2"/>
  </r>
  <r>
    <x v="1243"/>
    <x v="744"/>
    <m/>
    <n v="42907"/>
    <x v="0"/>
    <s v="KH-16330"/>
    <s v="Katharine Harms"/>
    <x v="1"/>
    <s v="United States"/>
    <x v="19"/>
    <x v="15"/>
    <x v="2"/>
    <s v="FUR-FU-10004909"/>
    <s v="Furniture"/>
    <x v="3"/>
    <s v="Contemporary Wood/Metal Frame"/>
    <n v="38.783999999999999"/>
    <n v="3"/>
    <n v="7.2720000000000002"/>
    <x v="3"/>
    <x v="2"/>
  </r>
  <r>
    <x v="1244"/>
    <x v="399"/>
    <m/>
    <n v="42496"/>
    <x v="2"/>
    <s v="LW-16990"/>
    <s v="Lindsay Williams"/>
    <x v="1"/>
    <s v="United States"/>
    <x v="0"/>
    <x v="34"/>
    <x v="1"/>
    <s v="FUR-TA-10003392"/>
    <s v="Furniture"/>
    <x v="2"/>
    <s v="Global Adaptabilities Conference Tables"/>
    <n v="1685.88"/>
    <n v="6"/>
    <n v="320.31720000000001"/>
    <x v="5"/>
    <x v="7"/>
  </r>
  <r>
    <x v="1245"/>
    <x v="451"/>
    <m/>
    <n v="43077"/>
    <x v="1"/>
    <s v="SO-20335"/>
    <s v="Sean O'Donnell"/>
    <x v="0"/>
    <s v="United States"/>
    <x v="15"/>
    <x v="13"/>
    <x v="1"/>
    <s v="FUR-BO-10002598"/>
    <s v="Furniture"/>
    <x v="0"/>
    <s v="Hon Metal Bookcases, Putty"/>
    <n v="141.96"/>
    <n v="2"/>
    <n v="41.168399999999998"/>
    <x v="1"/>
    <x v="5"/>
  </r>
  <r>
    <x v="1246"/>
    <x v="38"/>
    <m/>
    <n v="42232"/>
    <x v="1"/>
    <s v="MF-18250"/>
    <s v="Monica Federle"/>
    <x v="1"/>
    <s v="United States"/>
    <x v="13"/>
    <x v="7"/>
    <x v="2"/>
    <s v="FUR-FU-10000320"/>
    <s v="Furniture"/>
    <x v="3"/>
    <s v="OIC Stacking Trays"/>
    <n v="10.02"/>
    <n v="3"/>
    <n v="4.4088000000000003"/>
    <x v="1"/>
    <x v="10"/>
  </r>
  <r>
    <x v="1247"/>
    <x v="566"/>
    <m/>
    <n v="42694"/>
    <x v="1"/>
    <s v="JM-16195"/>
    <s v="Justin MacKendrick"/>
    <x v="0"/>
    <s v="United States"/>
    <x v="19"/>
    <x v="14"/>
    <x v="2"/>
    <s v="FUR-FU-10000550"/>
    <s v="Furniture"/>
    <x v="3"/>
    <s v="Stacking Trays by OIC"/>
    <n v="19.920000000000002"/>
    <n v="4"/>
    <n v="6.5735999999999999"/>
    <x v="6"/>
    <x v="0"/>
  </r>
  <r>
    <x v="1248"/>
    <x v="83"/>
    <m/>
    <n v="43070"/>
    <x v="1"/>
    <s v="TT-21460"/>
    <s v="Tonja Turnell"/>
    <x v="2"/>
    <s v="United States"/>
    <x v="52"/>
    <x v="6"/>
    <x v="3"/>
    <s v="FUR-TA-10001039"/>
    <s v="Furniture"/>
    <x v="2"/>
    <s v="KI Adjustable-Height Table"/>
    <n v="257.94"/>
    <n v="3"/>
    <n v="67.064400000000006"/>
    <x v="2"/>
    <x v="0"/>
  </r>
  <r>
    <x v="1248"/>
    <x v="83"/>
    <m/>
    <n v="43070"/>
    <x v="1"/>
    <s v="TT-21460"/>
    <s v="Tonja Turnell"/>
    <x v="2"/>
    <s v="United States"/>
    <x v="52"/>
    <x v="6"/>
    <x v="3"/>
    <s v="FUR-FU-10001473"/>
    <s v="Furniture"/>
    <x v="3"/>
    <s v="DAX Wood Document Frame"/>
    <n v="27.46"/>
    <n v="2"/>
    <n v="9.8856000000000002"/>
    <x v="2"/>
    <x v="0"/>
  </r>
  <r>
    <x v="1248"/>
    <x v="83"/>
    <m/>
    <n v="43070"/>
    <x v="1"/>
    <s v="TT-21460"/>
    <s v="Tonja Turnell"/>
    <x v="2"/>
    <s v="United States"/>
    <x v="52"/>
    <x v="6"/>
    <x v="3"/>
    <s v="FUR-CH-10004287"/>
    <s v="Furniture"/>
    <x v="1"/>
    <s v="SAFCO Arco Folding Chair"/>
    <n v="828.6"/>
    <n v="3"/>
    <n v="240.29400000000001"/>
    <x v="2"/>
    <x v="0"/>
  </r>
  <r>
    <x v="1249"/>
    <x v="141"/>
    <m/>
    <n v="42335"/>
    <x v="1"/>
    <s v="SS-20875"/>
    <s v="Sung Shariari"/>
    <x v="0"/>
    <s v="United States"/>
    <x v="89"/>
    <x v="1"/>
    <x v="0"/>
    <s v="FUR-BO-10001337"/>
    <s v="Furniture"/>
    <x v="0"/>
    <s v="O'Sullivan Living Dimensions 2-Shelf Bookcases"/>
    <n v="290.35199999999998"/>
    <n v="3"/>
    <n v="-36.293999999999997"/>
    <x v="1"/>
    <x v="0"/>
  </r>
  <r>
    <x v="1250"/>
    <x v="87"/>
    <m/>
    <n v="42985"/>
    <x v="3"/>
    <s v="TG-21640"/>
    <s v="Trudy Glocke"/>
    <x v="0"/>
    <s v="United States"/>
    <x v="317"/>
    <x v="23"/>
    <x v="3"/>
    <s v="FUR-FU-10003623"/>
    <s v="Furniture"/>
    <x v="3"/>
    <s v="DataProducts Ampli Magnifier Task Lamp, Black,"/>
    <n v="135.30000000000001"/>
    <n v="5"/>
    <n v="37.884"/>
    <x v="7"/>
    <x v="4"/>
  </r>
  <r>
    <x v="1251"/>
    <x v="168"/>
    <m/>
    <n v="41972"/>
    <x v="1"/>
    <s v="HP-14815"/>
    <s v="Harold Pawlan"/>
    <x v="2"/>
    <s v="United States"/>
    <x v="304"/>
    <x v="25"/>
    <x v="0"/>
    <s v="FUR-FU-10002045"/>
    <s v="Furniture"/>
    <x v="3"/>
    <s v="Executive Impressions 14&quot;"/>
    <n v="111.15"/>
    <n v="5"/>
    <n v="48.905999999999999"/>
    <x v="2"/>
    <x v="0"/>
  </r>
  <r>
    <x v="1252"/>
    <x v="745"/>
    <m/>
    <n v="42810"/>
    <x v="1"/>
    <s v="MH-17290"/>
    <s v="Marc Harrigan"/>
    <x v="2"/>
    <s v="United States"/>
    <x v="3"/>
    <x v="3"/>
    <x v="2"/>
    <s v="FUR-TA-10004086"/>
    <s v="Furniture"/>
    <x v="2"/>
    <s v="KI Adjustable-Height Table"/>
    <n v="154.76400000000001"/>
    <n v="3"/>
    <n v="-46.429200000000002"/>
    <x v="2"/>
    <x v="9"/>
  </r>
  <r>
    <x v="1253"/>
    <x v="313"/>
    <m/>
    <n v="43095"/>
    <x v="1"/>
    <s v="SR-20425"/>
    <s v="Sharelle Roach"/>
    <x v="2"/>
    <s v="United States"/>
    <x v="318"/>
    <x v="33"/>
    <x v="0"/>
    <s v="FUR-CH-10002647"/>
    <s v="Furniture"/>
    <x v="1"/>
    <s v="Situations Contoured Folding Chairs, 4/Set"/>
    <n v="141.96"/>
    <n v="2"/>
    <n v="35.49"/>
    <x v="4"/>
    <x v="5"/>
  </r>
  <r>
    <x v="1254"/>
    <x v="313"/>
    <m/>
    <n v="43094"/>
    <x v="0"/>
    <s v="AG-10330"/>
    <s v="Alex Grayson"/>
    <x v="0"/>
    <s v="United States"/>
    <x v="81"/>
    <x v="22"/>
    <x v="1"/>
    <s v="FUR-TA-10003008"/>
    <s v="Furniture"/>
    <x v="2"/>
    <s v="Lesro Round Back Collection Coffee Table, End Table"/>
    <n v="182.55"/>
    <n v="2"/>
    <n v="-135.08699999999999"/>
    <x v="0"/>
    <x v="5"/>
  </r>
  <r>
    <x v="1255"/>
    <x v="344"/>
    <m/>
    <n v="42365"/>
    <x v="0"/>
    <s v="LH-16900"/>
    <s v="Lena Hernandez"/>
    <x v="0"/>
    <s v="United States"/>
    <x v="29"/>
    <x v="24"/>
    <x v="0"/>
    <s v="FUR-FU-10000747"/>
    <s v="Furniture"/>
    <x v="3"/>
    <s v="Tenex B1-RE Series Chair Mats for Low Pile Carpets"/>
    <n v="275.88"/>
    <n v="6"/>
    <n v="46.8996"/>
    <x v="3"/>
    <x v="5"/>
  </r>
  <r>
    <x v="1256"/>
    <x v="746"/>
    <m/>
    <n v="41844"/>
    <x v="0"/>
    <s v="NP-18325"/>
    <s v="Naresj Patel"/>
    <x v="0"/>
    <s v="United States"/>
    <x v="28"/>
    <x v="2"/>
    <x v="1"/>
    <s v="FUR-CH-10000155"/>
    <s v="Furniture"/>
    <x v="1"/>
    <s v="Global Comet Stacking Armless Chair"/>
    <n v="717.72"/>
    <n v="3"/>
    <n v="71.772000000000006"/>
    <x v="3"/>
    <x v="3"/>
  </r>
  <r>
    <x v="1256"/>
    <x v="746"/>
    <m/>
    <n v="41844"/>
    <x v="0"/>
    <s v="NP-18325"/>
    <s v="Naresj Patel"/>
    <x v="0"/>
    <s v="United States"/>
    <x v="28"/>
    <x v="2"/>
    <x v="1"/>
    <s v="FUR-TA-10004767"/>
    <s v="Furniture"/>
    <x v="2"/>
    <s v="Safco Drafting Table"/>
    <n v="170.352"/>
    <n v="3"/>
    <n v="19.1646"/>
    <x v="3"/>
    <x v="3"/>
  </r>
  <r>
    <x v="1257"/>
    <x v="747"/>
    <m/>
    <n v="43022"/>
    <x v="1"/>
    <s v="GM-14440"/>
    <s v="Gary McGarr"/>
    <x v="0"/>
    <s v="United States"/>
    <x v="13"/>
    <x v="7"/>
    <x v="2"/>
    <s v="FUR-CH-10002372"/>
    <s v="Furniture"/>
    <x v="1"/>
    <s v="Office Star - Ergonomically Designed Knee Chair"/>
    <n v="145.76400000000001"/>
    <n v="2"/>
    <n v="3.2391999999999999"/>
    <x v="6"/>
    <x v="1"/>
  </r>
  <r>
    <x v="1258"/>
    <x v="488"/>
    <m/>
    <n v="42848"/>
    <x v="2"/>
    <s v="JM-15250"/>
    <s v="Janet Martin"/>
    <x v="0"/>
    <s v="United States"/>
    <x v="237"/>
    <x v="32"/>
    <x v="2"/>
    <s v="FUR-CH-10004218"/>
    <s v="Furniture"/>
    <x v="1"/>
    <s v="Global Fabric Manager's Chair, Dark Gray"/>
    <n v="908.82"/>
    <n v="9"/>
    <n v="227.20500000000001"/>
    <x v="3"/>
    <x v="6"/>
  </r>
  <r>
    <x v="1259"/>
    <x v="301"/>
    <m/>
    <n v="42971"/>
    <x v="1"/>
    <s v="ED-13885"/>
    <s v="Emily Ducich"/>
    <x v="2"/>
    <s v="United States"/>
    <x v="6"/>
    <x v="5"/>
    <x v="3"/>
    <s v="FUR-CH-10002017"/>
    <s v="Furniture"/>
    <x v="1"/>
    <s v="SAFCO Optional Arm Kit for Workspace Cribbage Stacking Chair"/>
    <n v="74.591999999999999"/>
    <n v="4"/>
    <n v="-2.1312000000000002"/>
    <x v="1"/>
    <x v="10"/>
  </r>
  <r>
    <x v="1259"/>
    <x v="301"/>
    <m/>
    <n v="42971"/>
    <x v="1"/>
    <s v="ED-13885"/>
    <s v="Emily Ducich"/>
    <x v="2"/>
    <s v="United States"/>
    <x v="6"/>
    <x v="5"/>
    <x v="3"/>
    <s v="FUR-FU-10003247"/>
    <s v="Furniture"/>
    <x v="3"/>
    <s v="36X48 HARDFLOOR CHAIRMAT"/>
    <n v="16.783999999999999"/>
    <n v="2"/>
    <n v="-22.238800000000001"/>
    <x v="1"/>
    <x v="10"/>
  </r>
  <r>
    <x v="1260"/>
    <x v="689"/>
    <m/>
    <n v="42689"/>
    <x v="2"/>
    <s v="DW-13480"/>
    <s v="Dianna Wilson"/>
    <x v="2"/>
    <s v="United States"/>
    <x v="53"/>
    <x v="2"/>
    <x v="1"/>
    <s v="FUR-TA-10003392"/>
    <s v="Furniture"/>
    <x v="2"/>
    <s v="Global Adaptabilities Conference Tables"/>
    <n v="674.35199999999998"/>
    <n v="3"/>
    <n v="-8.4293999999999993"/>
    <x v="0"/>
    <x v="0"/>
  </r>
  <r>
    <x v="1261"/>
    <x v="282"/>
    <m/>
    <n v="42691"/>
    <x v="1"/>
    <s v="PO-19180"/>
    <s v="Philisse Overcash"/>
    <x v="2"/>
    <s v="United States"/>
    <x v="15"/>
    <x v="13"/>
    <x v="1"/>
    <s v="FUR-FU-10004848"/>
    <s v="Furniture"/>
    <x v="3"/>
    <s v="DAX Solid Wood Frames"/>
    <n v="19.54"/>
    <n v="2"/>
    <n v="7.2298"/>
    <x v="4"/>
    <x v="0"/>
  </r>
  <r>
    <x v="1262"/>
    <x v="673"/>
    <m/>
    <n v="42707"/>
    <x v="1"/>
    <s v="HF-14995"/>
    <s v="Herbert Flentye"/>
    <x v="0"/>
    <s v="United States"/>
    <x v="1"/>
    <x v="1"/>
    <x v="0"/>
    <s v="FUR-TA-10001039"/>
    <s v="Furniture"/>
    <x v="2"/>
    <s v="KI Adjustable-Height Table"/>
    <n v="331.02300000000002"/>
    <n v="7"/>
    <n v="-114.35339999999999"/>
    <x v="6"/>
    <x v="0"/>
  </r>
  <r>
    <x v="1263"/>
    <x v="48"/>
    <m/>
    <n v="42671"/>
    <x v="3"/>
    <s v="VB-21745"/>
    <s v="Victoria Brennan"/>
    <x v="1"/>
    <s v="United States"/>
    <x v="77"/>
    <x v="7"/>
    <x v="2"/>
    <s v="FUR-FU-10003806"/>
    <s v="Furniture"/>
    <x v="3"/>
    <s v="Tenex Chairmat w/ Average Lip, 45&quot; x 53&quot;"/>
    <n v="756.8"/>
    <n v="5"/>
    <n v="75.680000000000007"/>
    <x v="7"/>
    <x v="1"/>
  </r>
  <r>
    <x v="1264"/>
    <x v="527"/>
    <m/>
    <n v="42006"/>
    <x v="1"/>
    <s v="MG-17890"/>
    <s v="Michael Granlund"/>
    <x v="2"/>
    <s v="United States"/>
    <x v="317"/>
    <x v="8"/>
    <x v="3"/>
    <s v="FUR-FU-10002111"/>
    <s v="Furniture"/>
    <x v="3"/>
    <s v="Master Caster Door Stop, Large Brown"/>
    <n v="8.7360000000000007"/>
    <n v="3"/>
    <n v="-4.8048000000000002"/>
    <x v="4"/>
    <x v="5"/>
  </r>
  <r>
    <x v="1265"/>
    <x v="125"/>
    <m/>
    <n v="43014"/>
    <x v="1"/>
    <s v="CM-12115"/>
    <s v="Chad McGuire"/>
    <x v="0"/>
    <s v="United States"/>
    <x v="28"/>
    <x v="2"/>
    <x v="1"/>
    <s v="FUR-FU-10001424"/>
    <s v="Furniture"/>
    <x v="3"/>
    <s v="Dax Clear Box Frame"/>
    <n v="17.46"/>
    <n v="2"/>
    <n v="5.9363999999999999"/>
    <x v="4"/>
    <x v="1"/>
  </r>
  <r>
    <x v="1266"/>
    <x v="197"/>
    <m/>
    <n v="42569"/>
    <x v="1"/>
    <s v="RB-19360"/>
    <s v="Raymond Buch"/>
    <x v="0"/>
    <s v="United States"/>
    <x v="28"/>
    <x v="2"/>
    <x v="1"/>
    <s v="FUR-FU-10000073"/>
    <s v="Furniture"/>
    <x v="3"/>
    <s v="Deflect-O Glasstique Clear Desk Accessories"/>
    <n v="30.8"/>
    <n v="4"/>
    <n v="10.164"/>
    <x v="4"/>
    <x v="3"/>
  </r>
  <r>
    <x v="1267"/>
    <x v="177"/>
    <m/>
    <n v="42441"/>
    <x v="1"/>
    <s v="GB-14575"/>
    <s v="Giulietta Baptist"/>
    <x v="0"/>
    <s v="United States"/>
    <x v="13"/>
    <x v="7"/>
    <x v="2"/>
    <s v="FUR-FU-10003347"/>
    <s v="Furniture"/>
    <x v="3"/>
    <s v="Coloredge Poster Frame"/>
    <n v="113.6"/>
    <n v="8"/>
    <n v="44.304000000000002"/>
    <x v="4"/>
    <x v="9"/>
  </r>
  <r>
    <x v="1268"/>
    <x v="695"/>
    <m/>
    <n v="42734"/>
    <x v="1"/>
    <s v="SC-20305"/>
    <s v="Sean Christensen"/>
    <x v="0"/>
    <s v="United States"/>
    <x v="124"/>
    <x v="2"/>
    <x v="1"/>
    <s v="FUR-FU-10000771"/>
    <s v="Furniture"/>
    <x v="3"/>
    <s v="Eldon 200 Class Desk Accessories, Smoke"/>
    <n v="43.96"/>
    <n v="7"/>
    <n v="18.463200000000001"/>
    <x v="6"/>
    <x v="5"/>
  </r>
  <r>
    <x v="1269"/>
    <x v="748"/>
    <m/>
    <n v="42850"/>
    <x v="0"/>
    <s v="JF-15355"/>
    <s v="Jay Fein"/>
    <x v="0"/>
    <s v="United States"/>
    <x v="102"/>
    <x v="2"/>
    <x v="1"/>
    <s v="FUR-FU-10002445"/>
    <s v="Furniture"/>
    <x v="3"/>
    <s v="DAX Two-Tone Rosewood/Black Document Frame, Desktop, 5 x 7"/>
    <n v="66.36"/>
    <n v="7"/>
    <n v="26.544"/>
    <x v="3"/>
    <x v="6"/>
  </r>
  <r>
    <x v="1269"/>
    <x v="748"/>
    <m/>
    <n v="42850"/>
    <x v="0"/>
    <s v="JF-15355"/>
    <s v="Jay Fein"/>
    <x v="0"/>
    <s v="United States"/>
    <x v="102"/>
    <x v="2"/>
    <x v="1"/>
    <s v="FUR-FU-10004864"/>
    <s v="Furniture"/>
    <x v="3"/>
    <s v="Eldon 500 Class Desk Accessories"/>
    <n v="24.14"/>
    <n v="2"/>
    <n v="7.9661999999999997"/>
    <x v="3"/>
    <x v="6"/>
  </r>
  <r>
    <x v="1270"/>
    <x v="301"/>
    <m/>
    <n v="42969"/>
    <x v="0"/>
    <s v="TP-21415"/>
    <s v="Tom Prescott"/>
    <x v="0"/>
    <s v="United States"/>
    <x v="3"/>
    <x v="3"/>
    <x v="2"/>
    <s v="FUR-CH-10002024"/>
    <s v="Furniture"/>
    <x v="1"/>
    <s v="HON 5400 Series Task Chairs for Big and Tall"/>
    <n v="4416.174"/>
    <n v="9"/>
    <n v="-630.88199999999995"/>
    <x v="2"/>
    <x v="10"/>
  </r>
  <r>
    <x v="1271"/>
    <x v="749"/>
    <m/>
    <n v="41706"/>
    <x v="1"/>
    <s v="JS-15595"/>
    <s v="Jill Stevenson"/>
    <x v="1"/>
    <s v="United States"/>
    <x v="29"/>
    <x v="15"/>
    <x v="2"/>
    <s v="FUR-BO-10001972"/>
    <s v="Furniture"/>
    <x v="0"/>
    <s v="O'Sullivan 4-Shelf Bookcase in Odessa Pine"/>
    <n v="302.45"/>
    <n v="5"/>
    <n v="-199.61699999999999"/>
    <x v="2"/>
    <x v="9"/>
  </r>
  <r>
    <x v="1272"/>
    <x v="82"/>
    <m/>
    <n v="42525"/>
    <x v="1"/>
    <s v="EM-14140"/>
    <s v="Eugene Moren"/>
    <x v="2"/>
    <s v="United States"/>
    <x v="319"/>
    <x v="16"/>
    <x v="3"/>
    <s v="FUR-FU-10001037"/>
    <s v="Furniture"/>
    <x v="3"/>
    <s v="DAX Charcoal/Nickel-Tone Document Frame, 5 x 7"/>
    <n v="47.4"/>
    <n v="5"/>
    <n v="21.33"/>
    <x v="2"/>
    <x v="7"/>
  </r>
  <r>
    <x v="1273"/>
    <x v="255"/>
    <m/>
    <n v="41969"/>
    <x v="0"/>
    <s v="DK-12835"/>
    <s v="Damala Kotsonis"/>
    <x v="1"/>
    <s v="United States"/>
    <x v="6"/>
    <x v="5"/>
    <x v="3"/>
    <s v="FUR-CH-10001973"/>
    <s v="Furniture"/>
    <x v="1"/>
    <s v="Office Star Flex Back Scooter Chair with White Frame"/>
    <n v="155.37200000000001"/>
    <n v="2"/>
    <n v="-35.513599999999997"/>
    <x v="0"/>
    <x v="0"/>
  </r>
  <r>
    <x v="1274"/>
    <x v="750"/>
    <m/>
    <n v="42389"/>
    <x v="1"/>
    <s v="AG-10675"/>
    <s v="Anna Gayman"/>
    <x v="0"/>
    <s v="United States"/>
    <x v="41"/>
    <x v="30"/>
    <x v="0"/>
    <s v="FUR-FU-10003374"/>
    <s v="Furniture"/>
    <x v="3"/>
    <s v="Electrix Fluorescent Magnifier Lamps &amp; Weighted Base"/>
    <n v="315.77600000000001"/>
    <n v="8"/>
    <n v="31.5776"/>
    <x v="6"/>
    <x v="8"/>
  </r>
  <r>
    <x v="1275"/>
    <x v="751"/>
    <m/>
    <n v="42635"/>
    <x v="1"/>
    <s v="KD-16495"/>
    <s v="Keith Dawkins"/>
    <x v="1"/>
    <s v="United States"/>
    <x v="124"/>
    <x v="2"/>
    <x v="1"/>
    <s v="FUR-BO-10001918"/>
    <s v="Furniture"/>
    <x v="0"/>
    <s v="Sauder Forest Hills Library with Doors, Woodland Oak Finish"/>
    <n v="273.666"/>
    <n v="2"/>
    <n v="-12.878399999999999"/>
    <x v="6"/>
    <x v="4"/>
  </r>
  <r>
    <x v="1276"/>
    <x v="18"/>
    <m/>
    <n v="42325"/>
    <x v="1"/>
    <s v="AW-10930"/>
    <s v="Arthur Wiediger"/>
    <x v="2"/>
    <s v="United States"/>
    <x v="320"/>
    <x v="46"/>
    <x v="1"/>
    <s v="FUR-FU-10000794"/>
    <s v="Furniture"/>
    <x v="3"/>
    <s v="Eldon Stackable Tray, Side-Load, Legal, Smoke"/>
    <n v="63.98"/>
    <n v="7"/>
    <n v="21.7532"/>
    <x v="4"/>
    <x v="0"/>
  </r>
  <r>
    <x v="1277"/>
    <x v="198"/>
    <m/>
    <n v="42991"/>
    <x v="1"/>
    <s v="LC-17140"/>
    <s v="Logan Currie"/>
    <x v="0"/>
    <s v="United States"/>
    <x v="59"/>
    <x v="15"/>
    <x v="2"/>
    <s v="FUR-FU-10000723"/>
    <s v="Furniture"/>
    <x v="3"/>
    <s v="Deflect-o EconoMat Studded, No Bevel Mat for Low Pile Carpeting"/>
    <n v="66.111999999999995"/>
    <n v="2"/>
    <n v="-9.0904000000000007"/>
    <x v="4"/>
    <x v="4"/>
  </r>
  <r>
    <x v="1278"/>
    <x v="210"/>
    <m/>
    <n v="42546"/>
    <x v="1"/>
    <s v="BS-11365"/>
    <s v="Bill Shonely"/>
    <x v="1"/>
    <s v="United States"/>
    <x v="258"/>
    <x v="37"/>
    <x v="3"/>
    <s v="FUR-FU-10004270"/>
    <s v="Furniture"/>
    <x v="3"/>
    <s v="Executive Impressions 13&quot; Clairmont Wall Clock"/>
    <n v="57.69"/>
    <n v="3"/>
    <n v="23.652899999999999"/>
    <x v="2"/>
    <x v="2"/>
  </r>
  <r>
    <x v="1279"/>
    <x v="752"/>
    <m/>
    <n v="42398"/>
    <x v="1"/>
    <s v="CB-12415"/>
    <s v="Christy Brittain"/>
    <x v="0"/>
    <s v="United States"/>
    <x v="2"/>
    <x v="2"/>
    <x v="1"/>
    <s v="FUR-FU-10000719"/>
    <s v="Furniture"/>
    <x v="3"/>
    <s v="DAX Cubicle Frames, 8-1/2 x 11"/>
    <n v="59.99"/>
    <n v="7"/>
    <n v="21.596399999999999"/>
    <x v="6"/>
    <x v="8"/>
  </r>
  <r>
    <x v="1280"/>
    <x v="753"/>
    <m/>
    <n v="42155"/>
    <x v="1"/>
    <s v="RD-19900"/>
    <s v="Ruben Dartt"/>
    <x v="0"/>
    <s v="United States"/>
    <x v="321"/>
    <x v="13"/>
    <x v="1"/>
    <s v="FUR-FU-10003849"/>
    <s v="Furniture"/>
    <x v="3"/>
    <s v="DAX Metal Frame, Desktop, Stepped-Edge"/>
    <n v="20.239999999999998"/>
    <n v="1"/>
    <n v="7.8936000000000002"/>
    <x v="2"/>
    <x v="7"/>
  </r>
  <r>
    <x v="1281"/>
    <x v="356"/>
    <m/>
    <n v="41964"/>
    <x v="2"/>
    <s v="JK-15730"/>
    <s v="Joe Kamberova"/>
    <x v="0"/>
    <s v="United States"/>
    <x v="322"/>
    <x v="8"/>
    <x v="3"/>
    <s v="FUR-TA-10002533"/>
    <s v="Furniture"/>
    <x v="2"/>
    <s v="BPI Conference Tables"/>
    <n v="292.10000000000002"/>
    <n v="4"/>
    <n v="-175.26"/>
    <x v="0"/>
    <x v="0"/>
  </r>
  <r>
    <x v="1281"/>
    <x v="356"/>
    <m/>
    <n v="41964"/>
    <x v="2"/>
    <s v="JK-15730"/>
    <s v="Joe Kamberova"/>
    <x v="0"/>
    <s v="United States"/>
    <x v="322"/>
    <x v="8"/>
    <x v="3"/>
    <s v="FUR-FU-10001546"/>
    <s v="Furniture"/>
    <x v="3"/>
    <s v="Dana Swing-Arm Lamps"/>
    <n v="8.5440000000000005"/>
    <n v="2"/>
    <n v="-7.476"/>
    <x v="0"/>
    <x v="0"/>
  </r>
  <r>
    <x v="1281"/>
    <x v="356"/>
    <m/>
    <n v="41964"/>
    <x v="2"/>
    <s v="JK-15730"/>
    <s v="Joe Kamberova"/>
    <x v="0"/>
    <s v="United States"/>
    <x v="322"/>
    <x v="8"/>
    <x v="3"/>
    <s v="FUR-BO-10003546"/>
    <s v="Furniture"/>
    <x v="0"/>
    <s v="Hon 4-Shelf Metal Bookcases"/>
    <n v="424.11599999999999"/>
    <n v="6"/>
    <n v="-30.294"/>
    <x v="0"/>
    <x v="0"/>
  </r>
  <r>
    <x v="1282"/>
    <x v="362"/>
    <m/>
    <n v="42986"/>
    <x v="1"/>
    <s v="DO-13645"/>
    <s v="Doug O'Connell"/>
    <x v="0"/>
    <s v="United States"/>
    <x v="98"/>
    <x v="1"/>
    <x v="0"/>
    <s v="FUR-CH-10003817"/>
    <s v="Furniture"/>
    <x v="1"/>
    <s v="Global Value Steno Chair, Gray"/>
    <n v="97.183999999999997"/>
    <n v="2"/>
    <n v="6.0739999999999998"/>
    <x v="4"/>
    <x v="4"/>
  </r>
  <r>
    <x v="1283"/>
    <x v="754"/>
    <m/>
    <n v="41731"/>
    <x v="1"/>
    <s v="MG-18145"/>
    <s v="Mike Gockenbach"/>
    <x v="0"/>
    <s v="United States"/>
    <x v="215"/>
    <x v="5"/>
    <x v="3"/>
    <s v="FUR-TA-10001889"/>
    <s v="Furniture"/>
    <x v="2"/>
    <s v="Bush Advantage Collection Racetrack Conference Table"/>
    <n v="890.84100000000001"/>
    <n v="3"/>
    <n v="-152.71559999999999"/>
    <x v="4"/>
    <x v="9"/>
  </r>
  <r>
    <x v="1284"/>
    <x v="541"/>
    <m/>
    <n v="42681"/>
    <x v="0"/>
    <s v="LH-17155"/>
    <s v="Logan Haushalter"/>
    <x v="0"/>
    <s v="United States"/>
    <x v="124"/>
    <x v="2"/>
    <x v="1"/>
    <s v="FUR-CH-10004875"/>
    <s v="Furniture"/>
    <x v="1"/>
    <s v="Harbour Creations 67200 Series Stacking Chairs"/>
    <n v="113.88800000000001"/>
    <n v="2"/>
    <n v="9.9651999999999994"/>
    <x v="3"/>
    <x v="0"/>
  </r>
  <r>
    <x v="1285"/>
    <x v="755"/>
    <m/>
    <n v="42663"/>
    <x v="1"/>
    <s v="NB-18655"/>
    <s v="Nona Balk"/>
    <x v="1"/>
    <s v="United States"/>
    <x v="13"/>
    <x v="7"/>
    <x v="2"/>
    <s v="FUR-TA-10001539"/>
    <s v="Furniture"/>
    <x v="2"/>
    <s v="Chromcraft Rectangular Conference Tables"/>
    <n v="142.18199999999999"/>
    <n v="1"/>
    <n v="-37.915199999999999"/>
    <x v="4"/>
    <x v="1"/>
  </r>
  <r>
    <x v="1286"/>
    <x v="83"/>
    <m/>
    <n v="43068"/>
    <x v="0"/>
    <s v="MN-17935"/>
    <s v="Michael Nguyen"/>
    <x v="0"/>
    <s v="United States"/>
    <x v="13"/>
    <x v="7"/>
    <x v="2"/>
    <s v="FUR-FU-10003623"/>
    <s v="Furniture"/>
    <x v="3"/>
    <s v="DataProducts Ampli Magnifier Task Lamp, Black,"/>
    <n v="135.30000000000001"/>
    <n v="5"/>
    <n v="37.884"/>
    <x v="0"/>
    <x v="0"/>
  </r>
  <r>
    <x v="1287"/>
    <x v="446"/>
    <m/>
    <n v="43077"/>
    <x v="2"/>
    <s v="CS-11950"/>
    <s v="Carlos Soltero"/>
    <x v="0"/>
    <s v="United States"/>
    <x v="13"/>
    <x v="7"/>
    <x v="2"/>
    <s v="FUR-FU-10001934"/>
    <s v="Furniture"/>
    <x v="3"/>
    <s v="Magnifier Swing Arm Lamp"/>
    <n v="41.96"/>
    <n v="2"/>
    <n v="10.909599999999999"/>
    <x v="0"/>
    <x v="5"/>
  </r>
  <r>
    <x v="1288"/>
    <x v="385"/>
    <m/>
    <n v="41722"/>
    <x v="1"/>
    <s v="SC-20050"/>
    <s v="Sample Company A"/>
    <x v="2"/>
    <s v="United States"/>
    <x v="323"/>
    <x v="2"/>
    <x v="1"/>
    <s v="FUR-FU-10004597"/>
    <s v="Furniture"/>
    <x v="3"/>
    <s v="Eldon Cleatmat Chair Mats for Medium Pile Carpets"/>
    <n v="111"/>
    <n v="2"/>
    <n v="14.43"/>
    <x v="6"/>
    <x v="9"/>
  </r>
  <r>
    <x v="1289"/>
    <x v="689"/>
    <m/>
    <n v="42687"/>
    <x v="2"/>
    <s v="SP-20650"/>
    <s v="Stephanie Phelps"/>
    <x v="1"/>
    <s v="United States"/>
    <x v="9"/>
    <x v="8"/>
    <x v="3"/>
    <s v="FUR-FU-10001037"/>
    <s v="Furniture"/>
    <x v="3"/>
    <s v="DAX Charcoal/Nickel-Tone Document Frame, 5 x 7"/>
    <n v="22.751999999999999"/>
    <n v="6"/>
    <n v="-8.532"/>
    <x v="5"/>
    <x v="0"/>
  </r>
  <r>
    <x v="1290"/>
    <x v="756"/>
    <m/>
    <n v="42111"/>
    <x v="1"/>
    <s v="PR-18880"/>
    <s v="Patrick Ryan"/>
    <x v="0"/>
    <s v="United States"/>
    <x v="26"/>
    <x v="1"/>
    <x v="0"/>
    <s v="FUR-FU-10001290"/>
    <s v="Furniture"/>
    <x v="3"/>
    <s v="Executive Impressions Supervisor Wall Clock"/>
    <n v="67.36"/>
    <n v="2"/>
    <n v="10.103999999999999"/>
    <x v="6"/>
    <x v="6"/>
  </r>
  <r>
    <x v="1290"/>
    <x v="756"/>
    <m/>
    <n v="42111"/>
    <x v="1"/>
    <s v="PR-18880"/>
    <s v="Patrick Ryan"/>
    <x v="0"/>
    <s v="United States"/>
    <x v="26"/>
    <x v="1"/>
    <x v="0"/>
    <s v="FUR-FU-10000087"/>
    <s v="Furniture"/>
    <x v="3"/>
    <s v="Executive Impressions 14&quot; Two-Color Numerals Wall Clock"/>
    <n v="54.527999999999999"/>
    <n v="3"/>
    <n v="14.313599999999999"/>
    <x v="6"/>
    <x v="6"/>
  </r>
  <r>
    <x v="1291"/>
    <x v="344"/>
    <m/>
    <n v="42368"/>
    <x v="1"/>
    <s v="JK-15625"/>
    <s v="Jim Karlsson"/>
    <x v="0"/>
    <s v="United States"/>
    <x v="13"/>
    <x v="7"/>
    <x v="2"/>
    <s v="FUR-BO-10002613"/>
    <s v="Furniture"/>
    <x v="0"/>
    <s v="Atlantic Metals Mobile 4-Shelf Bookcases, Custom Colors"/>
    <n v="449.56799999999998"/>
    <n v="2"/>
    <n v="56.195999999999998"/>
    <x v="2"/>
    <x v="5"/>
  </r>
  <r>
    <x v="1292"/>
    <x v="191"/>
    <m/>
    <n v="41996"/>
    <x v="0"/>
    <s v="SM-20950"/>
    <s v="Suzanne McNair"/>
    <x v="1"/>
    <s v="United States"/>
    <x v="13"/>
    <x v="7"/>
    <x v="2"/>
    <s v="FUR-CH-10004875"/>
    <s v="Furniture"/>
    <x v="1"/>
    <s v="Harbour Creations 67200 Series Stacking Chairs"/>
    <n v="192.18600000000001"/>
    <n v="3"/>
    <n v="36.3018"/>
    <x v="0"/>
    <x v="5"/>
  </r>
  <r>
    <x v="1293"/>
    <x v="503"/>
    <m/>
    <n v="41852"/>
    <x v="1"/>
    <s v="SG-20470"/>
    <s v="Sheri Gordon"/>
    <x v="0"/>
    <s v="United States"/>
    <x v="182"/>
    <x v="24"/>
    <x v="0"/>
    <s v="FUR-CH-10000553"/>
    <s v="Furniture"/>
    <x v="1"/>
    <s v="Metal Folding Chairs, Beige, 4/Carton"/>
    <n v="67.88"/>
    <n v="2"/>
    <n v="18.3276"/>
    <x v="6"/>
    <x v="3"/>
  </r>
  <r>
    <x v="1293"/>
    <x v="503"/>
    <m/>
    <n v="41852"/>
    <x v="1"/>
    <s v="SG-20470"/>
    <s v="Sheri Gordon"/>
    <x v="0"/>
    <s v="United States"/>
    <x v="182"/>
    <x v="24"/>
    <x v="0"/>
    <s v="FUR-FU-10000719"/>
    <s v="Furniture"/>
    <x v="3"/>
    <s v="DAX Cubicle Frames, 8-1/2 x 11"/>
    <n v="25.71"/>
    <n v="3"/>
    <n v="9.2555999999999994"/>
    <x v="6"/>
    <x v="3"/>
  </r>
  <r>
    <x v="1294"/>
    <x v="246"/>
    <m/>
    <n v="43086"/>
    <x v="1"/>
    <s v="DV-13045"/>
    <s v="Darrin Van Huff"/>
    <x v="1"/>
    <s v="United States"/>
    <x v="51"/>
    <x v="1"/>
    <x v="0"/>
    <s v="FUR-TA-10004289"/>
    <s v="Furniture"/>
    <x v="2"/>
    <s v="BoxOffice By Design Rectangular and Half-Moon Meeting Room Tables"/>
    <n v="721.875"/>
    <n v="6"/>
    <n v="-420"/>
    <x v="6"/>
    <x v="5"/>
  </r>
  <r>
    <x v="1294"/>
    <x v="246"/>
    <m/>
    <n v="43086"/>
    <x v="1"/>
    <s v="DV-13045"/>
    <s v="Darrin Van Huff"/>
    <x v="1"/>
    <s v="United States"/>
    <x v="51"/>
    <x v="1"/>
    <x v="0"/>
    <s v="FUR-CH-10000225"/>
    <s v="Furniture"/>
    <x v="1"/>
    <s v="Global Geo Office Task Chair, Gray"/>
    <n v="64.784000000000006"/>
    <n v="1"/>
    <n v="-12.147"/>
    <x v="6"/>
    <x v="5"/>
  </r>
  <r>
    <x v="1295"/>
    <x v="714"/>
    <m/>
    <n v="42657"/>
    <x v="1"/>
    <s v="MZ-17335"/>
    <s v="Maria Zettner"/>
    <x v="2"/>
    <s v="United States"/>
    <x v="43"/>
    <x v="22"/>
    <x v="1"/>
    <s v="FUR-FU-10001488"/>
    <s v="Furniture"/>
    <x v="3"/>
    <s v="Tenex 46&quot; x 60&quot; Computer Anti-Static Chairmat, Rectangular Shaped"/>
    <n v="169.56800000000001"/>
    <n v="2"/>
    <n v="0"/>
    <x v="2"/>
    <x v="1"/>
  </r>
  <r>
    <x v="1296"/>
    <x v="757"/>
    <m/>
    <n v="42007"/>
    <x v="0"/>
    <s v="AR-10345"/>
    <s v="Alex Russell"/>
    <x v="1"/>
    <s v="United States"/>
    <x v="3"/>
    <x v="3"/>
    <x v="2"/>
    <s v="FUR-TA-10004575"/>
    <s v="Furniture"/>
    <x v="2"/>
    <s v="Hon 5100 Series Wood Tables"/>
    <n v="523.76400000000001"/>
    <n v="3"/>
    <n v="-192.04679999999999"/>
    <x v="4"/>
    <x v="5"/>
  </r>
  <r>
    <x v="1297"/>
    <x v="188"/>
    <m/>
    <n v="42474"/>
    <x v="2"/>
    <s v="JF-15295"/>
    <s v="Jason Fortune-"/>
    <x v="0"/>
    <s v="United States"/>
    <x v="2"/>
    <x v="2"/>
    <x v="1"/>
    <s v="FUR-CH-10000225"/>
    <s v="Furniture"/>
    <x v="1"/>
    <s v="Global Geo Office Task Chair, Gray"/>
    <n v="194.352"/>
    <n v="3"/>
    <n v="-36.441000000000003"/>
    <x v="3"/>
    <x v="6"/>
  </r>
  <r>
    <x v="1298"/>
    <x v="597"/>
    <m/>
    <n v="42708"/>
    <x v="1"/>
    <s v="DS-13180"/>
    <s v="David Smith"/>
    <x v="1"/>
    <s v="United States"/>
    <x v="3"/>
    <x v="3"/>
    <x v="2"/>
    <s v="FUR-CH-10002647"/>
    <s v="Furniture"/>
    <x v="1"/>
    <s v="Situations Contoured Folding Chairs, 4/Set"/>
    <n v="347.80200000000002"/>
    <n v="7"/>
    <n v="-24.843"/>
    <x v="6"/>
    <x v="0"/>
  </r>
  <r>
    <x v="1299"/>
    <x v="758"/>
    <m/>
    <n v="42631"/>
    <x v="1"/>
    <s v="AG-10270"/>
    <s v="Alejandro Grove"/>
    <x v="0"/>
    <s v="United States"/>
    <x v="70"/>
    <x v="27"/>
    <x v="3"/>
    <s v="FUR-FU-10003664"/>
    <s v="Furniture"/>
    <x v="3"/>
    <s v="Electrix Architect's Clamp-On Swing Arm Lamp, Black"/>
    <n v="1336.44"/>
    <n v="14"/>
    <n v="387.56760000000003"/>
    <x v="2"/>
    <x v="4"/>
  </r>
  <r>
    <x v="1300"/>
    <x v="759"/>
    <m/>
    <n v="43072"/>
    <x v="1"/>
    <s v="TT-21070"/>
    <s v="Ted Trevino"/>
    <x v="0"/>
    <s v="United States"/>
    <x v="196"/>
    <x v="9"/>
    <x v="0"/>
    <s v="FUR-CH-10000454"/>
    <s v="Furniture"/>
    <x v="1"/>
    <s v="Hon Deluxe Fabric Upholstered Stacking Chairs, Rounded Back"/>
    <n v="390.36799999999999"/>
    <n v="2"/>
    <n v="48.795999999999999"/>
    <x v="4"/>
    <x v="0"/>
  </r>
  <r>
    <x v="1300"/>
    <x v="759"/>
    <m/>
    <n v="43072"/>
    <x v="1"/>
    <s v="TT-21070"/>
    <s v="Ted Trevino"/>
    <x v="0"/>
    <s v="United States"/>
    <x v="196"/>
    <x v="9"/>
    <x v="0"/>
    <s v="FUR-FU-10004017"/>
    <s v="Furniture"/>
    <x v="3"/>
    <s v="Executive Impressions 13&quot; Chairman Wall Clock"/>
    <n v="101.52"/>
    <n v="5"/>
    <n v="19.035"/>
    <x v="4"/>
    <x v="0"/>
  </r>
  <r>
    <x v="1301"/>
    <x v="683"/>
    <m/>
    <n v="42734"/>
    <x v="1"/>
    <s v="DB-12970"/>
    <s v="Darren Budd"/>
    <x v="1"/>
    <s v="United States"/>
    <x v="13"/>
    <x v="7"/>
    <x v="2"/>
    <s v="FUR-TA-10002958"/>
    <s v="Furniture"/>
    <x v="2"/>
    <s v="Bevis Oval Conference Table, Walnut"/>
    <n v="313.17599999999999"/>
    <n v="2"/>
    <n v="-120.0508"/>
    <x v="2"/>
    <x v="5"/>
  </r>
  <r>
    <x v="1301"/>
    <x v="683"/>
    <m/>
    <n v="42734"/>
    <x v="1"/>
    <s v="DB-12970"/>
    <s v="Darren Budd"/>
    <x v="1"/>
    <s v="United States"/>
    <x v="13"/>
    <x v="7"/>
    <x v="2"/>
    <s v="FUR-CH-10003746"/>
    <s v="Furniture"/>
    <x v="1"/>
    <s v="Hon 4070 Series Pagoda Round Back Stacking Chairs"/>
    <n v="866.64599999999996"/>
    <n v="3"/>
    <n v="173.32919999999999"/>
    <x v="2"/>
    <x v="5"/>
  </r>
  <r>
    <x v="1302"/>
    <x v="63"/>
    <m/>
    <n v="42626"/>
    <x v="1"/>
    <s v="TR-21325"/>
    <s v="Toby Ritter"/>
    <x v="0"/>
    <s v="United States"/>
    <x v="15"/>
    <x v="13"/>
    <x v="1"/>
    <s v="FUR-FU-10003039"/>
    <s v="Furniture"/>
    <x v="3"/>
    <s v="Howard Miller 11-1/2&quot; Diameter Grantwood Wall Clock"/>
    <n v="43.13"/>
    <n v="1"/>
    <n v="14.664199999999999"/>
    <x v="2"/>
    <x v="4"/>
  </r>
  <r>
    <x v="1303"/>
    <x v="760"/>
    <m/>
    <n v="42143"/>
    <x v="1"/>
    <s v="CB-12535"/>
    <s v="Claudia Bergmann"/>
    <x v="1"/>
    <s v="United States"/>
    <x v="324"/>
    <x v="2"/>
    <x v="1"/>
    <s v="FUR-BO-10004015"/>
    <s v="Furniture"/>
    <x v="0"/>
    <s v="Bush Andora Bookcase, Maple/Graphite Gray Finish"/>
    <n v="509.95749999999998"/>
    <n v="5"/>
    <n v="41.996499999999997"/>
    <x v="2"/>
    <x v="7"/>
  </r>
  <r>
    <x v="1303"/>
    <x v="760"/>
    <m/>
    <n v="42143"/>
    <x v="1"/>
    <s v="CB-12535"/>
    <s v="Claudia Bergmann"/>
    <x v="1"/>
    <s v="United States"/>
    <x v="324"/>
    <x v="2"/>
    <x v="1"/>
    <s v="FUR-FU-10001979"/>
    <s v="Furniture"/>
    <x v="3"/>
    <s v="Dana Halogen Swing-Arm Architect Lamp"/>
    <n v="122.91"/>
    <n v="3"/>
    <n v="34.4148"/>
    <x v="2"/>
    <x v="7"/>
  </r>
  <r>
    <x v="1303"/>
    <x v="760"/>
    <m/>
    <n v="42143"/>
    <x v="1"/>
    <s v="CB-12535"/>
    <s v="Claudia Bergmann"/>
    <x v="1"/>
    <s v="United States"/>
    <x v="324"/>
    <x v="2"/>
    <x v="1"/>
    <s v="FUR-CH-10003833"/>
    <s v="Furniture"/>
    <x v="1"/>
    <s v="Novimex Fabric Task Chair"/>
    <n v="97.567999999999998"/>
    <n v="2"/>
    <n v="-6.0979999999999999"/>
    <x v="2"/>
    <x v="7"/>
  </r>
  <r>
    <x v="1303"/>
    <x v="760"/>
    <m/>
    <n v="42143"/>
    <x v="1"/>
    <s v="CB-12535"/>
    <s v="Claudia Bergmann"/>
    <x v="1"/>
    <s v="United States"/>
    <x v="324"/>
    <x v="2"/>
    <x v="1"/>
    <s v="FUR-CH-10004495"/>
    <s v="Furniture"/>
    <x v="1"/>
    <s v="Global Leather and Oak Executive Chair, Black"/>
    <n v="722.35199999999998"/>
    <n v="3"/>
    <n v="81.264600000000002"/>
    <x v="2"/>
    <x v="7"/>
  </r>
  <r>
    <x v="1304"/>
    <x v="82"/>
    <m/>
    <n v="42527"/>
    <x v="1"/>
    <s v="JG-15310"/>
    <s v="Jason Gross"/>
    <x v="1"/>
    <s v="United States"/>
    <x v="2"/>
    <x v="2"/>
    <x v="1"/>
    <s v="FUR-FU-10003247"/>
    <s v="Furniture"/>
    <x v="3"/>
    <s v="36X48 HARDFLOOR CHAIRMAT"/>
    <n v="167.84"/>
    <n v="8"/>
    <n v="11.748799999999999"/>
    <x v="1"/>
    <x v="7"/>
  </r>
  <r>
    <x v="1305"/>
    <x v="676"/>
    <m/>
    <n v="41741"/>
    <x v="1"/>
    <s v="JS-15880"/>
    <s v="John Stevenson"/>
    <x v="0"/>
    <s v="United States"/>
    <x v="219"/>
    <x v="15"/>
    <x v="2"/>
    <s v="FUR-TA-10004442"/>
    <s v="Furniture"/>
    <x v="2"/>
    <s v="Riverside Furniture Stanwyck Manor Table Series"/>
    <n v="172.11"/>
    <n v="1"/>
    <n v="-94.660499999999999"/>
    <x v="4"/>
    <x v="6"/>
  </r>
  <r>
    <x v="1306"/>
    <x v="703"/>
    <m/>
    <n v="42889"/>
    <x v="1"/>
    <s v="MG-17890"/>
    <s v="Michael Granlund"/>
    <x v="2"/>
    <s v="United States"/>
    <x v="325"/>
    <x v="36"/>
    <x v="1"/>
    <s v="FUR-FU-10000820"/>
    <s v="Furniture"/>
    <x v="3"/>
    <s v="Tensor Brushed Steel Torchiere Floor Lamp"/>
    <n v="13.592000000000001"/>
    <n v="1"/>
    <n v="-0.33979999999999999"/>
    <x v="4"/>
    <x v="7"/>
  </r>
  <r>
    <x v="1307"/>
    <x v="345"/>
    <m/>
    <n v="42444"/>
    <x v="0"/>
    <s v="SC-20770"/>
    <s v="Stewart Carmichael"/>
    <x v="1"/>
    <s v="United States"/>
    <x v="3"/>
    <x v="3"/>
    <x v="2"/>
    <s v="FUR-CH-10004287"/>
    <s v="Furniture"/>
    <x v="1"/>
    <s v="SAFCO Arco Folding Chair"/>
    <n v="386.68"/>
    <n v="2"/>
    <n v="-5.524"/>
    <x v="3"/>
    <x v="9"/>
  </r>
  <r>
    <x v="1308"/>
    <x v="662"/>
    <m/>
    <n v="42839"/>
    <x v="1"/>
    <s v="BS-11755"/>
    <s v="Bruce Stewart"/>
    <x v="0"/>
    <s v="United States"/>
    <x v="3"/>
    <x v="3"/>
    <x v="2"/>
    <s v="FUR-FU-10003878"/>
    <s v="Furniture"/>
    <x v="3"/>
    <s v="Linden 10&quot; Round Wall Clock, Black"/>
    <n v="36.671999999999997"/>
    <n v="3"/>
    <n v="6.4176000000000002"/>
    <x v="4"/>
    <x v="6"/>
  </r>
  <r>
    <x v="1309"/>
    <x v="324"/>
    <m/>
    <n v="42548"/>
    <x v="0"/>
    <s v="LC-17140"/>
    <s v="Logan Currie"/>
    <x v="0"/>
    <s v="United States"/>
    <x v="6"/>
    <x v="5"/>
    <x v="3"/>
    <s v="FUR-CH-10001146"/>
    <s v="Furniture"/>
    <x v="1"/>
    <s v="Global Value Mid-Back Manager's Chair, Gray"/>
    <n v="85.245999999999995"/>
    <n v="2"/>
    <n v="-6.0890000000000004"/>
    <x v="3"/>
    <x v="2"/>
  </r>
  <r>
    <x v="1309"/>
    <x v="324"/>
    <m/>
    <n v="42548"/>
    <x v="0"/>
    <s v="LC-17140"/>
    <s v="Logan Currie"/>
    <x v="0"/>
    <s v="United States"/>
    <x v="6"/>
    <x v="5"/>
    <x v="3"/>
    <s v="FUR-FU-10003919"/>
    <s v="Furniture"/>
    <x v="3"/>
    <s v="Eldon Executive Woodline II Cherry Finish Desk Accessories"/>
    <n v="32.712000000000003"/>
    <n v="2"/>
    <n v="-26.169599999999999"/>
    <x v="3"/>
    <x v="2"/>
  </r>
  <r>
    <x v="1310"/>
    <x v="257"/>
    <m/>
    <n v="42090"/>
    <x v="0"/>
    <s v="CP-12085"/>
    <s v="Cathy Prescott"/>
    <x v="1"/>
    <s v="United States"/>
    <x v="326"/>
    <x v="13"/>
    <x v="1"/>
    <s v="FUR-FU-10003832"/>
    <s v="Furniture"/>
    <x v="3"/>
    <s v="Eldon Expressions Punched Metal &amp; Wood Desk Accessories, Black &amp; Cherry"/>
    <n v="46.9"/>
    <n v="5"/>
    <n v="13.132"/>
    <x v="0"/>
    <x v="9"/>
  </r>
  <r>
    <x v="1311"/>
    <x v="113"/>
    <m/>
    <n v="42984"/>
    <x v="1"/>
    <s v="JL-15235"/>
    <s v="Janet Lee"/>
    <x v="0"/>
    <s v="United States"/>
    <x v="2"/>
    <x v="2"/>
    <x v="1"/>
    <s v="FUR-TA-10004607"/>
    <s v="Furniture"/>
    <x v="2"/>
    <s v="Hon 2111 Invitation Series Straight Table"/>
    <n v="236.52799999999999"/>
    <n v="2"/>
    <n v="-2.9565999999999999"/>
    <x v="4"/>
    <x v="4"/>
  </r>
  <r>
    <x v="1312"/>
    <x v="761"/>
    <m/>
    <n v="42773"/>
    <x v="0"/>
    <s v="RD-19810"/>
    <s v="Ross DeVincentis"/>
    <x v="2"/>
    <s v="United States"/>
    <x v="9"/>
    <x v="8"/>
    <x v="3"/>
    <s v="FUR-FU-10004597"/>
    <s v="Furniture"/>
    <x v="3"/>
    <s v="Eldon Cleatmat Chair Mats for Medium Pile Carpets"/>
    <n v="22.2"/>
    <n v="1"/>
    <n v="-26.085000000000001"/>
    <x v="4"/>
    <x v="11"/>
  </r>
  <r>
    <x v="1313"/>
    <x v="762"/>
    <m/>
    <n v="43053"/>
    <x v="2"/>
    <s v="MH-18025"/>
    <s v="Michelle Huthwaite"/>
    <x v="0"/>
    <s v="United States"/>
    <x v="270"/>
    <x v="9"/>
    <x v="0"/>
    <s v="FUR-FU-10004090"/>
    <s v="Furniture"/>
    <x v="3"/>
    <s v="Executive Impressions 14&quot; Contract Wall Clock"/>
    <n v="88.92"/>
    <n v="5"/>
    <n v="14.4495"/>
    <x v="0"/>
    <x v="0"/>
  </r>
  <r>
    <x v="1314"/>
    <x v="342"/>
    <m/>
    <n v="43000"/>
    <x v="0"/>
    <s v="SJ-20125"/>
    <s v="Sanjit Jacobs"/>
    <x v="2"/>
    <s v="United States"/>
    <x v="6"/>
    <x v="5"/>
    <x v="3"/>
    <s v="FUR-CH-10003774"/>
    <s v="Furniture"/>
    <x v="1"/>
    <s v="Global Wood Trimmed Manager's Task Chair, Khaki"/>
    <n v="318.43"/>
    <n v="5"/>
    <n v="-77.332999999999998"/>
    <x v="2"/>
    <x v="4"/>
  </r>
  <r>
    <x v="1315"/>
    <x v="763"/>
    <m/>
    <n v="42112"/>
    <x v="2"/>
    <s v="LL-16840"/>
    <s v="Lauren Leatherbury"/>
    <x v="0"/>
    <s v="United States"/>
    <x v="61"/>
    <x v="25"/>
    <x v="0"/>
    <s v="FUR-FU-10001468"/>
    <s v="Furniture"/>
    <x v="3"/>
    <s v="Tenex Antistatic Computer Chair Mats"/>
    <n v="1196.8599999999999"/>
    <n v="7"/>
    <n v="119.68600000000001"/>
    <x v="3"/>
    <x v="6"/>
  </r>
  <r>
    <x v="1315"/>
    <x v="763"/>
    <m/>
    <n v="42112"/>
    <x v="2"/>
    <s v="LL-16840"/>
    <s v="Lauren Leatherbury"/>
    <x v="0"/>
    <s v="United States"/>
    <x v="61"/>
    <x v="25"/>
    <x v="0"/>
    <s v="FUR-BO-10001519"/>
    <s v="Furniture"/>
    <x v="0"/>
    <s v="O'Sullivan 3-Shelf Heavy-Duty Bookcases"/>
    <n v="523.26"/>
    <n v="9"/>
    <n v="125.58240000000001"/>
    <x v="3"/>
    <x v="6"/>
  </r>
  <r>
    <x v="1316"/>
    <x v="762"/>
    <m/>
    <n v="43054"/>
    <x v="0"/>
    <s v="TB-21190"/>
    <s v="Thomas Brumley"/>
    <x v="2"/>
    <s v="United States"/>
    <x v="2"/>
    <x v="2"/>
    <x v="1"/>
    <s v="FUR-FU-10001424"/>
    <s v="Furniture"/>
    <x v="3"/>
    <s v="Dax Clear Box Frame"/>
    <n v="34.92"/>
    <n v="4"/>
    <n v="11.8728"/>
    <x v="4"/>
    <x v="0"/>
  </r>
  <r>
    <x v="1317"/>
    <x v="712"/>
    <m/>
    <n v="41902"/>
    <x v="1"/>
    <s v="AA-10315"/>
    <s v="Alex Avila"/>
    <x v="0"/>
    <s v="United States"/>
    <x v="13"/>
    <x v="7"/>
    <x v="2"/>
    <s v="FUR-FU-10002456"/>
    <s v="Furniture"/>
    <x v="3"/>
    <s v="Master Caster Door Stop, Large Neon Orange"/>
    <n v="14.56"/>
    <n v="2"/>
    <n v="6.2607999999999997"/>
    <x v="2"/>
    <x v="4"/>
  </r>
  <r>
    <x v="1318"/>
    <x v="764"/>
    <m/>
    <n v="41649"/>
    <x v="1"/>
    <s v="ME-17320"/>
    <s v="Maria Etezadi"/>
    <x v="2"/>
    <s v="United States"/>
    <x v="0"/>
    <x v="0"/>
    <x v="0"/>
    <s v="FUR-CH-10004063"/>
    <s v="Furniture"/>
    <x v="1"/>
    <s v="Global Deluxe High-Back Manager's Chair"/>
    <n v="2573.8200000000002"/>
    <n v="9"/>
    <n v="746.40779999999995"/>
    <x v="4"/>
    <x v="8"/>
  </r>
  <r>
    <x v="1319"/>
    <x v="256"/>
    <m/>
    <n v="41990"/>
    <x v="0"/>
    <s v="EB-13705"/>
    <s v="Ed Braxton"/>
    <x v="1"/>
    <s v="United States"/>
    <x v="3"/>
    <x v="3"/>
    <x v="2"/>
    <s v="FUR-CH-10003774"/>
    <s v="Furniture"/>
    <x v="1"/>
    <s v="Global Wood Trimmed Manager's Task Chair, Khaki"/>
    <n v="445.80200000000002"/>
    <n v="7"/>
    <n v="-108.2662"/>
    <x v="3"/>
    <x v="5"/>
  </r>
  <r>
    <x v="1320"/>
    <x v="765"/>
    <m/>
    <n v="42362"/>
    <x v="0"/>
    <s v="PM-19135"/>
    <s v="Peter McVee"/>
    <x v="2"/>
    <s v="United States"/>
    <x v="63"/>
    <x v="28"/>
    <x v="2"/>
    <s v="FUR-TA-10003473"/>
    <s v="Furniture"/>
    <x v="2"/>
    <s v="Bretford Rectangular Conference Table Tops"/>
    <n v="1053.164"/>
    <n v="4"/>
    <n v="-105.3164"/>
    <x v="2"/>
    <x v="5"/>
  </r>
  <r>
    <x v="1321"/>
    <x v="468"/>
    <m/>
    <n v="42263"/>
    <x v="1"/>
    <s v="FA-14230"/>
    <s v="Frank Atkinson"/>
    <x v="1"/>
    <s v="United States"/>
    <x v="2"/>
    <x v="2"/>
    <x v="1"/>
    <s v="FUR-FU-10003799"/>
    <s v="Furniture"/>
    <x v="3"/>
    <s v="Seth Thomas 13 1/2&quot; Wall Clock"/>
    <n v="106.68"/>
    <n v="6"/>
    <n v="33.070799999999998"/>
    <x v="6"/>
    <x v="4"/>
  </r>
  <r>
    <x v="1322"/>
    <x v="91"/>
    <m/>
    <n v="42994"/>
    <x v="1"/>
    <s v="CC-12475"/>
    <s v="Cindy Chapman"/>
    <x v="0"/>
    <s v="United States"/>
    <x v="6"/>
    <x v="5"/>
    <x v="3"/>
    <s v="FUR-TA-10002855"/>
    <s v="Furniture"/>
    <x v="2"/>
    <s v="Bevis Round Conference Table Top &amp; Single Column Base"/>
    <n v="512.19000000000005"/>
    <n v="5"/>
    <n v="-65.852999999999994"/>
    <x v="2"/>
    <x v="4"/>
  </r>
  <r>
    <x v="1323"/>
    <x v="766"/>
    <m/>
    <n v="42934"/>
    <x v="1"/>
    <s v="TC-21295"/>
    <s v="Toby Carlisle"/>
    <x v="0"/>
    <s v="United States"/>
    <x v="327"/>
    <x v="2"/>
    <x v="1"/>
    <s v="FUR-FU-10003601"/>
    <s v="Furniture"/>
    <x v="3"/>
    <s v="Deflect-o RollaMat Studded, Beveled Mat for Medium Pile Carpeting"/>
    <n v="276.69"/>
    <n v="3"/>
    <n v="49.804200000000002"/>
    <x v="4"/>
    <x v="3"/>
  </r>
  <r>
    <x v="1323"/>
    <x v="766"/>
    <m/>
    <n v="42934"/>
    <x v="1"/>
    <s v="TC-21295"/>
    <s v="Toby Carlisle"/>
    <x v="0"/>
    <s v="United States"/>
    <x v="327"/>
    <x v="2"/>
    <x v="1"/>
    <s v="FUR-FU-10002960"/>
    <s v="Furniture"/>
    <x v="3"/>
    <s v="Eldon 200 Class Desk Accessories, Burgundy"/>
    <n v="18.84"/>
    <n v="3"/>
    <n v="7.9127999999999998"/>
    <x v="4"/>
    <x v="3"/>
  </r>
  <r>
    <x v="1324"/>
    <x v="766"/>
    <m/>
    <n v="42934"/>
    <x v="1"/>
    <s v="JL-15835"/>
    <s v="John Lee"/>
    <x v="0"/>
    <s v="United States"/>
    <x v="29"/>
    <x v="15"/>
    <x v="2"/>
    <s v="FUR-FU-10002937"/>
    <s v="Furniture"/>
    <x v="3"/>
    <s v="GE 48&quot; Fluorescent Tube, Cool White Energy Saver, 34 Watts, 30/Box"/>
    <n v="396.92"/>
    <n v="5"/>
    <n v="148.845"/>
    <x v="4"/>
    <x v="3"/>
  </r>
  <r>
    <x v="1325"/>
    <x v="26"/>
    <m/>
    <n v="42624"/>
    <x v="1"/>
    <s v="MD-17350"/>
    <s v="Maribeth Dona"/>
    <x v="0"/>
    <s v="United States"/>
    <x v="68"/>
    <x v="15"/>
    <x v="2"/>
    <s v="FUR-CH-10004477"/>
    <s v="Furniture"/>
    <x v="1"/>
    <s v="Global Push Button Manager's Chair, Indigo"/>
    <n v="85.245999999999995"/>
    <n v="2"/>
    <n v="-1.2178"/>
    <x v="6"/>
    <x v="4"/>
  </r>
  <r>
    <x v="1326"/>
    <x v="767"/>
    <m/>
    <n v="41898"/>
    <x v="1"/>
    <s v="CL-12565"/>
    <s v="Clay Ludtke"/>
    <x v="0"/>
    <s v="United States"/>
    <x v="195"/>
    <x v="36"/>
    <x v="1"/>
    <s v="FUR-CH-10003973"/>
    <s v="Furniture"/>
    <x v="1"/>
    <s v="GuestStacker Chair with Chrome Finish Legs"/>
    <n v="1487.04"/>
    <n v="5"/>
    <n v="148.70400000000001"/>
    <x v="6"/>
    <x v="4"/>
  </r>
  <r>
    <x v="1327"/>
    <x v="572"/>
    <m/>
    <n v="43004"/>
    <x v="3"/>
    <s v="RA-19885"/>
    <s v="Ruben Ausman"/>
    <x v="1"/>
    <s v="United States"/>
    <x v="28"/>
    <x v="2"/>
    <x v="1"/>
    <s v="FUR-FU-10003829"/>
    <s v="Furniture"/>
    <x v="3"/>
    <s v="Stackable Trays"/>
    <n v="9.24"/>
    <n v="3"/>
    <n v="2.9567999999999999"/>
    <x v="7"/>
    <x v="4"/>
  </r>
  <r>
    <x v="1328"/>
    <x v="9"/>
    <m/>
    <n v="42540"/>
    <x v="2"/>
    <s v="LC-16885"/>
    <s v="Lena Creighton"/>
    <x v="0"/>
    <s v="United States"/>
    <x v="328"/>
    <x v="12"/>
    <x v="1"/>
    <s v="FUR-FU-10002298"/>
    <s v="Furniture"/>
    <x v="3"/>
    <s v="Rubbermaid ClusterMat Chairmats, Mat Size- 66&quot; x 60&quot;, Lip 20&quot; x 11&quot; -90 Degree Angle"/>
    <n v="266.35199999999998"/>
    <n v="3"/>
    <n v="-13.317600000000001"/>
    <x v="3"/>
    <x v="2"/>
  </r>
  <r>
    <x v="1328"/>
    <x v="9"/>
    <m/>
    <n v="42540"/>
    <x v="2"/>
    <s v="LC-16885"/>
    <s v="Lena Creighton"/>
    <x v="0"/>
    <s v="United States"/>
    <x v="328"/>
    <x v="12"/>
    <x v="1"/>
    <s v="FUR-CH-10004853"/>
    <s v="Furniture"/>
    <x v="1"/>
    <s v="Global Manager's Adjustable Task Chair, Storm"/>
    <n v="483.13600000000002"/>
    <n v="4"/>
    <n v="54.352800000000002"/>
    <x v="3"/>
    <x v="2"/>
  </r>
  <r>
    <x v="1329"/>
    <x v="768"/>
    <m/>
    <n v="42795"/>
    <x v="1"/>
    <s v="SW-20245"/>
    <s v="Scot Wooten"/>
    <x v="0"/>
    <s v="United States"/>
    <x v="329"/>
    <x v="30"/>
    <x v="0"/>
    <s v="FUR-CH-10002880"/>
    <s v="Furniture"/>
    <x v="1"/>
    <s v="Global High-Back Leather Tilter, Burgundy"/>
    <n v="196.78399999999999"/>
    <n v="2"/>
    <n v="-22.138200000000001"/>
    <x v="4"/>
    <x v="11"/>
  </r>
  <r>
    <x v="1329"/>
    <x v="768"/>
    <m/>
    <n v="42795"/>
    <x v="1"/>
    <s v="SW-20245"/>
    <s v="Scot Wooten"/>
    <x v="0"/>
    <s v="United States"/>
    <x v="329"/>
    <x v="30"/>
    <x v="0"/>
    <s v="FUR-BO-10004709"/>
    <s v="Furniture"/>
    <x v="0"/>
    <s v="Bush Westfield Collection Bookcases, Medium Cherry Finish"/>
    <n v="231.92"/>
    <n v="5"/>
    <n v="5.798"/>
    <x v="4"/>
    <x v="11"/>
  </r>
  <r>
    <x v="1330"/>
    <x v="587"/>
    <m/>
    <n v="43077"/>
    <x v="1"/>
    <s v="MV-17485"/>
    <s v="Mark Van Huff"/>
    <x v="0"/>
    <s v="United States"/>
    <x v="6"/>
    <x v="5"/>
    <x v="3"/>
    <s v="FUR-FU-10000820"/>
    <s v="Furniture"/>
    <x v="3"/>
    <s v="Tensor Brushed Steel Torchiere Floor Lamp"/>
    <n v="13.592000000000001"/>
    <n v="2"/>
    <n v="-14.271599999999999"/>
    <x v="2"/>
    <x v="5"/>
  </r>
  <r>
    <x v="1331"/>
    <x v="308"/>
    <m/>
    <n v="43075"/>
    <x v="1"/>
    <s v="BS-11380"/>
    <s v="Bill Stewart"/>
    <x v="1"/>
    <s v="United States"/>
    <x v="22"/>
    <x v="12"/>
    <x v="1"/>
    <s v="FUR-BO-10003546"/>
    <s v="Furniture"/>
    <x v="0"/>
    <s v="Hon 4-Shelf Metal Bookcases"/>
    <n v="242.352"/>
    <n v="8"/>
    <n v="-363.52800000000002"/>
    <x v="4"/>
    <x v="5"/>
  </r>
  <r>
    <x v="1331"/>
    <x v="308"/>
    <m/>
    <n v="43075"/>
    <x v="1"/>
    <s v="BS-11380"/>
    <s v="Bill Stewart"/>
    <x v="1"/>
    <s v="United States"/>
    <x v="22"/>
    <x v="12"/>
    <x v="1"/>
    <s v="FUR-FU-10001488"/>
    <s v="Furniture"/>
    <x v="3"/>
    <s v="Tenex 46&quot; x 60&quot; Computer Anti-Static Chairmat, Rectangular Shaped"/>
    <n v="508.70400000000001"/>
    <n v="6"/>
    <n v="0"/>
    <x v="4"/>
    <x v="5"/>
  </r>
  <r>
    <x v="1331"/>
    <x v="308"/>
    <m/>
    <n v="43075"/>
    <x v="1"/>
    <s v="BS-11380"/>
    <s v="Bill Stewart"/>
    <x v="1"/>
    <s v="United States"/>
    <x v="22"/>
    <x v="12"/>
    <x v="1"/>
    <s v="FUR-CH-10002335"/>
    <s v="Furniture"/>
    <x v="1"/>
    <s v="Hon GuestStacker Chair"/>
    <n v="906.68"/>
    <n v="5"/>
    <n v="68.001000000000005"/>
    <x v="4"/>
    <x v="5"/>
  </r>
  <r>
    <x v="1332"/>
    <x v="26"/>
    <m/>
    <n v="42620"/>
    <x v="2"/>
    <s v="EM-13825"/>
    <s v="Elizabeth Moffitt"/>
    <x v="1"/>
    <s v="United States"/>
    <x v="6"/>
    <x v="5"/>
    <x v="3"/>
    <s v="FUR-FU-10004671"/>
    <s v="Furniture"/>
    <x v="3"/>
    <s v="Executive Impressions 12&quot; Wall Clock"/>
    <n v="21.204000000000001"/>
    <n v="3"/>
    <n v="-11.6622"/>
    <x v="3"/>
    <x v="4"/>
  </r>
  <r>
    <x v="1333"/>
    <x v="769"/>
    <m/>
    <n v="41773"/>
    <x v="0"/>
    <s v="AF-10885"/>
    <s v="Art Foster"/>
    <x v="0"/>
    <s v="United States"/>
    <x v="3"/>
    <x v="3"/>
    <x v="2"/>
    <s v="FUR-BO-10004467"/>
    <s v="Furniture"/>
    <x v="0"/>
    <s v="Bestar Classic Bookcase"/>
    <n v="349.96499999999997"/>
    <n v="7"/>
    <n v="-216.97829999999999"/>
    <x v="4"/>
    <x v="7"/>
  </r>
  <r>
    <x v="1334"/>
    <x v="770"/>
    <m/>
    <n v="41948"/>
    <x v="1"/>
    <s v="DL-12925"/>
    <s v="Daniel Lacy"/>
    <x v="0"/>
    <s v="United States"/>
    <x v="62"/>
    <x v="7"/>
    <x v="2"/>
    <s v="FUR-FU-10003142"/>
    <s v="Furniture"/>
    <x v="3"/>
    <s v="Master Big Foot Doorstop, Beige"/>
    <n v="31.68"/>
    <n v="6"/>
    <n v="9.8208000000000002"/>
    <x v="4"/>
    <x v="0"/>
  </r>
  <r>
    <x v="1335"/>
    <x v="771"/>
    <m/>
    <n v="42736"/>
    <x v="2"/>
    <s v="BD-11605"/>
    <s v="Brian Dahlen"/>
    <x v="0"/>
    <s v="United States"/>
    <x v="68"/>
    <x v="3"/>
    <x v="2"/>
    <s v="FUR-CH-10000454"/>
    <s v="Furniture"/>
    <x v="1"/>
    <s v="Hon Deluxe Fabric Upholstered Stacking Chairs, Rounded Back"/>
    <n v="170.786"/>
    <n v="1"/>
    <n v="0"/>
    <x v="3"/>
    <x v="5"/>
  </r>
  <r>
    <x v="1336"/>
    <x v="222"/>
    <m/>
    <n v="42620"/>
    <x v="1"/>
    <s v="RB-19570"/>
    <s v="Rob Beeghly"/>
    <x v="0"/>
    <s v="United States"/>
    <x v="9"/>
    <x v="8"/>
    <x v="3"/>
    <s v="FUR-BO-10003894"/>
    <s v="Furniture"/>
    <x v="0"/>
    <s v="Safco Value Mate Steel Bookcase, Baked Enamel Finish on Steel, Black"/>
    <n v="198.744"/>
    <n v="4"/>
    <n v="0"/>
    <x v="4"/>
    <x v="4"/>
  </r>
  <r>
    <x v="1337"/>
    <x v="772"/>
    <m/>
    <n v="42401"/>
    <x v="0"/>
    <s v="TB-21250"/>
    <s v="Tim Brockman"/>
    <x v="0"/>
    <s v="United States"/>
    <x v="15"/>
    <x v="13"/>
    <x v="1"/>
    <s v="FUR-CH-10001190"/>
    <s v="Furniture"/>
    <x v="1"/>
    <s v="Global Deluxe High-Back Office Chair in Storm"/>
    <n v="435.16800000000001"/>
    <n v="4"/>
    <n v="-59.835599999999999"/>
    <x v="3"/>
    <x v="8"/>
  </r>
  <r>
    <x v="1337"/>
    <x v="772"/>
    <m/>
    <n v="42401"/>
    <x v="0"/>
    <s v="TB-21250"/>
    <s v="Tim Brockman"/>
    <x v="0"/>
    <s v="United States"/>
    <x v="15"/>
    <x v="13"/>
    <x v="1"/>
    <s v="FUR-BO-10000468"/>
    <s v="Furniture"/>
    <x v="0"/>
    <s v="O'Sullivan 2-Shelf Heavy-Duty Bookcases"/>
    <n v="48.58"/>
    <n v="1"/>
    <n v="7.7728000000000002"/>
    <x v="3"/>
    <x v="8"/>
  </r>
  <r>
    <x v="1338"/>
    <x v="299"/>
    <m/>
    <n v="41938"/>
    <x v="1"/>
    <s v="FH-14275"/>
    <s v="Frank Hawley"/>
    <x v="1"/>
    <s v="United States"/>
    <x v="330"/>
    <x v="25"/>
    <x v="0"/>
    <s v="FUR-TA-10004607"/>
    <s v="Furniture"/>
    <x v="2"/>
    <s v="Hon 2111 Invitation Series Straight Table"/>
    <n v="591.32000000000005"/>
    <n v="4"/>
    <n v="112.35080000000001"/>
    <x v="2"/>
    <x v="1"/>
  </r>
  <r>
    <x v="1339"/>
    <x v="105"/>
    <m/>
    <n v="42725"/>
    <x v="2"/>
    <s v="PN-18775"/>
    <s v="Parhena Norris"/>
    <x v="2"/>
    <s v="United States"/>
    <x v="70"/>
    <x v="27"/>
    <x v="3"/>
    <s v="FUR-CH-10004997"/>
    <s v="Furniture"/>
    <x v="1"/>
    <s v="Hon Every-Day Series Multi-Task Chairs"/>
    <n v="563.94000000000005"/>
    <n v="3"/>
    <n v="112.788"/>
    <x v="0"/>
    <x v="5"/>
  </r>
  <r>
    <x v="1340"/>
    <x v="763"/>
    <m/>
    <n v="42115"/>
    <x v="1"/>
    <s v="DM-13345"/>
    <s v="Denise Monton"/>
    <x v="1"/>
    <s v="United States"/>
    <x v="13"/>
    <x v="7"/>
    <x v="2"/>
    <s v="FUR-CH-10003968"/>
    <s v="Furniture"/>
    <x v="1"/>
    <s v="Novimex Turbo Task Chair"/>
    <n v="127.764"/>
    <n v="2"/>
    <n v="2.8391999999999999"/>
    <x v="2"/>
    <x v="6"/>
  </r>
  <r>
    <x v="1341"/>
    <x v="716"/>
    <m/>
    <n v="43061"/>
    <x v="1"/>
    <s v="MB-18085"/>
    <s v="Mick Brown"/>
    <x v="0"/>
    <s v="United States"/>
    <x v="18"/>
    <x v="2"/>
    <x v="1"/>
    <s v="FUR-FU-10001196"/>
    <s v="Furniture"/>
    <x v="3"/>
    <s v="DAX Cubicle Frames - 8x10"/>
    <n v="17.309999999999999"/>
    <n v="3"/>
    <n v="5.1929999999999996"/>
    <x v="6"/>
    <x v="0"/>
  </r>
  <r>
    <x v="1342"/>
    <x v="26"/>
    <m/>
    <n v="42622"/>
    <x v="1"/>
    <s v="DB-13210"/>
    <s v="Dean Braden"/>
    <x v="0"/>
    <s v="United States"/>
    <x v="3"/>
    <x v="3"/>
    <x v="2"/>
    <s v="FUR-FU-10000260"/>
    <s v="Furniture"/>
    <x v="3"/>
    <s v="6&quot; Cubicle Wall Clock, Black"/>
    <n v="58.247999999999998"/>
    <n v="9"/>
    <n v="11.6496"/>
    <x v="4"/>
    <x v="4"/>
  </r>
  <r>
    <x v="1342"/>
    <x v="26"/>
    <m/>
    <n v="42622"/>
    <x v="1"/>
    <s v="DB-13210"/>
    <s v="Dean Braden"/>
    <x v="0"/>
    <s v="United States"/>
    <x v="3"/>
    <x v="3"/>
    <x v="2"/>
    <s v="FUR-CH-10001146"/>
    <s v="Furniture"/>
    <x v="1"/>
    <s v="Global Task Chair, Black"/>
    <n v="71.245999999999995"/>
    <n v="2"/>
    <n v="-19.338200000000001"/>
    <x v="4"/>
    <x v="4"/>
  </r>
  <r>
    <x v="1342"/>
    <x v="26"/>
    <m/>
    <n v="42622"/>
    <x v="1"/>
    <s v="DB-13210"/>
    <s v="Dean Braden"/>
    <x v="0"/>
    <s v="United States"/>
    <x v="3"/>
    <x v="3"/>
    <x v="2"/>
    <s v="FUR-CH-10000309"/>
    <s v="Furniture"/>
    <x v="1"/>
    <s v="Global Comet Stacking Arm Chair"/>
    <n v="887.27099999999996"/>
    <n v="3"/>
    <n v="-63.3765"/>
    <x v="4"/>
    <x v="4"/>
  </r>
  <r>
    <x v="1343"/>
    <x v="614"/>
    <m/>
    <n v="42521"/>
    <x v="1"/>
    <s v="BS-11665"/>
    <s v="Brian Stugart"/>
    <x v="0"/>
    <s v="United States"/>
    <x v="9"/>
    <x v="8"/>
    <x v="3"/>
    <s v="FUR-FU-10003247"/>
    <s v="Furniture"/>
    <x v="3"/>
    <s v="36X48 HARDFLOOR CHAIRMAT"/>
    <n v="25.175999999999998"/>
    <n v="3"/>
    <n v="-33.358199999999997"/>
    <x v="4"/>
    <x v="7"/>
  </r>
  <r>
    <x v="1343"/>
    <x v="614"/>
    <m/>
    <n v="42521"/>
    <x v="1"/>
    <s v="BS-11665"/>
    <s v="Brian Stugart"/>
    <x v="0"/>
    <s v="United States"/>
    <x v="9"/>
    <x v="8"/>
    <x v="3"/>
    <s v="FUR-FU-10002191"/>
    <s v="Furniture"/>
    <x v="3"/>
    <s v="G.E. Halogen Desk Lamp Bulbs"/>
    <n v="5.5839999999999996"/>
    <n v="2"/>
    <n v="-1.6752"/>
    <x v="4"/>
    <x v="7"/>
  </r>
  <r>
    <x v="1344"/>
    <x v="108"/>
    <m/>
    <n v="42244"/>
    <x v="0"/>
    <s v="SC-20380"/>
    <s v="Shahid Collister"/>
    <x v="0"/>
    <s v="United States"/>
    <x v="13"/>
    <x v="7"/>
    <x v="2"/>
    <s v="FUR-FU-10000010"/>
    <s v="Furniture"/>
    <x v="3"/>
    <s v="DAX Value U-Channel Document Frames, Easel Back"/>
    <n v="14.91"/>
    <n v="3"/>
    <n v="4.6220999999999997"/>
    <x v="4"/>
    <x v="10"/>
  </r>
  <r>
    <x v="1345"/>
    <x v="526"/>
    <m/>
    <n v="43037"/>
    <x v="2"/>
    <s v="JM-15655"/>
    <s v="Jim Mitchum"/>
    <x v="1"/>
    <s v="United States"/>
    <x v="2"/>
    <x v="2"/>
    <x v="1"/>
    <s v="FUR-TA-10001539"/>
    <s v="Furniture"/>
    <x v="2"/>
    <s v="Chromcraft Rectangular Conference Tables"/>
    <n v="189.57599999999999"/>
    <n v="1"/>
    <n v="9.4787999999999997"/>
    <x v="3"/>
    <x v="1"/>
  </r>
  <r>
    <x v="1346"/>
    <x v="306"/>
    <m/>
    <n v="41972"/>
    <x v="1"/>
    <s v="RB-19435"/>
    <s v="Richard Bierner"/>
    <x v="0"/>
    <s v="United States"/>
    <x v="2"/>
    <x v="2"/>
    <x v="1"/>
    <s v="FUR-CH-10002335"/>
    <s v="Furniture"/>
    <x v="1"/>
    <s v="Hon GuestStacker Chair"/>
    <n v="725.34400000000005"/>
    <n v="4"/>
    <n v="54.400799999999997"/>
    <x v="4"/>
    <x v="0"/>
  </r>
  <r>
    <x v="1347"/>
    <x v="773"/>
    <m/>
    <n v="42151"/>
    <x v="0"/>
    <s v="NM-18445"/>
    <s v="Nathan Mautz"/>
    <x v="2"/>
    <s v="United States"/>
    <x v="25"/>
    <x v="17"/>
    <x v="3"/>
    <s v="FUR-FU-10003724"/>
    <s v="Furniture"/>
    <x v="3"/>
    <s v="Westinghouse Clip-On Gooseneck Lamps"/>
    <n v="75.33"/>
    <n v="9"/>
    <n v="19.585799999999999"/>
    <x v="4"/>
    <x v="7"/>
  </r>
  <r>
    <x v="1348"/>
    <x v="693"/>
    <m/>
    <n v="41730"/>
    <x v="2"/>
    <s v="MP-17470"/>
    <s v="Mark Packer"/>
    <x v="2"/>
    <s v="United States"/>
    <x v="193"/>
    <x v="5"/>
    <x v="3"/>
    <s v="FUR-CH-10002304"/>
    <s v="Furniture"/>
    <x v="1"/>
    <s v="Global Stack Chair without Arms, Black"/>
    <n v="127.30200000000001"/>
    <n v="7"/>
    <n v="-9.093"/>
    <x v="3"/>
    <x v="9"/>
  </r>
  <r>
    <x v="1349"/>
    <x v="297"/>
    <m/>
    <n v="43101"/>
    <x v="0"/>
    <s v="KH-16360"/>
    <s v="Katherine Hughes"/>
    <x v="0"/>
    <s v="United States"/>
    <x v="74"/>
    <x v="0"/>
    <x v="0"/>
    <s v="FUR-CH-10002602"/>
    <s v="Furniture"/>
    <x v="1"/>
    <s v="DMI Arturo Collection Mission-style Design Wood Chair"/>
    <n v="1207.8399999999999"/>
    <n v="8"/>
    <n v="314.03840000000002"/>
    <x v="0"/>
    <x v="5"/>
  </r>
  <r>
    <x v="1349"/>
    <x v="297"/>
    <m/>
    <n v="43101"/>
    <x v="0"/>
    <s v="KH-16360"/>
    <s v="Katherine Hughes"/>
    <x v="0"/>
    <s v="United States"/>
    <x v="74"/>
    <x v="0"/>
    <x v="0"/>
    <s v="FUR-CH-10004495"/>
    <s v="Furniture"/>
    <x v="1"/>
    <s v="Global Leather and Oak Executive Chair, Black"/>
    <n v="300.98"/>
    <n v="1"/>
    <n v="87.284199999999998"/>
    <x v="0"/>
    <x v="5"/>
  </r>
  <r>
    <x v="1349"/>
    <x v="297"/>
    <m/>
    <n v="43101"/>
    <x v="0"/>
    <s v="KH-16360"/>
    <s v="Katherine Hughes"/>
    <x v="0"/>
    <s v="United States"/>
    <x v="74"/>
    <x v="0"/>
    <x v="0"/>
    <s v="FUR-CH-10001270"/>
    <s v="Furniture"/>
    <x v="1"/>
    <s v="Harbour Creations Steel Folding Chair"/>
    <n v="258.75"/>
    <n v="3"/>
    <n v="77.625"/>
    <x v="0"/>
    <x v="5"/>
  </r>
  <r>
    <x v="1350"/>
    <x v="774"/>
    <m/>
    <n v="42802"/>
    <x v="1"/>
    <s v="DB-13555"/>
    <s v="Dorothy Badders"/>
    <x v="1"/>
    <s v="United States"/>
    <x v="19"/>
    <x v="14"/>
    <x v="2"/>
    <s v="FUR-BO-10003660"/>
    <s v="Furniture"/>
    <x v="0"/>
    <s v="Bush Cubix Collection Bookcases, Fully Assembled"/>
    <n v="441.96"/>
    <n v="2"/>
    <n v="101.6508"/>
    <x v="6"/>
    <x v="9"/>
  </r>
  <r>
    <x v="1351"/>
    <x v="509"/>
    <m/>
    <n v="42105"/>
    <x v="1"/>
    <s v="CA-11965"/>
    <s v="Carol Adams"/>
    <x v="1"/>
    <s v="United States"/>
    <x v="2"/>
    <x v="2"/>
    <x v="1"/>
    <s v="FUR-CH-10003973"/>
    <s v="Furniture"/>
    <x v="1"/>
    <s v="GuestStacker Chair with Chrome Finish Legs"/>
    <n v="892.22400000000005"/>
    <n v="3"/>
    <n v="89.222399999999993"/>
    <x v="6"/>
    <x v="6"/>
  </r>
  <r>
    <x v="1352"/>
    <x v="775"/>
    <m/>
    <n v="42445"/>
    <x v="2"/>
    <s v="FC-14335"/>
    <s v="Fred Chung"/>
    <x v="1"/>
    <s v="United States"/>
    <x v="28"/>
    <x v="2"/>
    <x v="1"/>
    <s v="FUR-CH-10000309"/>
    <s v="Furniture"/>
    <x v="1"/>
    <s v="Global Comet Stacking Arm Chair"/>
    <n v="1352.0319999999999"/>
    <n v="4"/>
    <n v="84.501999999999995"/>
    <x v="5"/>
    <x v="9"/>
  </r>
  <r>
    <x v="1353"/>
    <x v="7"/>
    <m/>
    <n v="42369"/>
    <x v="1"/>
    <s v="DB-13120"/>
    <s v="David Bremer"/>
    <x v="1"/>
    <s v="United States"/>
    <x v="149"/>
    <x v="15"/>
    <x v="2"/>
    <s v="FUR-TA-10004154"/>
    <s v="Furniture"/>
    <x v="2"/>
    <s v="Riverside Furniture Oval Coffee Table, Oval End Table, End Table with Drawer"/>
    <n v="1548.99"/>
    <n v="9"/>
    <n v="-464.697"/>
    <x v="4"/>
    <x v="5"/>
  </r>
  <r>
    <x v="1354"/>
    <x v="737"/>
    <m/>
    <n v="42340"/>
    <x v="0"/>
    <s v="JM-15865"/>
    <s v="John Murray"/>
    <x v="0"/>
    <s v="United States"/>
    <x v="205"/>
    <x v="34"/>
    <x v="1"/>
    <s v="FUR-FU-10002813"/>
    <s v="Furniture"/>
    <x v="3"/>
    <s v="DAX Contemporary Wood Frame with Silver Metal Mat, Desktop, 11 x 14 Size"/>
    <n v="80.959999999999994"/>
    <n v="4"/>
    <n v="29.145600000000002"/>
    <x v="3"/>
    <x v="0"/>
  </r>
  <r>
    <x v="1355"/>
    <x v="776"/>
    <m/>
    <n v="41744"/>
    <x v="3"/>
    <s v="PS-18970"/>
    <s v="Paul Stevenson"/>
    <x v="2"/>
    <s v="United States"/>
    <x v="2"/>
    <x v="2"/>
    <x v="1"/>
    <s v="FUR-FU-10004091"/>
    <s v="Furniture"/>
    <x v="3"/>
    <s v="Howard Miller 13&quot; Diameter Goldtone Round Wall Clock"/>
    <n v="187.76"/>
    <n v="4"/>
    <n v="76.9816"/>
    <x v="7"/>
    <x v="6"/>
  </r>
  <r>
    <x v="1356"/>
    <x v="777"/>
    <m/>
    <n v="41651"/>
    <x v="1"/>
    <s v="VS-21820"/>
    <s v="Vivek Sundaresam"/>
    <x v="0"/>
    <s v="United States"/>
    <x v="156"/>
    <x v="5"/>
    <x v="3"/>
    <s v="FUR-FU-10004864"/>
    <s v="Furniture"/>
    <x v="3"/>
    <s v="Howard Miller 14-1/2&quot; Diameter Chrome Round Wall Clock"/>
    <n v="76.727999999999994"/>
    <n v="3"/>
    <n v="-53.709600000000002"/>
    <x v="2"/>
    <x v="8"/>
  </r>
  <r>
    <x v="1357"/>
    <x v="27"/>
    <m/>
    <n v="41938"/>
    <x v="1"/>
    <s v="NB-18580"/>
    <s v="Nicole Brennan"/>
    <x v="1"/>
    <s v="United States"/>
    <x v="331"/>
    <x v="35"/>
    <x v="0"/>
    <s v="FUR-FU-10000193"/>
    <s v="Furniture"/>
    <x v="3"/>
    <s v="Tenex Chairmats For Use with Hard Floors"/>
    <n v="129.91999999999999"/>
    <n v="4"/>
    <n v="10.393599999999999"/>
    <x v="4"/>
    <x v="1"/>
  </r>
  <r>
    <x v="1358"/>
    <x v="61"/>
    <m/>
    <n v="42337"/>
    <x v="0"/>
    <s v="MA-17560"/>
    <s v="Matt Abelman"/>
    <x v="2"/>
    <s v="United States"/>
    <x v="114"/>
    <x v="20"/>
    <x v="2"/>
    <s v="FUR-BO-10002916"/>
    <s v="Furniture"/>
    <x v="0"/>
    <s v="Rush Hierlooms Collection 1&quot; Thick Stackable Bookcases"/>
    <n v="170.98"/>
    <n v="1"/>
    <n v="32.486199999999997"/>
    <x v="3"/>
    <x v="0"/>
  </r>
  <r>
    <x v="1358"/>
    <x v="61"/>
    <m/>
    <n v="42337"/>
    <x v="0"/>
    <s v="MA-17560"/>
    <s v="Matt Abelman"/>
    <x v="2"/>
    <s v="United States"/>
    <x v="114"/>
    <x v="20"/>
    <x v="2"/>
    <s v="FUR-FU-10002506"/>
    <s v="Furniture"/>
    <x v="3"/>
    <s v="Tensor &quot;Hersey Kiss&quot; Styled Floor Lamp"/>
    <n v="38.97"/>
    <n v="3"/>
    <n v="4.6764000000000001"/>
    <x v="3"/>
    <x v="0"/>
  </r>
  <r>
    <x v="1358"/>
    <x v="61"/>
    <m/>
    <n v="42337"/>
    <x v="0"/>
    <s v="MA-17560"/>
    <s v="Matt Abelman"/>
    <x v="2"/>
    <s v="United States"/>
    <x v="114"/>
    <x v="20"/>
    <x v="2"/>
    <s v="FUR-TA-10004619"/>
    <s v="Furniture"/>
    <x v="2"/>
    <s v="Hon Non-Folding Utility Tables"/>
    <n v="446.06799999999998"/>
    <n v="4"/>
    <n v="0"/>
    <x v="3"/>
    <x v="0"/>
  </r>
  <r>
    <x v="1359"/>
    <x v="252"/>
    <m/>
    <n v="42011"/>
    <x v="1"/>
    <s v="KM-16375"/>
    <s v="Katherine Murray"/>
    <x v="2"/>
    <s v="United States"/>
    <x v="134"/>
    <x v="38"/>
    <x v="2"/>
    <s v="FUR-BO-10000362"/>
    <s v="Furniture"/>
    <x v="0"/>
    <s v="Sauder Inglewood Library Bookcases"/>
    <n v="341.96"/>
    <n v="2"/>
    <n v="78.650800000000004"/>
    <x v="1"/>
    <x v="5"/>
  </r>
  <r>
    <x v="1359"/>
    <x v="252"/>
    <m/>
    <n v="42011"/>
    <x v="1"/>
    <s v="KM-16375"/>
    <s v="Katherine Murray"/>
    <x v="2"/>
    <s v="United States"/>
    <x v="134"/>
    <x v="38"/>
    <x v="2"/>
    <s v="FUR-CH-10004218"/>
    <s v="Furniture"/>
    <x v="1"/>
    <s v="Global Fabric Manager's Chair, Dark Gray"/>
    <n v="605.88"/>
    <n v="6"/>
    <n v="151.47"/>
    <x v="1"/>
    <x v="5"/>
  </r>
  <r>
    <x v="1360"/>
    <x v="778"/>
    <m/>
    <n v="42703"/>
    <x v="1"/>
    <s v="BB-11545"/>
    <s v="Brenda Bowman"/>
    <x v="1"/>
    <s v="United States"/>
    <x v="38"/>
    <x v="17"/>
    <x v="3"/>
    <s v="FUR-TA-10001095"/>
    <s v="Furniture"/>
    <x v="2"/>
    <s v="Chromcraft Round Conference Tables"/>
    <n v="1568.61"/>
    <n v="9"/>
    <n v="329.40809999999999"/>
    <x v="4"/>
    <x v="0"/>
  </r>
  <r>
    <x v="1361"/>
    <x v="316"/>
    <m/>
    <n v="42933"/>
    <x v="2"/>
    <s v="RS-19420"/>
    <s v="Ricardo Sperren"/>
    <x v="1"/>
    <s v="United States"/>
    <x v="122"/>
    <x v="25"/>
    <x v="0"/>
    <s v="FUR-TA-10004575"/>
    <s v="Furniture"/>
    <x v="2"/>
    <s v="Hon 5100 Series Wood Tables"/>
    <n v="872.94"/>
    <n v="3"/>
    <n v="157.1292"/>
    <x v="3"/>
    <x v="3"/>
  </r>
  <r>
    <x v="1362"/>
    <x v="779"/>
    <m/>
    <n v="42451"/>
    <x v="3"/>
    <s v="MC-17275"/>
    <s v="Marc Crier"/>
    <x v="0"/>
    <s v="United States"/>
    <x v="15"/>
    <x v="13"/>
    <x v="1"/>
    <s v="FUR-CH-10004754"/>
    <s v="Furniture"/>
    <x v="1"/>
    <s v="Global Stack Chair with Arms, Black"/>
    <n v="167.88800000000001"/>
    <n v="7"/>
    <n v="14.690200000000001"/>
    <x v="7"/>
    <x v="9"/>
  </r>
  <r>
    <x v="1363"/>
    <x v="417"/>
    <m/>
    <n v="43087"/>
    <x v="1"/>
    <s v="BF-11170"/>
    <s v="Ben Ferrer"/>
    <x v="2"/>
    <s v="United States"/>
    <x v="37"/>
    <x v="20"/>
    <x v="2"/>
    <s v="FUR-TA-10003473"/>
    <s v="Furniture"/>
    <x v="2"/>
    <s v="Bretford Rectangular Conference Table Tops"/>
    <n v="526.58199999999999"/>
    <n v="2"/>
    <n v="-52.658200000000001"/>
    <x v="4"/>
    <x v="5"/>
  </r>
  <r>
    <x v="1364"/>
    <x v="238"/>
    <m/>
    <n v="42615"/>
    <x v="1"/>
    <s v="AA-10480"/>
    <s v="Andrew Allen"/>
    <x v="0"/>
    <s v="United States"/>
    <x v="25"/>
    <x v="17"/>
    <x v="3"/>
    <s v="FUR-TA-10004147"/>
    <s v="Furniture"/>
    <x v="2"/>
    <s v="Hon 4060 Series Tables"/>
    <n v="447.84"/>
    <n v="4"/>
    <n v="98.524799999999999"/>
    <x v="1"/>
    <x v="10"/>
  </r>
  <r>
    <x v="1365"/>
    <x v="780"/>
    <m/>
    <n v="43038"/>
    <x v="0"/>
    <s v="JM-15250"/>
    <s v="Janet Martin"/>
    <x v="0"/>
    <s v="United States"/>
    <x v="160"/>
    <x v="30"/>
    <x v="0"/>
    <s v="FUR-FU-10001876"/>
    <s v="Furniture"/>
    <x v="3"/>
    <s v="Computer Room Manger, 14&quot;"/>
    <n v="77.951999999999998"/>
    <n v="3"/>
    <n v="15.590400000000001"/>
    <x v="3"/>
    <x v="1"/>
  </r>
  <r>
    <x v="1366"/>
    <x v="468"/>
    <m/>
    <n v="42261"/>
    <x v="1"/>
    <s v="AR-10345"/>
    <s v="Alex Russell"/>
    <x v="1"/>
    <s v="United States"/>
    <x v="198"/>
    <x v="5"/>
    <x v="3"/>
    <s v="FUR-CH-10003981"/>
    <s v="Furniture"/>
    <x v="1"/>
    <s v="Global Commerce Series Low-Back Swivel/Tilt Chairs"/>
    <n v="179.886"/>
    <n v="1"/>
    <n v="-2.5697999999999999"/>
    <x v="4"/>
    <x v="4"/>
  </r>
  <r>
    <x v="1367"/>
    <x v="234"/>
    <m/>
    <n v="42905"/>
    <x v="1"/>
    <s v="TW-21025"/>
    <s v="Tamara Willingham"/>
    <x v="2"/>
    <s v="United States"/>
    <x v="15"/>
    <x v="13"/>
    <x v="1"/>
    <s v="FUR-CH-10003774"/>
    <s v="Furniture"/>
    <x v="1"/>
    <s v="Global Wood Trimmed Manager's Task Chair, Khaki"/>
    <n v="291.13600000000002"/>
    <n v="4"/>
    <n v="-25.474399999999999"/>
    <x v="6"/>
    <x v="2"/>
  </r>
  <r>
    <x v="1368"/>
    <x v="311"/>
    <m/>
    <n v="42179"/>
    <x v="1"/>
    <s v="KH-16510"/>
    <s v="Keith Herrera"/>
    <x v="0"/>
    <s v="United States"/>
    <x v="58"/>
    <x v="25"/>
    <x v="0"/>
    <s v="FUR-FU-10003464"/>
    <s v="Furniture"/>
    <x v="3"/>
    <s v="Seth Thomas 8 1/2&quot; Cubicle Clock"/>
    <n v="60.84"/>
    <n v="3"/>
    <n v="19.468800000000002"/>
    <x v="6"/>
    <x v="2"/>
  </r>
  <r>
    <x v="1369"/>
    <x v="737"/>
    <m/>
    <n v="42341"/>
    <x v="2"/>
    <s v="AB-10600"/>
    <s v="Ann Blume"/>
    <x v="1"/>
    <s v="United States"/>
    <x v="51"/>
    <x v="30"/>
    <x v="0"/>
    <s v="FUR-FU-10001546"/>
    <s v="Furniture"/>
    <x v="3"/>
    <s v="Dana Swing-Arm Lamps"/>
    <n v="17.088000000000001"/>
    <n v="2"/>
    <n v="1.0680000000000001"/>
    <x v="0"/>
    <x v="0"/>
  </r>
  <r>
    <x v="1370"/>
    <x v="596"/>
    <m/>
    <n v="43055"/>
    <x v="0"/>
    <s v="SP-20620"/>
    <s v="Stefania Perrino"/>
    <x v="1"/>
    <s v="United States"/>
    <x v="252"/>
    <x v="7"/>
    <x v="2"/>
    <s v="FUR-FU-10004845"/>
    <s v="Furniture"/>
    <x v="3"/>
    <s v="Deflect-o EconoMat Nonstudded, No Bevel Mat"/>
    <n v="154.94999999999999"/>
    <n v="3"/>
    <n v="30.99"/>
    <x v="0"/>
    <x v="0"/>
  </r>
  <r>
    <x v="1371"/>
    <x v="661"/>
    <m/>
    <n v="42959"/>
    <x v="3"/>
    <s v="BB-11545"/>
    <s v="Brenda Bowman"/>
    <x v="1"/>
    <s v="United States"/>
    <x v="11"/>
    <x v="32"/>
    <x v="2"/>
    <s v="FUR-CH-10002331"/>
    <s v="Furniture"/>
    <x v="1"/>
    <s v="Hon 4700 Series Mobuis Mid-Back Task Chairs with Adjustable Arms"/>
    <n v="1779.9"/>
    <n v="5"/>
    <n v="373.779"/>
    <x v="7"/>
    <x v="10"/>
  </r>
  <r>
    <x v="1372"/>
    <x v="114"/>
    <m/>
    <n v="42680"/>
    <x v="0"/>
    <s v="ER-13855"/>
    <s v="Elpida Rittenbach"/>
    <x v="1"/>
    <s v="United States"/>
    <x v="127"/>
    <x v="30"/>
    <x v="0"/>
    <s v="FUR-TA-10002533"/>
    <s v="Furniture"/>
    <x v="2"/>
    <s v="BPI Conference Tables"/>
    <n v="876.3"/>
    <n v="10"/>
    <n v="-292.10000000000002"/>
    <x v="3"/>
    <x v="0"/>
  </r>
  <r>
    <x v="1373"/>
    <x v="586"/>
    <m/>
    <n v="42510"/>
    <x v="2"/>
    <s v="LW-17215"/>
    <s v="Luke Weiss"/>
    <x v="0"/>
    <s v="United States"/>
    <x v="9"/>
    <x v="8"/>
    <x v="3"/>
    <s v="FUR-FU-10004973"/>
    <s v="Furniture"/>
    <x v="3"/>
    <s v="Flat Face Poster Frame"/>
    <n v="22.608000000000001"/>
    <n v="3"/>
    <n v="-10.1736"/>
    <x v="0"/>
    <x v="7"/>
  </r>
  <r>
    <x v="1374"/>
    <x v="781"/>
    <m/>
    <n v="42821"/>
    <x v="2"/>
    <s v="HR-14830"/>
    <s v="Harold Ryan"/>
    <x v="1"/>
    <s v="United States"/>
    <x v="13"/>
    <x v="7"/>
    <x v="2"/>
    <s v="FUR-CH-10003396"/>
    <s v="Furniture"/>
    <x v="1"/>
    <s v="Global Deluxe Steno Chair"/>
    <n v="207.846"/>
    <n v="3"/>
    <n v="2.3094000000000001"/>
    <x v="0"/>
    <x v="9"/>
  </r>
  <r>
    <x v="1375"/>
    <x v="782"/>
    <m/>
    <n v="41727"/>
    <x v="0"/>
    <s v="MS-17710"/>
    <s v="Maurice Satty"/>
    <x v="0"/>
    <s v="United States"/>
    <x v="99"/>
    <x v="2"/>
    <x v="1"/>
    <s v="FUR-FU-10002813"/>
    <s v="Furniture"/>
    <x v="3"/>
    <s v="DAX Contemporary Wood Frame with Silver Metal Mat, Desktop, 11 x 14 Size"/>
    <n v="40.479999999999997"/>
    <n v="2"/>
    <n v="14.572800000000001"/>
    <x v="2"/>
    <x v="9"/>
  </r>
  <r>
    <x v="1376"/>
    <x v="783"/>
    <m/>
    <n v="42415"/>
    <x v="2"/>
    <s v="DK-13090"/>
    <s v="Dave Kipp"/>
    <x v="0"/>
    <s v="United States"/>
    <x v="218"/>
    <x v="32"/>
    <x v="2"/>
    <s v="FUR-TA-10002356"/>
    <s v="Furniture"/>
    <x v="2"/>
    <s v="Bevis Boat-Shaped Conference Table"/>
    <n v="550.43100000000004"/>
    <n v="3"/>
    <n v="-47.1798"/>
    <x v="5"/>
    <x v="11"/>
  </r>
  <r>
    <x v="1376"/>
    <x v="783"/>
    <m/>
    <n v="42415"/>
    <x v="2"/>
    <s v="DK-13090"/>
    <s v="Dave Kipp"/>
    <x v="0"/>
    <s v="United States"/>
    <x v="218"/>
    <x v="32"/>
    <x v="2"/>
    <s v="FUR-FU-10003274"/>
    <s v="Furniture"/>
    <x v="3"/>
    <s v="Regeneration Desk Collection"/>
    <n v="10.56"/>
    <n v="6"/>
    <n v="4.6463999999999999"/>
    <x v="5"/>
    <x v="11"/>
  </r>
  <r>
    <x v="1377"/>
    <x v="784"/>
    <m/>
    <n v="42896"/>
    <x v="2"/>
    <s v="MG-17680"/>
    <s v="Maureen Gastineau"/>
    <x v="2"/>
    <s v="United States"/>
    <x v="2"/>
    <x v="2"/>
    <x v="1"/>
    <s v="FUR-BO-10004834"/>
    <s v="Furniture"/>
    <x v="0"/>
    <s v="Riverside Palais Royal Lawyers Bookcase, Royale Cherry Finish"/>
    <n v="1497.6659999999999"/>
    <n v="2"/>
    <n v="140.95679999999999"/>
    <x v="3"/>
    <x v="2"/>
  </r>
  <r>
    <x v="1378"/>
    <x v="785"/>
    <m/>
    <n v="41782"/>
    <x v="1"/>
    <s v="PW-19030"/>
    <s v="Pauline Webber"/>
    <x v="1"/>
    <s v="United States"/>
    <x v="2"/>
    <x v="2"/>
    <x v="1"/>
    <s v="FUR-CH-10002439"/>
    <s v="Furniture"/>
    <x v="1"/>
    <s v="Iceberg Nesting Folding Chair, 19w x 6d x 43h"/>
    <n v="232.88"/>
    <n v="5"/>
    <n v="17.466000000000001"/>
    <x v="1"/>
    <x v="7"/>
  </r>
  <r>
    <x v="1379"/>
    <x v="136"/>
    <m/>
    <n v="42042"/>
    <x v="1"/>
    <s v="PW-19030"/>
    <s v="Pauline Webber"/>
    <x v="1"/>
    <s v="United States"/>
    <x v="248"/>
    <x v="7"/>
    <x v="2"/>
    <s v="FUR-CH-10004218"/>
    <s v="Furniture"/>
    <x v="1"/>
    <s v="Global Fabric Manager's Chair, Dark Gray"/>
    <n v="90.882000000000005"/>
    <n v="1"/>
    <n v="15.147"/>
    <x v="4"/>
    <x v="11"/>
  </r>
  <r>
    <x v="1380"/>
    <x v="12"/>
    <m/>
    <n v="42125"/>
    <x v="1"/>
    <s v="BW-11110"/>
    <s v="Bart Watters"/>
    <x v="1"/>
    <s v="United States"/>
    <x v="53"/>
    <x v="2"/>
    <x v="1"/>
    <s v="FUR-CH-10002017"/>
    <s v="Furniture"/>
    <x v="1"/>
    <s v="SAFCO Optional Arm Kit for Workspace Cribbage Stacking Chair"/>
    <n v="63.936"/>
    <n v="3"/>
    <n v="6.3936000000000002"/>
    <x v="2"/>
    <x v="6"/>
  </r>
  <r>
    <x v="1381"/>
    <x v="315"/>
    <m/>
    <n v="42111"/>
    <x v="0"/>
    <s v="EB-14110"/>
    <s v="Eugene Barchas"/>
    <x v="0"/>
    <s v="United States"/>
    <x v="2"/>
    <x v="2"/>
    <x v="1"/>
    <s v="FUR-TA-10002530"/>
    <s v="Furniture"/>
    <x v="2"/>
    <s v="Iceberg OfficeWorks 42&quot; Round Tables"/>
    <n v="241.56800000000001"/>
    <n v="2"/>
    <n v="-15.098000000000001"/>
    <x v="4"/>
    <x v="6"/>
  </r>
  <r>
    <x v="1382"/>
    <x v="4"/>
    <m/>
    <n v="42277"/>
    <x v="1"/>
    <s v="SH-19975"/>
    <s v="Sally Hughsby"/>
    <x v="1"/>
    <s v="United States"/>
    <x v="15"/>
    <x v="13"/>
    <x v="1"/>
    <s v="FUR-CH-10004289"/>
    <s v="Furniture"/>
    <x v="1"/>
    <s v="Global Super Steno Chair"/>
    <n v="307.13600000000002"/>
    <n v="4"/>
    <n v="-11.5176"/>
    <x v="2"/>
    <x v="4"/>
  </r>
  <r>
    <x v="1383"/>
    <x v="786"/>
    <m/>
    <n v="41731"/>
    <x v="1"/>
    <s v="CV-12295"/>
    <s v="Christina VanderZanden"/>
    <x v="0"/>
    <s v="United States"/>
    <x v="67"/>
    <x v="26"/>
    <x v="3"/>
    <s v="FUR-TA-10003954"/>
    <s v="Furniture"/>
    <x v="2"/>
    <s v="Hon 94000 Series Round Tables"/>
    <n v="1184.72"/>
    <n v="4"/>
    <n v="106.62479999999999"/>
    <x v="2"/>
    <x v="9"/>
  </r>
  <r>
    <x v="1384"/>
    <x v="720"/>
    <m/>
    <n v="42941"/>
    <x v="1"/>
    <s v="GM-14500"/>
    <s v="Gene McClure"/>
    <x v="0"/>
    <s v="United States"/>
    <x v="191"/>
    <x v="5"/>
    <x v="3"/>
    <s v="FUR-TA-10001676"/>
    <s v="Furniture"/>
    <x v="2"/>
    <s v="Hon 61000 Series Interactive Training Tables"/>
    <n v="124.404"/>
    <n v="4"/>
    <n v="-21.3264"/>
    <x v="4"/>
    <x v="3"/>
  </r>
  <r>
    <x v="1385"/>
    <x v="787"/>
    <m/>
    <n v="42431"/>
    <x v="1"/>
    <s v="DW-13540"/>
    <s v="Don Weiss"/>
    <x v="0"/>
    <s v="United States"/>
    <x v="6"/>
    <x v="5"/>
    <x v="3"/>
    <s v="FUR-FU-10004053"/>
    <s v="Furniture"/>
    <x v="3"/>
    <s v="DAX Two-Tone Silver Metal Document Frame"/>
    <n v="16.192"/>
    <n v="2"/>
    <n v="-6.8815999999999997"/>
    <x v="4"/>
    <x v="11"/>
  </r>
  <r>
    <x v="1386"/>
    <x v="788"/>
    <m/>
    <n v="42204"/>
    <x v="0"/>
    <s v="TG-21310"/>
    <s v="Toby Gnade"/>
    <x v="0"/>
    <s v="United States"/>
    <x v="81"/>
    <x v="22"/>
    <x v="1"/>
    <s v="FUR-CH-10004287"/>
    <s v="Furniture"/>
    <x v="1"/>
    <s v="SAFCO Arco Folding Chair"/>
    <n v="441.92"/>
    <n v="2"/>
    <n v="49.716000000000001"/>
    <x v="2"/>
    <x v="3"/>
  </r>
  <r>
    <x v="1386"/>
    <x v="788"/>
    <m/>
    <n v="42204"/>
    <x v="0"/>
    <s v="TG-21310"/>
    <s v="Toby Gnade"/>
    <x v="0"/>
    <s v="United States"/>
    <x v="81"/>
    <x v="22"/>
    <x v="1"/>
    <s v="FUR-BO-10001608"/>
    <s v="Furniture"/>
    <x v="0"/>
    <s v="Hon Metal Bookcases, Black"/>
    <n v="127.764"/>
    <n v="6"/>
    <n v="-191.64599999999999"/>
    <x v="2"/>
    <x v="3"/>
  </r>
  <r>
    <x v="1387"/>
    <x v="162"/>
    <m/>
    <n v="42650"/>
    <x v="1"/>
    <s v="DB-12910"/>
    <s v="Daniel Byrd"/>
    <x v="2"/>
    <s v="United States"/>
    <x v="284"/>
    <x v="2"/>
    <x v="1"/>
    <s v="FUR-CH-10004063"/>
    <s v="Furniture"/>
    <x v="1"/>
    <s v="Global Deluxe High-Back Manager's Chair"/>
    <n v="915.13599999999997"/>
    <n v="4"/>
    <n v="102.9528"/>
    <x v="4"/>
    <x v="1"/>
  </r>
  <r>
    <x v="1388"/>
    <x v="789"/>
    <m/>
    <n v="42708"/>
    <x v="0"/>
    <s v="DR-12940"/>
    <s v="Daniel Raglin"/>
    <x v="2"/>
    <s v="United States"/>
    <x v="14"/>
    <x v="8"/>
    <x v="3"/>
    <s v="FUR-FU-10003806"/>
    <s v="Furniture"/>
    <x v="3"/>
    <s v="Tenex Chairmat w/ Average Lip, 45&quot; x 53&quot;"/>
    <n v="242.17599999999999"/>
    <n v="4"/>
    <n v="-302.72000000000003"/>
    <x v="2"/>
    <x v="0"/>
  </r>
  <r>
    <x v="1389"/>
    <x v="184"/>
    <m/>
    <n v="42542"/>
    <x v="1"/>
    <s v="JS-15685"/>
    <s v="Jim Sink"/>
    <x v="1"/>
    <s v="United States"/>
    <x v="3"/>
    <x v="3"/>
    <x v="2"/>
    <s v="FUR-TA-10003392"/>
    <s v="Furniture"/>
    <x v="2"/>
    <s v="Global Adaptabilities Conference Tables"/>
    <n v="337.17599999999999"/>
    <n v="2"/>
    <n v="-118.0116"/>
    <x v="1"/>
    <x v="2"/>
  </r>
  <r>
    <x v="1390"/>
    <x v="587"/>
    <m/>
    <n v="43075"/>
    <x v="0"/>
    <s v="LC-16870"/>
    <s v="Lena Cacioppo"/>
    <x v="0"/>
    <s v="United States"/>
    <x v="332"/>
    <x v="12"/>
    <x v="1"/>
    <s v="FUR-FU-10004351"/>
    <s v="Furniture"/>
    <x v="3"/>
    <s v="Staple-based wall hangings"/>
    <n v="23.376000000000001"/>
    <n v="3"/>
    <n v="7.0128000000000004"/>
    <x v="0"/>
    <x v="5"/>
  </r>
  <r>
    <x v="1390"/>
    <x v="587"/>
    <m/>
    <n v="43075"/>
    <x v="0"/>
    <s v="LC-16870"/>
    <s v="Lena Cacioppo"/>
    <x v="0"/>
    <s v="United States"/>
    <x v="332"/>
    <x v="12"/>
    <x v="1"/>
    <s v="FUR-FU-10004270"/>
    <s v="Furniture"/>
    <x v="3"/>
    <s v="Eldon Image Series Desk Accessories, Burgundy"/>
    <n v="16.72"/>
    <n v="5"/>
    <n v="3.3439999999999999"/>
    <x v="0"/>
    <x v="5"/>
  </r>
  <r>
    <x v="1390"/>
    <x v="587"/>
    <m/>
    <n v="43075"/>
    <x v="0"/>
    <s v="LC-16870"/>
    <s v="Lena Cacioppo"/>
    <x v="0"/>
    <s v="United States"/>
    <x v="332"/>
    <x v="12"/>
    <x v="1"/>
    <s v="FUR-FU-10004053"/>
    <s v="Furniture"/>
    <x v="3"/>
    <s v="DAX Two-Tone Silver Metal Document Frame"/>
    <n v="16.192"/>
    <n v="1"/>
    <n v="4.6551999999999998"/>
    <x v="0"/>
    <x v="5"/>
  </r>
  <r>
    <x v="1391"/>
    <x v="683"/>
    <m/>
    <n v="42733"/>
    <x v="1"/>
    <s v="TS-21655"/>
    <s v="Trudy Schmidt"/>
    <x v="0"/>
    <s v="United States"/>
    <x v="160"/>
    <x v="31"/>
    <x v="0"/>
    <s v="FUR-FU-10003553"/>
    <s v="Furniture"/>
    <x v="3"/>
    <s v="Howard Miller 13-1/2&quot; Diameter Rosebrook Wall Clock"/>
    <n v="343.85"/>
    <n v="5"/>
    <n v="137.54"/>
    <x v="4"/>
    <x v="5"/>
  </r>
  <r>
    <x v="1392"/>
    <x v="790"/>
    <m/>
    <n v="42965"/>
    <x v="1"/>
    <s v="DC-12850"/>
    <s v="Dan Campbell"/>
    <x v="0"/>
    <s v="United States"/>
    <x v="10"/>
    <x v="9"/>
    <x v="0"/>
    <s v="FUR-FU-10003268"/>
    <s v="Furniture"/>
    <x v="3"/>
    <s v="Eldon Radial Chair Mat for Low to Medium Pile Carpets"/>
    <n v="31.984000000000002"/>
    <n v="1"/>
    <n v="0"/>
    <x v="2"/>
    <x v="10"/>
  </r>
  <r>
    <x v="1392"/>
    <x v="790"/>
    <m/>
    <n v="42965"/>
    <x v="1"/>
    <s v="DC-12850"/>
    <s v="Dan Campbell"/>
    <x v="0"/>
    <s v="United States"/>
    <x v="10"/>
    <x v="9"/>
    <x v="0"/>
    <s v="FUR-CH-10002073"/>
    <s v="Furniture"/>
    <x v="1"/>
    <s v="Hon Olson Stacker Chairs"/>
    <n v="423.64800000000002"/>
    <n v="2"/>
    <n v="47.660400000000003"/>
    <x v="2"/>
    <x v="10"/>
  </r>
  <r>
    <x v="1393"/>
    <x v="122"/>
    <m/>
    <n v="42711"/>
    <x v="1"/>
    <s v="RD-19720"/>
    <s v="Roger Demir"/>
    <x v="0"/>
    <s v="United States"/>
    <x v="333"/>
    <x v="2"/>
    <x v="1"/>
    <s v="FUR-TA-10004147"/>
    <s v="Furniture"/>
    <x v="2"/>
    <s v="Hon 4060 Series Tables"/>
    <n v="268.70400000000001"/>
    <n v="3"/>
    <n v="6.7176"/>
    <x v="4"/>
    <x v="5"/>
  </r>
  <r>
    <x v="1393"/>
    <x v="122"/>
    <m/>
    <n v="42711"/>
    <x v="1"/>
    <s v="RD-19720"/>
    <s v="Roger Demir"/>
    <x v="0"/>
    <s v="United States"/>
    <x v="333"/>
    <x v="2"/>
    <x v="1"/>
    <s v="FUR-BO-10001337"/>
    <s v="Furniture"/>
    <x v="0"/>
    <s v="O'Sullivan Living Dimensions 2-Shelf Bookcases"/>
    <n v="205.666"/>
    <n v="2"/>
    <n v="-12.098000000000001"/>
    <x v="4"/>
    <x v="5"/>
  </r>
  <r>
    <x v="1394"/>
    <x v="376"/>
    <m/>
    <n v="42490"/>
    <x v="0"/>
    <s v="RB-19570"/>
    <s v="Rob Beeghly"/>
    <x v="0"/>
    <s v="United States"/>
    <x v="317"/>
    <x v="8"/>
    <x v="3"/>
    <s v="FUR-FU-10001602"/>
    <s v="Furniture"/>
    <x v="3"/>
    <s v="Eldon Delta Triangular Chair Mat, 52&quot; x 58&quot;, Clear"/>
    <n v="30.344000000000001"/>
    <n v="2"/>
    <n v="-31.8612"/>
    <x v="3"/>
    <x v="6"/>
  </r>
  <r>
    <x v="1395"/>
    <x v="141"/>
    <m/>
    <n v="42332"/>
    <x v="1"/>
    <s v="PO-19195"/>
    <s v="Phillina Ober"/>
    <x v="2"/>
    <s v="United States"/>
    <x v="3"/>
    <x v="3"/>
    <x v="2"/>
    <s v="FUR-CH-10002880"/>
    <s v="Furniture"/>
    <x v="1"/>
    <s v="Global High-Back Leather Tilter, Burgundy"/>
    <n v="344.37200000000001"/>
    <n v="4"/>
    <n v="-93.472399999999993"/>
    <x v="4"/>
    <x v="0"/>
  </r>
  <r>
    <x v="1396"/>
    <x v="93"/>
    <m/>
    <n v="43063"/>
    <x v="0"/>
    <s v="KH-16330"/>
    <s v="Katharine Harms"/>
    <x v="1"/>
    <s v="United States"/>
    <x v="13"/>
    <x v="7"/>
    <x v="2"/>
    <s v="FUR-FU-10000820"/>
    <s v="Furniture"/>
    <x v="3"/>
    <s v="Tensor Brushed Steel Torchiere Floor Lamp"/>
    <n v="50.97"/>
    <n v="3"/>
    <n v="9.1745999999999999"/>
    <x v="4"/>
    <x v="0"/>
  </r>
  <r>
    <x v="1397"/>
    <x v="730"/>
    <m/>
    <n v="42943"/>
    <x v="2"/>
    <s v="EM-14200"/>
    <s v="Evan Minnotte"/>
    <x v="2"/>
    <s v="United States"/>
    <x v="144"/>
    <x v="5"/>
    <x v="3"/>
    <s v="FUR-TA-10004767"/>
    <s v="Furniture"/>
    <x v="2"/>
    <s v="Safco Drafting Table"/>
    <n v="298.11599999999999"/>
    <n v="6"/>
    <n v="-4.2587999999999999"/>
    <x v="3"/>
    <x v="3"/>
  </r>
  <r>
    <x v="1398"/>
    <x v="791"/>
    <m/>
    <n v="42571"/>
    <x v="1"/>
    <s v="MC-17425"/>
    <s v="Mark Cousins"/>
    <x v="1"/>
    <s v="United States"/>
    <x v="295"/>
    <x v="36"/>
    <x v="1"/>
    <s v="FUR-CH-10004886"/>
    <s v="Furniture"/>
    <x v="1"/>
    <s v="Bevis Steel Folding Chairs"/>
    <n v="230.28"/>
    <n v="3"/>
    <n v="23.027999999999999"/>
    <x v="2"/>
    <x v="3"/>
  </r>
  <r>
    <x v="1399"/>
    <x v="469"/>
    <m/>
    <n v="42721"/>
    <x v="2"/>
    <s v="DS-13180"/>
    <s v="David Smith"/>
    <x v="1"/>
    <s v="United States"/>
    <x v="53"/>
    <x v="2"/>
    <x v="1"/>
    <s v="FUR-CH-10001146"/>
    <s v="Furniture"/>
    <x v="1"/>
    <s v="Global Task Chair, Black"/>
    <n v="81.424000000000007"/>
    <n v="2"/>
    <n v="-9.1601999999999997"/>
    <x v="0"/>
    <x v="5"/>
  </r>
  <r>
    <x v="1400"/>
    <x v="29"/>
    <m/>
    <n v="41703"/>
    <x v="1"/>
    <s v="SC-20380"/>
    <s v="Shahid Collister"/>
    <x v="0"/>
    <s v="United States"/>
    <x v="116"/>
    <x v="5"/>
    <x v="3"/>
    <s v="FUR-CH-10001270"/>
    <s v="Furniture"/>
    <x v="1"/>
    <s v="Harbour Creations Steel Folding Chair"/>
    <n v="362.25"/>
    <n v="6"/>
    <n v="0"/>
    <x v="4"/>
    <x v="9"/>
  </r>
  <r>
    <x v="1400"/>
    <x v="29"/>
    <m/>
    <n v="41703"/>
    <x v="1"/>
    <s v="SC-20380"/>
    <s v="Shahid Collister"/>
    <x v="0"/>
    <s v="United States"/>
    <x v="116"/>
    <x v="5"/>
    <x v="3"/>
    <s v="FUR-FU-10001095"/>
    <s v="Furniture"/>
    <x v="3"/>
    <s v="DAX Black Cherry Wood-Tone Poster Frame"/>
    <n v="63.552"/>
    <n v="6"/>
    <n v="-34.953600000000002"/>
    <x v="4"/>
    <x v="9"/>
  </r>
  <r>
    <x v="1401"/>
    <x v="702"/>
    <m/>
    <n v="43018"/>
    <x v="1"/>
    <s v="GG-14650"/>
    <s v="Greg Guthrie"/>
    <x v="1"/>
    <s v="United States"/>
    <x v="297"/>
    <x v="2"/>
    <x v="1"/>
    <s v="FUR-CH-10001190"/>
    <s v="Furniture"/>
    <x v="1"/>
    <s v="Global Deluxe High-Back Office Chair in Storm"/>
    <n v="435.16800000000001"/>
    <n v="4"/>
    <n v="-59.835599999999999"/>
    <x v="2"/>
    <x v="1"/>
  </r>
  <r>
    <x v="1401"/>
    <x v="702"/>
    <m/>
    <n v="43018"/>
    <x v="1"/>
    <s v="GG-14650"/>
    <s v="Greg Guthrie"/>
    <x v="1"/>
    <s v="United States"/>
    <x v="297"/>
    <x v="2"/>
    <x v="1"/>
    <s v="FUR-FU-10004666"/>
    <s v="Furniture"/>
    <x v="3"/>
    <s v="DAX Clear Channel Poster Frame"/>
    <n v="72.900000000000006"/>
    <n v="5"/>
    <n v="26.972999999999999"/>
    <x v="2"/>
    <x v="1"/>
  </r>
  <r>
    <x v="1401"/>
    <x v="702"/>
    <m/>
    <n v="43018"/>
    <x v="1"/>
    <s v="GG-14650"/>
    <s v="Greg Guthrie"/>
    <x v="1"/>
    <s v="United States"/>
    <x v="297"/>
    <x v="2"/>
    <x v="1"/>
    <s v="FUR-TA-10004086"/>
    <s v="Furniture"/>
    <x v="2"/>
    <s v="KI Adjustable-Height Table"/>
    <n v="206.352"/>
    <n v="3"/>
    <n v="5.1588000000000003"/>
    <x v="2"/>
    <x v="1"/>
  </r>
  <r>
    <x v="1402"/>
    <x v="792"/>
    <m/>
    <n v="42655"/>
    <x v="2"/>
    <s v="CC-12610"/>
    <s v="Corey Catlett"/>
    <x v="1"/>
    <s v="United States"/>
    <x v="22"/>
    <x v="12"/>
    <x v="1"/>
    <s v="FUR-BO-10001567"/>
    <s v="Furniture"/>
    <x v="0"/>
    <s v="Bush Westfield Collection Bookcases, Dark Cherry Finish, Fully Assembled"/>
    <n v="90.882000000000005"/>
    <n v="3"/>
    <n v="-190.85220000000001"/>
    <x v="3"/>
    <x v="1"/>
  </r>
  <r>
    <x v="1402"/>
    <x v="792"/>
    <m/>
    <n v="42655"/>
    <x v="2"/>
    <s v="CC-12610"/>
    <s v="Corey Catlett"/>
    <x v="1"/>
    <s v="United States"/>
    <x v="22"/>
    <x v="12"/>
    <x v="1"/>
    <s v="FUR-CH-10004853"/>
    <s v="Furniture"/>
    <x v="1"/>
    <s v="Global Manager's Adjustable Task Chair, Storm"/>
    <n v="120.78400000000001"/>
    <n v="1"/>
    <n v="13.588200000000001"/>
    <x v="3"/>
    <x v="1"/>
  </r>
  <r>
    <x v="1403"/>
    <x v="793"/>
    <m/>
    <n v="42236"/>
    <x v="1"/>
    <s v="SP-20860"/>
    <s v="Sung Pak"/>
    <x v="1"/>
    <s v="United States"/>
    <x v="3"/>
    <x v="3"/>
    <x v="2"/>
    <s v="FUR-FU-10001488"/>
    <s v="Furniture"/>
    <x v="3"/>
    <s v="Tenex 46&quot; x 60&quot; Computer Anti-Static Chairmat, Rectangular Shaped"/>
    <n v="254.352"/>
    <n v="3"/>
    <n v="0"/>
    <x v="4"/>
    <x v="10"/>
  </r>
  <r>
    <x v="1404"/>
    <x v="767"/>
    <m/>
    <n v="41895"/>
    <x v="2"/>
    <s v="SF-20065"/>
    <s v="Sandra Flanagan"/>
    <x v="0"/>
    <s v="United States"/>
    <x v="334"/>
    <x v="18"/>
    <x v="2"/>
    <s v="FUR-FU-10001986"/>
    <s v="Furniture"/>
    <x v="3"/>
    <s v="Dana Fluorescent Magnifying Lamp, White, 36&quot;"/>
    <n v="254.9"/>
    <n v="5"/>
    <n v="76.47"/>
    <x v="0"/>
    <x v="4"/>
  </r>
  <r>
    <x v="1405"/>
    <x v="141"/>
    <m/>
    <n v="42331"/>
    <x v="0"/>
    <s v="MM-18055"/>
    <s v="Michelle Moray"/>
    <x v="0"/>
    <s v="United States"/>
    <x v="14"/>
    <x v="12"/>
    <x v="1"/>
    <s v="FUR-BO-10002268"/>
    <s v="Furniture"/>
    <x v="0"/>
    <s v="Sauder Barrister Bookcases"/>
    <n v="145.76400000000001"/>
    <n v="6"/>
    <n v="-247.7988"/>
    <x v="0"/>
    <x v="0"/>
  </r>
  <r>
    <x v="1406"/>
    <x v="54"/>
    <m/>
    <n v="43044"/>
    <x v="2"/>
    <s v="CR-12580"/>
    <s v="Clay Rozendal"/>
    <x v="2"/>
    <s v="United States"/>
    <x v="53"/>
    <x v="2"/>
    <x v="1"/>
    <s v="FUR-TA-10001095"/>
    <s v="Furniture"/>
    <x v="2"/>
    <s v="Chromcraft Round Conference Tables"/>
    <n v="1673.184"/>
    <n v="12"/>
    <n v="20.9148"/>
    <x v="3"/>
    <x v="0"/>
  </r>
  <r>
    <x v="1407"/>
    <x v="236"/>
    <m/>
    <n v="41766"/>
    <x v="2"/>
    <s v="BS-11365"/>
    <s v="Bill Shonely"/>
    <x v="1"/>
    <s v="United States"/>
    <x v="15"/>
    <x v="13"/>
    <x v="1"/>
    <s v="FUR-FU-10001852"/>
    <s v="Furniture"/>
    <x v="3"/>
    <s v="Eldon Regeneration Recycled Desk Accessories, Smoke"/>
    <n v="12.18"/>
    <n v="7"/>
    <n v="3.8976000000000002"/>
    <x v="0"/>
    <x v="7"/>
  </r>
  <r>
    <x v="1408"/>
    <x v="280"/>
    <m/>
    <n v="41976"/>
    <x v="2"/>
    <s v="AA-10645"/>
    <s v="Anna Andreadi"/>
    <x v="0"/>
    <s v="United States"/>
    <x v="172"/>
    <x v="20"/>
    <x v="2"/>
    <s v="FUR-FU-10003878"/>
    <s v="Furniture"/>
    <x v="3"/>
    <s v="Linden 10&quot; Round Wall Clock, Black"/>
    <n v="45.84"/>
    <n v="3"/>
    <n v="15.585599999999999"/>
    <x v="3"/>
    <x v="5"/>
  </r>
  <r>
    <x v="1408"/>
    <x v="280"/>
    <m/>
    <n v="41976"/>
    <x v="2"/>
    <s v="AA-10645"/>
    <s v="Anna Andreadi"/>
    <x v="0"/>
    <s v="United States"/>
    <x v="172"/>
    <x v="20"/>
    <x v="2"/>
    <s v="FUR-FU-10002268"/>
    <s v="Furniture"/>
    <x v="3"/>
    <s v="Ultra Door Push Plate"/>
    <n v="9.82"/>
    <n v="2"/>
    <n v="3.2406000000000001"/>
    <x v="3"/>
    <x v="5"/>
  </r>
  <r>
    <x v="1409"/>
    <x v="669"/>
    <m/>
    <n v="42332"/>
    <x v="1"/>
    <s v="AA-10645"/>
    <s v="Anna Andreadi"/>
    <x v="0"/>
    <s v="United States"/>
    <x v="258"/>
    <x v="37"/>
    <x v="3"/>
    <s v="FUR-CH-10002073"/>
    <s v="Furniture"/>
    <x v="1"/>
    <s v="Hon Olson Stacker Chairs"/>
    <n v="1323.9"/>
    <n v="5"/>
    <n v="383.93099999999998"/>
    <x v="1"/>
    <x v="0"/>
  </r>
  <r>
    <x v="1410"/>
    <x v="794"/>
    <m/>
    <n v="42880"/>
    <x v="3"/>
    <s v="TB-21625"/>
    <s v="Trudy Brown"/>
    <x v="0"/>
    <s v="United States"/>
    <x v="13"/>
    <x v="7"/>
    <x v="2"/>
    <s v="FUR-FU-10000732"/>
    <s v="Furniture"/>
    <x v="3"/>
    <s v="Eldon 200 Class Desk Accessories"/>
    <n v="18.84"/>
    <n v="3"/>
    <n v="6.0288000000000004"/>
    <x v="7"/>
    <x v="7"/>
  </r>
  <r>
    <x v="1411"/>
    <x v="383"/>
    <m/>
    <n v="41893"/>
    <x v="2"/>
    <s v="NF-18595"/>
    <s v="Nicole Fjeld"/>
    <x v="2"/>
    <s v="United States"/>
    <x v="68"/>
    <x v="15"/>
    <x v="2"/>
    <s v="FUR-FU-10002501"/>
    <s v="Furniture"/>
    <x v="3"/>
    <s v="Nu-Dell Executive Frame"/>
    <n v="60.671999999999997"/>
    <n v="6"/>
    <n v="12.892799999999999"/>
    <x v="3"/>
    <x v="4"/>
  </r>
  <r>
    <x v="1412"/>
    <x v="294"/>
    <m/>
    <n v="41845"/>
    <x v="1"/>
    <s v="HM-14860"/>
    <s v="Harry Marie"/>
    <x v="1"/>
    <s v="United States"/>
    <x v="144"/>
    <x v="5"/>
    <x v="3"/>
    <s v="FUR-CH-10004997"/>
    <s v="Furniture"/>
    <x v="1"/>
    <s v="Hon Every-Day Series Multi-Task Chairs"/>
    <n v="657.93"/>
    <n v="5"/>
    <n v="-93.99"/>
    <x v="4"/>
    <x v="3"/>
  </r>
  <r>
    <x v="1413"/>
    <x v="795"/>
    <m/>
    <n v="42262"/>
    <x v="0"/>
    <s v="DM-13525"/>
    <s v="Don Miller"/>
    <x v="1"/>
    <s v="United States"/>
    <x v="13"/>
    <x v="7"/>
    <x v="2"/>
    <s v="FUR-FU-10000277"/>
    <s v="Furniture"/>
    <x v="3"/>
    <s v="Deflect-o DuraMat Antistatic Studded Beveled Mat for Medium Pile Carpeting"/>
    <n v="210.68"/>
    <n v="2"/>
    <n v="50.563200000000002"/>
    <x v="4"/>
    <x v="4"/>
  </r>
  <r>
    <x v="1414"/>
    <x v="796"/>
    <m/>
    <n v="42380"/>
    <x v="1"/>
    <s v="NM-18520"/>
    <s v="Neoma Murray"/>
    <x v="0"/>
    <s v="United States"/>
    <x v="45"/>
    <x v="5"/>
    <x v="3"/>
    <s v="FUR-FU-10004270"/>
    <s v="Furniture"/>
    <x v="3"/>
    <s v="Executive Impressions 13&quot; Clairmont Wall Clock"/>
    <n v="23.076000000000001"/>
    <n v="3"/>
    <n v="-10.9611"/>
    <x v="4"/>
    <x v="8"/>
  </r>
  <r>
    <x v="1415"/>
    <x v="528"/>
    <m/>
    <n v="42183"/>
    <x v="2"/>
    <s v="MV-17485"/>
    <s v="Mark Van Huff"/>
    <x v="0"/>
    <s v="United States"/>
    <x v="6"/>
    <x v="5"/>
    <x v="3"/>
    <s v="FUR-FU-10004587"/>
    <s v="Furniture"/>
    <x v="3"/>
    <s v="GE General Use Halogen Bulbs, 100 Watts, 1 Bulb per Pack"/>
    <n v="75.384"/>
    <n v="9"/>
    <n v="-20.730599999999999"/>
    <x v="0"/>
    <x v="2"/>
  </r>
  <r>
    <x v="1416"/>
    <x v="254"/>
    <m/>
    <n v="42918"/>
    <x v="0"/>
    <s v="JC-15775"/>
    <s v="John Castell"/>
    <x v="0"/>
    <s v="United States"/>
    <x v="2"/>
    <x v="2"/>
    <x v="1"/>
    <s v="FUR-BO-10003966"/>
    <s v="Furniture"/>
    <x v="0"/>
    <s v="Sauder Facets Collection Library, Sky Alder Finish"/>
    <n v="435.99900000000002"/>
    <n v="3"/>
    <n v="5.1294000000000004"/>
    <x v="3"/>
    <x v="2"/>
  </r>
  <r>
    <x v="1417"/>
    <x v="67"/>
    <m/>
    <n v="42972"/>
    <x v="0"/>
    <s v="CM-11815"/>
    <s v="Candace McMahon"/>
    <x v="1"/>
    <s v="United States"/>
    <x v="15"/>
    <x v="13"/>
    <x v="1"/>
    <s v="FUR-CH-10004698"/>
    <s v="Furniture"/>
    <x v="1"/>
    <s v="Padded Folding Chairs, Black, 4/Carton"/>
    <n v="388.70400000000001"/>
    <n v="6"/>
    <n v="38.870399999999997"/>
    <x v="4"/>
    <x v="10"/>
  </r>
  <r>
    <x v="1418"/>
    <x v="745"/>
    <m/>
    <n v="42809"/>
    <x v="1"/>
    <s v="PV-18985"/>
    <s v="Paul Van Hugh"/>
    <x v="2"/>
    <s v="United States"/>
    <x v="335"/>
    <x v="20"/>
    <x v="2"/>
    <s v="FUR-FU-10001379"/>
    <s v="Furniture"/>
    <x v="3"/>
    <s v="Executive Impressions 16-1/2&quot; Circular Wall Clock"/>
    <n v="26.72"/>
    <n v="1"/>
    <n v="11.7568"/>
    <x v="4"/>
    <x v="9"/>
  </r>
  <r>
    <x v="1419"/>
    <x v="218"/>
    <m/>
    <n v="41912"/>
    <x v="1"/>
    <s v="CM-12715"/>
    <s v="Craig Molinari"/>
    <x v="1"/>
    <s v="United States"/>
    <x v="3"/>
    <x v="3"/>
    <x v="2"/>
    <s v="FUR-FU-10001095"/>
    <s v="Furniture"/>
    <x v="3"/>
    <s v="DAX Black Cherry Wood-Tone Poster Frame"/>
    <n v="21.184000000000001"/>
    <n v="1"/>
    <n v="4.7664"/>
    <x v="4"/>
    <x v="4"/>
  </r>
  <r>
    <x v="1420"/>
    <x v="797"/>
    <m/>
    <n v="42251"/>
    <x v="1"/>
    <s v="CB-12025"/>
    <s v="Cassandra Brandow"/>
    <x v="0"/>
    <s v="United States"/>
    <x v="2"/>
    <x v="2"/>
    <x v="1"/>
    <s v="FUR-BO-10004695"/>
    <s v="Furniture"/>
    <x v="0"/>
    <s v="O'Sullivan 2-Door Barrister Bookcase in Odessa Pine"/>
    <n v="307.666"/>
    <n v="2"/>
    <n v="28.956800000000001"/>
    <x v="1"/>
    <x v="10"/>
  </r>
  <r>
    <x v="1420"/>
    <x v="797"/>
    <m/>
    <n v="42251"/>
    <x v="1"/>
    <s v="CB-12025"/>
    <s v="Cassandra Brandow"/>
    <x v="0"/>
    <s v="United States"/>
    <x v="2"/>
    <x v="2"/>
    <x v="1"/>
    <s v="FUR-FU-10003981"/>
    <s v="Furniture"/>
    <x v="3"/>
    <s v="Eldon Wave Desk Accessories"/>
    <n v="4.16"/>
    <n v="2"/>
    <n v="1.7472000000000001"/>
    <x v="1"/>
    <x v="10"/>
  </r>
  <r>
    <x v="1421"/>
    <x v="798"/>
    <m/>
    <n v="42301"/>
    <x v="1"/>
    <s v="NS-18640"/>
    <s v="Noel Staavos"/>
    <x v="1"/>
    <s v="United States"/>
    <x v="28"/>
    <x v="2"/>
    <x v="1"/>
    <s v="FUR-FU-10001731"/>
    <s v="Furniture"/>
    <x v="3"/>
    <s v="Acrylic Self-Standing Desk Frames"/>
    <n v="16.02"/>
    <n v="6"/>
    <n v="6.0876000000000001"/>
    <x v="4"/>
    <x v="1"/>
  </r>
  <r>
    <x v="1422"/>
    <x v="143"/>
    <m/>
    <n v="42740"/>
    <x v="1"/>
    <s v="JM-15250"/>
    <s v="Janet Martin"/>
    <x v="0"/>
    <s v="United States"/>
    <x v="156"/>
    <x v="5"/>
    <x v="3"/>
    <s v="FUR-FU-10002116"/>
    <s v="Furniture"/>
    <x v="3"/>
    <s v="Tenex Carpeted, Granite-Look or Clear Contemporary Contour Shape Chair Mats"/>
    <n v="141.41999999999999"/>
    <n v="5"/>
    <n v="-187.38149999999999"/>
    <x v="4"/>
    <x v="8"/>
  </r>
  <r>
    <x v="1422"/>
    <x v="143"/>
    <m/>
    <n v="42740"/>
    <x v="1"/>
    <s v="JM-15250"/>
    <s v="Janet Martin"/>
    <x v="0"/>
    <s v="United States"/>
    <x v="156"/>
    <x v="5"/>
    <x v="3"/>
    <s v="FUR-CH-10003199"/>
    <s v="Furniture"/>
    <x v="1"/>
    <s v="Office Star - Contemporary Task Swivel Chair"/>
    <n v="310.74400000000003"/>
    <n v="4"/>
    <n v="-26.635200000000001"/>
    <x v="4"/>
    <x v="8"/>
  </r>
  <r>
    <x v="1423"/>
    <x v="799"/>
    <m/>
    <n v="42184"/>
    <x v="1"/>
    <s v="RF-19345"/>
    <s v="Randy Ferguson"/>
    <x v="1"/>
    <s v="United States"/>
    <x v="336"/>
    <x v="24"/>
    <x v="0"/>
    <s v="FUR-FU-10000794"/>
    <s v="Furniture"/>
    <x v="3"/>
    <s v="Eldon Stackable Tray, Side-Load, Legal, Smoke"/>
    <n v="27.42"/>
    <n v="3"/>
    <n v="9.3228000000000009"/>
    <x v="6"/>
    <x v="2"/>
  </r>
  <r>
    <x v="1424"/>
    <x v="697"/>
    <m/>
    <n v="42669"/>
    <x v="1"/>
    <s v="LC-16960"/>
    <s v="Lindsay Castell"/>
    <x v="2"/>
    <s v="United States"/>
    <x v="58"/>
    <x v="25"/>
    <x v="0"/>
    <s v="FUR-FU-10000246"/>
    <s v="Furniture"/>
    <x v="3"/>
    <s v="Aluminum Document Frame"/>
    <n v="61.1"/>
    <n v="5"/>
    <n v="18.329999999999998"/>
    <x v="6"/>
    <x v="1"/>
  </r>
  <r>
    <x v="1425"/>
    <x v="534"/>
    <m/>
    <n v="42948"/>
    <x v="0"/>
    <s v="DK-13375"/>
    <s v="Dennis Kane"/>
    <x v="0"/>
    <s v="United States"/>
    <x v="15"/>
    <x v="13"/>
    <x v="1"/>
    <s v="FUR-FU-10001940"/>
    <s v="Furniture"/>
    <x v="3"/>
    <s v="Staple-based wall hangings"/>
    <n v="23.88"/>
    <n v="3"/>
    <n v="10.507199999999999"/>
    <x v="2"/>
    <x v="3"/>
  </r>
  <r>
    <x v="1426"/>
    <x v="506"/>
    <m/>
    <n v="42785"/>
    <x v="2"/>
    <s v="CR-12820"/>
    <s v="Cyra Reiten"/>
    <x v="2"/>
    <s v="United States"/>
    <x v="6"/>
    <x v="5"/>
    <x v="3"/>
    <s v="FUR-BO-10001601"/>
    <s v="Furniture"/>
    <x v="0"/>
    <s v="Sauder Mission Library with Doors, Fruitwood Finish"/>
    <n v="89.066400000000002"/>
    <n v="1"/>
    <n v="-17.0274"/>
    <x v="3"/>
    <x v="11"/>
  </r>
  <r>
    <x v="1427"/>
    <x v="64"/>
    <m/>
    <n v="43084"/>
    <x v="1"/>
    <s v="EG-13900"/>
    <s v="Emily Grady"/>
    <x v="0"/>
    <s v="United States"/>
    <x v="3"/>
    <x v="3"/>
    <x v="2"/>
    <s v="FUR-CH-10003396"/>
    <s v="Furniture"/>
    <x v="1"/>
    <s v="Global Deluxe Steno Chair"/>
    <n v="215.54400000000001"/>
    <n v="4"/>
    <n v="-58.504800000000003"/>
    <x v="1"/>
    <x v="5"/>
  </r>
  <r>
    <x v="1428"/>
    <x v="414"/>
    <m/>
    <n v="43062"/>
    <x v="1"/>
    <s v="RD-19930"/>
    <s v="Russell D'Ascenzo"/>
    <x v="0"/>
    <s v="United States"/>
    <x v="9"/>
    <x v="8"/>
    <x v="3"/>
    <s v="FUR-CH-10000422"/>
    <s v="Furniture"/>
    <x v="1"/>
    <s v="Global Highback Leather Tilter in Burgundy"/>
    <n v="127.386"/>
    <n v="2"/>
    <n v="-25.4772"/>
    <x v="2"/>
    <x v="0"/>
  </r>
  <r>
    <x v="1429"/>
    <x v="193"/>
    <m/>
    <n v="42707"/>
    <x v="0"/>
    <s v="JM-15865"/>
    <s v="John Murray"/>
    <x v="0"/>
    <s v="United States"/>
    <x v="147"/>
    <x v="5"/>
    <x v="3"/>
    <s v="FUR-CH-10002647"/>
    <s v="Furniture"/>
    <x v="1"/>
    <s v="Situations Contoured Folding Chairs, 4/Set"/>
    <n v="248.43"/>
    <n v="5"/>
    <n v="-17.745000000000001"/>
    <x v="3"/>
    <x v="5"/>
  </r>
  <r>
    <x v="1429"/>
    <x v="193"/>
    <m/>
    <n v="42707"/>
    <x v="0"/>
    <s v="JM-15865"/>
    <s v="John Murray"/>
    <x v="0"/>
    <s v="United States"/>
    <x v="147"/>
    <x v="5"/>
    <x v="3"/>
    <s v="FUR-CH-10004477"/>
    <s v="Furniture"/>
    <x v="1"/>
    <s v="Global Push Button Manager's Chair, Indigo"/>
    <n v="85.245999999999995"/>
    <n v="2"/>
    <n v="-1.2178"/>
    <x v="3"/>
    <x v="5"/>
  </r>
  <r>
    <x v="1430"/>
    <x v="800"/>
    <m/>
    <n v="42982"/>
    <x v="1"/>
    <s v="RW-19540"/>
    <s v="Rick Wilson"/>
    <x v="1"/>
    <s v="United States"/>
    <x v="2"/>
    <x v="2"/>
    <x v="1"/>
    <s v="FUR-FU-10003374"/>
    <s v="Furniture"/>
    <x v="3"/>
    <s v="Electrix Fluorescent Magnifier Lamps &amp; Weighted Base"/>
    <n v="148.02000000000001"/>
    <n v="3"/>
    <n v="41.445599999999999"/>
    <x v="6"/>
    <x v="10"/>
  </r>
  <r>
    <x v="1431"/>
    <x v="801"/>
    <m/>
    <n v="42943"/>
    <x v="1"/>
    <s v="EB-13930"/>
    <s v="Eric Barreto"/>
    <x v="0"/>
    <s v="United States"/>
    <x v="9"/>
    <x v="8"/>
    <x v="3"/>
    <s v="FUR-CH-10004997"/>
    <s v="Furniture"/>
    <x v="1"/>
    <s v="Hon Every-Day Series Multi-Task Chairs"/>
    <n v="526.34400000000005"/>
    <n v="4"/>
    <n v="-75.191999999999993"/>
    <x v="2"/>
    <x v="3"/>
  </r>
  <r>
    <x v="1432"/>
    <x v="367"/>
    <m/>
    <n v="42690"/>
    <x v="1"/>
    <s v="LP-17080"/>
    <s v="Liz Pelletier"/>
    <x v="0"/>
    <s v="United States"/>
    <x v="28"/>
    <x v="2"/>
    <x v="1"/>
    <s v="FUR-FU-10001934"/>
    <s v="Furniture"/>
    <x v="3"/>
    <s v="Magnifier Swing Arm Lamp"/>
    <n v="41.96"/>
    <n v="2"/>
    <n v="10.909599999999999"/>
    <x v="2"/>
    <x v="0"/>
  </r>
  <r>
    <x v="1432"/>
    <x v="367"/>
    <m/>
    <n v="42690"/>
    <x v="1"/>
    <s v="LP-17080"/>
    <s v="Liz Pelletier"/>
    <x v="0"/>
    <s v="United States"/>
    <x v="28"/>
    <x v="2"/>
    <x v="1"/>
    <s v="FUR-CH-10004997"/>
    <s v="Furniture"/>
    <x v="1"/>
    <s v="Hon Every-Day Series Multi-Task Chairs"/>
    <n v="451.15199999999999"/>
    <n v="3"/>
    <n v="0"/>
    <x v="2"/>
    <x v="0"/>
  </r>
  <r>
    <x v="1433"/>
    <x v="87"/>
    <m/>
    <n v="42990"/>
    <x v="1"/>
    <s v="JA-15970"/>
    <s v="Joseph Airdo"/>
    <x v="0"/>
    <s v="United States"/>
    <x v="337"/>
    <x v="2"/>
    <x v="1"/>
    <s v="FUR-CH-10004860"/>
    <s v="Furniture"/>
    <x v="1"/>
    <s v="Global Low Back Tilter Chair"/>
    <n v="161.56800000000001"/>
    <n v="2"/>
    <n v="-28.2744"/>
    <x v="2"/>
    <x v="4"/>
  </r>
  <r>
    <x v="1434"/>
    <x v="802"/>
    <m/>
    <n v="42979"/>
    <x v="1"/>
    <s v="DP-13000"/>
    <s v="Darren Powers"/>
    <x v="0"/>
    <s v="United States"/>
    <x v="9"/>
    <x v="8"/>
    <x v="3"/>
    <s v="FUR-FU-10000222"/>
    <s v="Furniture"/>
    <x v="3"/>
    <s v="Seth Thomas 16&quot; Steel Case Clock"/>
    <n v="64.959999999999994"/>
    <n v="5"/>
    <n v="-43.847999999999999"/>
    <x v="6"/>
    <x v="10"/>
  </r>
  <r>
    <x v="1435"/>
    <x v="643"/>
    <m/>
    <n v="42290"/>
    <x v="1"/>
    <s v="GH-14485"/>
    <s v="Gene Hale"/>
    <x v="1"/>
    <s v="United States"/>
    <x v="144"/>
    <x v="5"/>
    <x v="3"/>
    <s v="FUR-FU-10003708"/>
    <s v="Furniture"/>
    <x v="3"/>
    <s v="Tenex Traditional Chairmats for Medium Pile Carpet, Standard Lip, 36&quot; x 48&quot;"/>
    <n v="72.78"/>
    <n v="3"/>
    <n v="-70.960499999999996"/>
    <x v="2"/>
    <x v="1"/>
  </r>
  <r>
    <x v="1436"/>
    <x v="577"/>
    <m/>
    <n v="42598"/>
    <x v="1"/>
    <s v="CS-12490"/>
    <s v="Cindy Schnelling"/>
    <x v="1"/>
    <s v="United States"/>
    <x v="49"/>
    <x v="1"/>
    <x v="0"/>
    <s v="FUR-TA-10002533"/>
    <s v="Furniture"/>
    <x v="2"/>
    <s v="BPI Conference Tables"/>
    <n v="562.29250000000002"/>
    <n v="7"/>
    <n v="-255.58750000000001"/>
    <x v="4"/>
    <x v="10"/>
  </r>
  <r>
    <x v="1437"/>
    <x v="77"/>
    <m/>
    <n v="41956"/>
    <x v="1"/>
    <s v="BF-11215"/>
    <s v="Benjamin Farhat"/>
    <x v="2"/>
    <s v="United States"/>
    <x v="13"/>
    <x v="7"/>
    <x v="2"/>
    <s v="FUR-FU-10004091"/>
    <s v="Furniture"/>
    <x v="3"/>
    <s v="Eldon 200 Class Desk Accessories, Black"/>
    <n v="56.52"/>
    <n v="9"/>
    <n v="21.477599999999999"/>
    <x v="4"/>
    <x v="0"/>
  </r>
  <r>
    <x v="1438"/>
    <x v="223"/>
    <m/>
    <n v="42410"/>
    <x v="1"/>
    <s v="AZ-10750"/>
    <s v="Annie Zypern"/>
    <x v="0"/>
    <s v="United States"/>
    <x v="53"/>
    <x v="2"/>
    <x v="1"/>
    <s v="FUR-TA-10001095"/>
    <s v="Furniture"/>
    <x v="2"/>
    <s v="Chromcraft Round Conference Tables"/>
    <n v="557.72799999999995"/>
    <n v="4"/>
    <n v="6.9715999999999996"/>
    <x v="2"/>
    <x v="11"/>
  </r>
  <r>
    <x v="1439"/>
    <x v="375"/>
    <m/>
    <n v="41668"/>
    <x v="2"/>
    <s v="CA-11965"/>
    <s v="Carol Adams"/>
    <x v="1"/>
    <s v="United States"/>
    <x v="338"/>
    <x v="40"/>
    <x v="3"/>
    <s v="FUR-BO-10004409"/>
    <s v="Furniture"/>
    <x v="0"/>
    <s v="Safco Value Mate Series Steel Bookcases, Baked Enamel Finish on Steel, Gray"/>
    <n v="141.96"/>
    <n v="2"/>
    <n v="39.748800000000003"/>
    <x v="0"/>
    <x v="8"/>
  </r>
  <r>
    <x v="1440"/>
    <x v="803"/>
    <m/>
    <n v="42652"/>
    <x v="1"/>
    <s v="MS-17830"/>
    <s v="Melanie Seite"/>
    <x v="0"/>
    <s v="United States"/>
    <x v="237"/>
    <x v="32"/>
    <x v="2"/>
    <s v="FUR-TA-10002622"/>
    <s v="Furniture"/>
    <x v="2"/>
    <s v="Bush Andora Conference Table, Maple/Graphite Gray Finish"/>
    <n v="239.37200000000001"/>
    <n v="2"/>
    <n v="-23.937200000000001"/>
    <x v="2"/>
    <x v="1"/>
  </r>
  <r>
    <x v="1441"/>
    <x v="285"/>
    <m/>
    <n v="42420"/>
    <x v="1"/>
    <s v="JD-15790"/>
    <s v="John Dryer"/>
    <x v="0"/>
    <s v="United States"/>
    <x v="31"/>
    <x v="18"/>
    <x v="2"/>
    <s v="FUR-CH-10001545"/>
    <s v="Furniture"/>
    <x v="1"/>
    <s v="Hon Comfortask Task/Swivel Chairs"/>
    <n v="227.96"/>
    <n v="2"/>
    <n v="36.473599999999998"/>
    <x v="4"/>
    <x v="11"/>
  </r>
  <r>
    <x v="1442"/>
    <x v="46"/>
    <m/>
    <n v="42314"/>
    <x v="1"/>
    <s v="LT-17110"/>
    <s v="Liz Thompson"/>
    <x v="0"/>
    <s v="United States"/>
    <x v="53"/>
    <x v="2"/>
    <x v="1"/>
    <s v="FUR-FU-10004909"/>
    <s v="Furniture"/>
    <x v="3"/>
    <s v="Contemporary Wood/Metal Frame"/>
    <n v="96.96"/>
    <n v="6"/>
    <n v="33.936"/>
    <x v="4"/>
    <x v="0"/>
  </r>
  <r>
    <x v="1442"/>
    <x v="46"/>
    <m/>
    <n v="42314"/>
    <x v="1"/>
    <s v="LT-17110"/>
    <s v="Liz Thompson"/>
    <x v="0"/>
    <s v="United States"/>
    <x v="53"/>
    <x v="2"/>
    <x v="1"/>
    <s v="FUR-BO-10004357"/>
    <s v="Furniture"/>
    <x v="0"/>
    <s v="O'Sullivan Living Dimensions 3-Shelf Bookcases"/>
    <n v="512.49900000000002"/>
    <n v="3"/>
    <n v="-30.146999999999998"/>
    <x v="4"/>
    <x v="0"/>
  </r>
  <r>
    <x v="1443"/>
    <x v="581"/>
    <m/>
    <n v="42587"/>
    <x v="1"/>
    <s v="AH-10690"/>
    <s v="Anna HÅ berlin"/>
    <x v="1"/>
    <s v="United States"/>
    <x v="28"/>
    <x v="2"/>
    <x v="1"/>
    <s v="FUR-TA-10002774"/>
    <s v="Furniture"/>
    <x v="2"/>
    <s v="Laminate Occasional Tables"/>
    <n v="863.12800000000004"/>
    <n v="7"/>
    <n v="-32.3673"/>
    <x v="2"/>
    <x v="3"/>
  </r>
  <r>
    <x v="1444"/>
    <x v="200"/>
    <m/>
    <n v="43052"/>
    <x v="1"/>
    <s v="AB-10060"/>
    <s v="Adam Bellavance"/>
    <x v="2"/>
    <s v="United States"/>
    <x v="15"/>
    <x v="13"/>
    <x v="1"/>
    <s v="FUR-TA-10004575"/>
    <s v="Furniture"/>
    <x v="2"/>
    <s v="Hon 5100 Series Wood Tables"/>
    <n v="2036.86"/>
    <n v="7"/>
    <n v="366.63479999999998"/>
    <x v="1"/>
    <x v="0"/>
  </r>
  <r>
    <x v="1444"/>
    <x v="200"/>
    <m/>
    <n v="43052"/>
    <x v="1"/>
    <s v="AB-10060"/>
    <s v="Adam Bellavance"/>
    <x v="2"/>
    <s v="United States"/>
    <x v="15"/>
    <x v="13"/>
    <x v="1"/>
    <s v="FUR-CH-10003312"/>
    <s v="Furniture"/>
    <x v="1"/>
    <s v="Hon 2090 Ã’Pillow SoftÃ“ Series Mid Back Swivel/Tilt Chairs"/>
    <n v="449.56799999999998"/>
    <n v="2"/>
    <n v="-73.0548"/>
    <x v="1"/>
    <x v="0"/>
  </r>
  <r>
    <x v="1445"/>
    <x v="601"/>
    <m/>
    <n v="42222"/>
    <x v="1"/>
    <s v="DK-12985"/>
    <s v="Darren Koutras"/>
    <x v="0"/>
    <s v="United States"/>
    <x v="76"/>
    <x v="36"/>
    <x v="1"/>
    <s v="FUR-TA-10003469"/>
    <s v="Furniture"/>
    <x v="2"/>
    <s v="Balt Split Level Computer Training Table"/>
    <n v="277.5"/>
    <n v="4"/>
    <n v="-188.7"/>
    <x v="4"/>
    <x v="10"/>
  </r>
  <r>
    <x v="1446"/>
    <x v="32"/>
    <m/>
    <n v="42333"/>
    <x v="1"/>
    <s v="SS-20410"/>
    <s v="Shahid Shariari"/>
    <x v="0"/>
    <s v="United States"/>
    <x v="3"/>
    <x v="3"/>
    <x v="2"/>
    <s v="FUR-TA-10002958"/>
    <s v="Furniture"/>
    <x v="2"/>
    <s v="Bevis Oval Conference Table, Walnut"/>
    <n v="1252.704"/>
    <n v="8"/>
    <n v="-480.20319999999998"/>
    <x v="4"/>
    <x v="0"/>
  </r>
  <r>
    <x v="1447"/>
    <x v="514"/>
    <m/>
    <n v="42877"/>
    <x v="1"/>
    <s v="BM-11575"/>
    <s v="Brendan Murry"/>
    <x v="1"/>
    <s v="United States"/>
    <x v="9"/>
    <x v="8"/>
    <x v="3"/>
    <s v="FUR-FU-10004973"/>
    <s v="Furniture"/>
    <x v="3"/>
    <s v="Flat Face Poster Frame"/>
    <n v="22.608000000000001"/>
    <n v="3"/>
    <n v="-10.1736"/>
    <x v="4"/>
    <x v="7"/>
  </r>
  <r>
    <x v="1447"/>
    <x v="514"/>
    <m/>
    <n v="42877"/>
    <x v="1"/>
    <s v="BM-11575"/>
    <s v="Brendan Murry"/>
    <x v="1"/>
    <s v="United States"/>
    <x v="9"/>
    <x v="8"/>
    <x v="3"/>
    <s v="FUR-FU-10001918"/>
    <s v="Furniture"/>
    <x v="3"/>
    <s v="C-Line Cubicle Keepers Polyproplyene Holder With Velcro Backings"/>
    <n v="1.8919999999999999"/>
    <n v="1"/>
    <n v="-0.99329999999999996"/>
    <x v="4"/>
    <x v="7"/>
  </r>
  <r>
    <x v="1448"/>
    <x v="615"/>
    <m/>
    <n v="42264"/>
    <x v="0"/>
    <s v="AG-10900"/>
    <s v="Arthur Gainer"/>
    <x v="0"/>
    <s v="United States"/>
    <x v="9"/>
    <x v="8"/>
    <x v="3"/>
    <s v="FUR-CH-10003817"/>
    <s v="Furniture"/>
    <x v="1"/>
    <s v="Global Value Steno Chair, Gray"/>
    <n v="170.072"/>
    <n v="4"/>
    <n v="-12.148"/>
    <x v="4"/>
    <x v="4"/>
  </r>
  <r>
    <x v="1449"/>
    <x v="429"/>
    <m/>
    <n v="43060"/>
    <x v="1"/>
    <s v="CC-12370"/>
    <s v="Christopher Conant"/>
    <x v="0"/>
    <s v="United States"/>
    <x v="13"/>
    <x v="7"/>
    <x v="2"/>
    <s v="FUR-FU-10004091"/>
    <s v="Furniture"/>
    <x v="3"/>
    <s v="Howard Miller 13&quot; Diameter Goldtone Round Wall Clock"/>
    <n v="187.76"/>
    <n v="4"/>
    <n v="76.9816"/>
    <x v="4"/>
    <x v="0"/>
  </r>
  <r>
    <x v="1450"/>
    <x v="737"/>
    <m/>
    <n v="42341"/>
    <x v="2"/>
    <s v="LR-16915"/>
    <s v="Lena Radford"/>
    <x v="0"/>
    <s v="United States"/>
    <x v="339"/>
    <x v="30"/>
    <x v="0"/>
    <s v="FUR-FU-10000576"/>
    <s v="Furniture"/>
    <x v="3"/>
    <s v="Luxo Professional Fluorescent Magnifier Lamp with Clamp-Mount Base"/>
    <n v="335.74400000000003"/>
    <n v="2"/>
    <n v="25.180800000000001"/>
    <x v="0"/>
    <x v="0"/>
  </r>
  <r>
    <x v="1451"/>
    <x v="428"/>
    <m/>
    <n v="42316"/>
    <x v="3"/>
    <s v="KD-16495"/>
    <s v="Keith Dawkins"/>
    <x v="1"/>
    <s v="United States"/>
    <x v="13"/>
    <x v="7"/>
    <x v="2"/>
    <s v="FUR-FU-10002240"/>
    <s v="Furniture"/>
    <x v="3"/>
    <s v="Nu-Dell EZ-Mount Plastic Wall Frames"/>
    <n v="11.82"/>
    <n v="3"/>
    <n v="4.7279999999999998"/>
    <x v="7"/>
    <x v="0"/>
  </r>
  <r>
    <x v="1451"/>
    <x v="428"/>
    <m/>
    <n v="42316"/>
    <x v="3"/>
    <s v="KD-16495"/>
    <s v="Keith Dawkins"/>
    <x v="1"/>
    <s v="United States"/>
    <x v="13"/>
    <x v="7"/>
    <x v="2"/>
    <s v="FUR-CH-10003746"/>
    <s v="Furniture"/>
    <x v="1"/>
    <s v="Hon 4070 Series Pagoda Round Back Stacking Chairs"/>
    <n v="577.76400000000001"/>
    <n v="2"/>
    <n v="115.5528"/>
    <x v="7"/>
    <x v="0"/>
  </r>
  <r>
    <x v="1452"/>
    <x v="12"/>
    <m/>
    <n v="42124"/>
    <x v="1"/>
    <s v="SA-20830"/>
    <s v="Sue Ann Reed"/>
    <x v="0"/>
    <s v="United States"/>
    <x v="340"/>
    <x v="1"/>
    <x v="0"/>
    <s v="FUR-TA-10000577"/>
    <s v="Furniture"/>
    <x v="2"/>
    <s v="Bretford CR4500 Series Slim Rectangular Table"/>
    <n v="191.5155"/>
    <n v="1"/>
    <n v="-76.606200000000001"/>
    <x v="4"/>
    <x v="6"/>
  </r>
  <r>
    <x v="1453"/>
    <x v="267"/>
    <m/>
    <n v="42686"/>
    <x v="1"/>
    <s v="MC-17845"/>
    <s v="Michael Chen"/>
    <x v="0"/>
    <s v="United States"/>
    <x v="144"/>
    <x v="5"/>
    <x v="3"/>
    <s v="FUR-FU-10002030"/>
    <s v="Furniture"/>
    <x v="3"/>
    <s v="Executive Impressions 14&quot; Contract Wall Clock with Quartz Movement"/>
    <n v="44.46"/>
    <n v="5"/>
    <n v="-17.783999999999999"/>
    <x v="2"/>
    <x v="0"/>
  </r>
  <r>
    <x v="1454"/>
    <x v="215"/>
    <m/>
    <n v="41919"/>
    <x v="1"/>
    <s v="RD-19930"/>
    <s v="Russell D'Ascenzo"/>
    <x v="0"/>
    <s v="United States"/>
    <x v="144"/>
    <x v="5"/>
    <x v="3"/>
    <s v="FUR-FU-10000758"/>
    <s v="Furniture"/>
    <x v="3"/>
    <s v="DAX Natural Wood-Tone Poster Frame"/>
    <n v="31.776"/>
    <n v="3"/>
    <n v="-19.0656"/>
    <x v="4"/>
    <x v="1"/>
  </r>
  <r>
    <x v="1455"/>
    <x v="804"/>
    <m/>
    <n v="42468"/>
    <x v="0"/>
    <s v="BC-11125"/>
    <s v="Becky Castell"/>
    <x v="2"/>
    <s v="United States"/>
    <x v="8"/>
    <x v="7"/>
    <x v="2"/>
    <s v="FUR-FU-10000723"/>
    <s v="Furniture"/>
    <x v="3"/>
    <s v="Deflect-o EconoMat Studded, No Bevel Mat for Low Pile Carpeting"/>
    <n v="82.64"/>
    <n v="2"/>
    <n v="7.4375999999999998"/>
    <x v="4"/>
    <x v="6"/>
  </r>
  <r>
    <x v="1456"/>
    <x v="805"/>
    <m/>
    <n v="42553"/>
    <x v="0"/>
    <s v="PF-19165"/>
    <s v="Philip Fox"/>
    <x v="0"/>
    <s v="United States"/>
    <x v="244"/>
    <x v="24"/>
    <x v="0"/>
    <s v="FUR-BO-10004695"/>
    <s v="Furniture"/>
    <x v="0"/>
    <s v="O'Sullivan 2-Door Barrister Bookcase in Odessa Pine"/>
    <n v="1266.8599999999999"/>
    <n v="7"/>
    <n v="291.37779999999998"/>
    <x v="3"/>
    <x v="2"/>
  </r>
  <r>
    <x v="1457"/>
    <x v="806"/>
    <m/>
    <n v="42861"/>
    <x v="1"/>
    <s v="CJ-12010"/>
    <s v="Caroline Jumper"/>
    <x v="0"/>
    <s v="United States"/>
    <x v="51"/>
    <x v="1"/>
    <x v="0"/>
    <s v="FUR-TA-10001889"/>
    <s v="Furniture"/>
    <x v="2"/>
    <s v="Bush Advantage Collection Racetrack Conference Table"/>
    <n v="933.26199999999994"/>
    <n v="4"/>
    <n v="-458.14679999999998"/>
    <x v="2"/>
    <x v="7"/>
  </r>
  <r>
    <x v="1457"/>
    <x v="806"/>
    <m/>
    <n v="42861"/>
    <x v="1"/>
    <s v="CJ-12010"/>
    <s v="Caroline Jumper"/>
    <x v="0"/>
    <s v="United States"/>
    <x v="51"/>
    <x v="1"/>
    <x v="0"/>
    <s v="FUR-CH-10002024"/>
    <s v="Furniture"/>
    <x v="1"/>
    <s v="HON 5400 Series Task Chairs for Big and Tall"/>
    <n v="2803.92"/>
    <n v="5"/>
    <n v="0"/>
    <x v="2"/>
    <x v="7"/>
  </r>
  <r>
    <x v="1458"/>
    <x v="71"/>
    <m/>
    <n v="43028"/>
    <x v="3"/>
    <s v="PT-19090"/>
    <s v="Pete Takahito"/>
    <x v="0"/>
    <s v="United States"/>
    <x v="51"/>
    <x v="1"/>
    <x v="0"/>
    <s v="FUR-FU-10000175"/>
    <s v="Furniture"/>
    <x v="3"/>
    <s v="DAX Wood Document Frame."/>
    <n v="43.936"/>
    <n v="4"/>
    <n v="6.0411999999999999"/>
    <x v="7"/>
    <x v="1"/>
  </r>
  <r>
    <x v="1459"/>
    <x v="807"/>
    <m/>
    <n v="41867"/>
    <x v="1"/>
    <s v="BW-11200"/>
    <s v="Ben Wallace"/>
    <x v="0"/>
    <s v="United States"/>
    <x v="28"/>
    <x v="2"/>
    <x v="1"/>
    <s v="FUR-FU-10002878"/>
    <s v="Furniture"/>
    <x v="3"/>
    <s v="Seth Thomas 14&quot; Day/Date Wall Clock"/>
    <n v="85.44"/>
    <n v="3"/>
    <n v="31.6128"/>
    <x v="4"/>
    <x v="10"/>
  </r>
  <r>
    <x v="1460"/>
    <x v="298"/>
    <m/>
    <n v="42072"/>
    <x v="0"/>
    <s v="MS-17365"/>
    <s v="Maribeth Schnelling"/>
    <x v="0"/>
    <s v="United States"/>
    <x v="9"/>
    <x v="8"/>
    <x v="3"/>
    <s v="FUR-FU-10000023"/>
    <s v="Furniture"/>
    <x v="3"/>
    <s v="Eldon Wave Desk Accessories"/>
    <n v="4.7119999999999997"/>
    <n v="2"/>
    <n v="-1.8848"/>
    <x v="4"/>
    <x v="9"/>
  </r>
  <r>
    <x v="1461"/>
    <x v="129"/>
    <m/>
    <n v="42772"/>
    <x v="1"/>
    <s v="LP-17095"/>
    <s v="Liz Preis"/>
    <x v="0"/>
    <s v="United States"/>
    <x v="14"/>
    <x v="8"/>
    <x v="3"/>
    <s v="FUR-TA-10003469"/>
    <s v="Furniture"/>
    <x v="2"/>
    <s v="Balt Split Level Computer Training Table"/>
    <n v="69.375"/>
    <n v="1"/>
    <n v="-47.174999999999997"/>
    <x v="1"/>
    <x v="8"/>
  </r>
  <r>
    <x v="1462"/>
    <x v="683"/>
    <m/>
    <n v="42735"/>
    <x v="1"/>
    <s v="JE-15715"/>
    <s v="Joe Elijah"/>
    <x v="0"/>
    <s v="United States"/>
    <x v="13"/>
    <x v="7"/>
    <x v="2"/>
    <s v="FUR-CH-10002331"/>
    <s v="Furniture"/>
    <x v="1"/>
    <s v="Hon 4700 Series Mobuis Mid-Back Task Chairs with Adjustable Arms"/>
    <n v="2563.056"/>
    <n v="8"/>
    <n v="313.26240000000001"/>
    <x v="6"/>
    <x v="5"/>
  </r>
  <r>
    <x v="1463"/>
    <x v="697"/>
    <m/>
    <n v="42668"/>
    <x v="1"/>
    <s v="MY-18295"/>
    <s v="Muhammed Yedwab"/>
    <x v="1"/>
    <s v="United States"/>
    <x v="311"/>
    <x v="2"/>
    <x v="1"/>
    <s v="FUR-CH-10001802"/>
    <s v="Furniture"/>
    <x v="1"/>
    <s v="Hon Every-Day Chair Series Swivel Task Chairs"/>
    <n v="387.13600000000002"/>
    <n v="4"/>
    <n v="4.8391999999999999"/>
    <x v="2"/>
    <x v="1"/>
  </r>
  <r>
    <x v="1464"/>
    <x v="808"/>
    <m/>
    <n v="42865"/>
    <x v="2"/>
    <s v="MC-17605"/>
    <s v="Matt Connell"/>
    <x v="1"/>
    <s v="United States"/>
    <x v="51"/>
    <x v="30"/>
    <x v="0"/>
    <s v="FUR-CH-10001270"/>
    <s v="Furniture"/>
    <x v="1"/>
    <s v="Harbour Creations Steel Folding Chair"/>
    <n v="207"/>
    <n v="3"/>
    <n v="25.875"/>
    <x v="5"/>
    <x v="7"/>
  </r>
  <r>
    <x v="1465"/>
    <x v="170"/>
    <m/>
    <n v="42364"/>
    <x v="0"/>
    <s v="SZ-20035"/>
    <s v="Sam Zeldin"/>
    <x v="2"/>
    <s v="United States"/>
    <x v="317"/>
    <x v="8"/>
    <x v="3"/>
    <s v="FUR-FU-10003039"/>
    <s v="Furniture"/>
    <x v="3"/>
    <s v="Howard Miller 11-1/2&quot; Diameter Grantwood Wall Clock"/>
    <n v="51.756"/>
    <n v="3"/>
    <n v="-33.641399999999997"/>
    <x v="2"/>
    <x v="5"/>
  </r>
  <r>
    <x v="1466"/>
    <x v="379"/>
    <m/>
    <n v="42196"/>
    <x v="1"/>
    <s v="RS-19765"/>
    <s v="Roland Schwarz"/>
    <x v="1"/>
    <s v="United States"/>
    <x v="127"/>
    <x v="30"/>
    <x v="0"/>
    <s v="FUR-FU-10003829"/>
    <s v="Furniture"/>
    <x v="3"/>
    <s v="Stackable Trays"/>
    <n v="4.9279999999999999"/>
    <n v="2"/>
    <n v="0.73919999999999997"/>
    <x v="6"/>
    <x v="3"/>
  </r>
  <r>
    <x v="1467"/>
    <x v="809"/>
    <m/>
    <n v="42948"/>
    <x v="1"/>
    <s v="GZ-14545"/>
    <s v="George Zrebassa"/>
    <x v="1"/>
    <s v="United States"/>
    <x v="2"/>
    <x v="2"/>
    <x v="1"/>
    <s v="FUR-CH-10000665"/>
    <s v="Furniture"/>
    <x v="1"/>
    <s v="Global Airflow Leather Mesh Back Chair, Black"/>
    <n v="362.35199999999998"/>
    <n v="3"/>
    <n v="45.293999999999997"/>
    <x v="6"/>
    <x v="3"/>
  </r>
  <r>
    <x v="1468"/>
    <x v="54"/>
    <m/>
    <n v="43048"/>
    <x v="1"/>
    <s v="BG-11740"/>
    <s v="Bruce Geld"/>
    <x v="0"/>
    <s v="United States"/>
    <x v="175"/>
    <x v="2"/>
    <x v="1"/>
    <s v="FUR-TA-10001086"/>
    <s v="Furniture"/>
    <x v="2"/>
    <s v="SAFCO PlanMaster Boards, 60w x 37-1/2d, White Melamine"/>
    <n v="486.36799999999999"/>
    <n v="4"/>
    <n v="36.477600000000002"/>
    <x v="6"/>
    <x v="0"/>
  </r>
  <r>
    <x v="1469"/>
    <x v="29"/>
    <m/>
    <n v="41705"/>
    <x v="1"/>
    <s v="GW-14605"/>
    <s v="Giulietta Weimer"/>
    <x v="0"/>
    <s v="United States"/>
    <x v="6"/>
    <x v="5"/>
    <x v="3"/>
    <s v="FUR-TA-10001866"/>
    <s v="Furniture"/>
    <x v="2"/>
    <s v="Bevis Round Conference Room Tables and Bases"/>
    <n v="376.50900000000001"/>
    <n v="3"/>
    <n v="-43.029600000000002"/>
    <x v="6"/>
    <x v="9"/>
  </r>
  <r>
    <x v="1470"/>
    <x v="810"/>
    <m/>
    <n v="42766"/>
    <x v="1"/>
    <s v="BD-11500"/>
    <s v="Bradley Drucker"/>
    <x v="0"/>
    <s v="United States"/>
    <x v="29"/>
    <x v="24"/>
    <x v="0"/>
    <s v="FUR-FU-10002157"/>
    <s v="Furniture"/>
    <x v="3"/>
    <s v="Artistic Insta-Plaque"/>
    <n v="62.72"/>
    <n v="4"/>
    <n v="24.460799999999999"/>
    <x v="2"/>
    <x v="8"/>
  </r>
  <r>
    <x v="1471"/>
    <x v="56"/>
    <m/>
    <n v="41836"/>
    <x v="1"/>
    <s v="PV-18985"/>
    <s v="Paul Van Hugh"/>
    <x v="2"/>
    <s v="United States"/>
    <x v="256"/>
    <x v="5"/>
    <x v="3"/>
    <s v="FUR-CH-10002126"/>
    <s v="Furniture"/>
    <x v="1"/>
    <s v="Hon Deluxe Fabric Upholstered Stacking Chairs"/>
    <n v="512.35799999999995"/>
    <n v="3"/>
    <n v="-14.6388"/>
    <x v="4"/>
    <x v="3"/>
  </r>
  <r>
    <x v="1472"/>
    <x v="811"/>
    <m/>
    <n v="42441"/>
    <x v="2"/>
    <s v="PS-18760"/>
    <s v="Pamela Stobb"/>
    <x v="0"/>
    <s v="United States"/>
    <x v="341"/>
    <x v="20"/>
    <x v="2"/>
    <s v="FUR-CH-10002647"/>
    <s v="Furniture"/>
    <x v="1"/>
    <s v="Situations Contoured Folding Chairs, 4/Set"/>
    <n v="354.9"/>
    <n v="5"/>
    <n v="88.724999999999994"/>
    <x v="0"/>
    <x v="9"/>
  </r>
  <r>
    <x v="1473"/>
    <x v="812"/>
    <m/>
    <n v="42842"/>
    <x v="1"/>
    <s v="YS-21880"/>
    <s v="Yana Sorensen"/>
    <x v="1"/>
    <s v="United States"/>
    <x v="170"/>
    <x v="2"/>
    <x v="1"/>
    <s v="FUR-CH-10003774"/>
    <s v="Furniture"/>
    <x v="1"/>
    <s v="Global Wood Trimmed Manager's Task Chair, Khaki"/>
    <n v="436.70400000000001"/>
    <n v="6"/>
    <n v="-38.211599999999997"/>
    <x v="4"/>
    <x v="6"/>
  </r>
  <r>
    <x v="1474"/>
    <x v="813"/>
    <m/>
    <n v="41723"/>
    <x v="1"/>
    <s v="GM-14440"/>
    <s v="Gary McGarr"/>
    <x v="0"/>
    <s v="United States"/>
    <x v="270"/>
    <x v="9"/>
    <x v="0"/>
    <s v="FUR-FU-10001473"/>
    <s v="Furniture"/>
    <x v="3"/>
    <s v="DAX Wood Document Frame"/>
    <n v="32.951999999999998"/>
    <n v="3"/>
    <n v="6.5903999999999998"/>
    <x v="4"/>
    <x v="9"/>
  </r>
  <r>
    <x v="1474"/>
    <x v="813"/>
    <m/>
    <n v="41723"/>
    <x v="1"/>
    <s v="GM-14440"/>
    <s v="Gary McGarr"/>
    <x v="0"/>
    <s v="United States"/>
    <x v="270"/>
    <x v="9"/>
    <x v="0"/>
    <s v="FUR-CH-10000422"/>
    <s v="Furniture"/>
    <x v="1"/>
    <s v="Global Highback Leather Tilter in Burgundy"/>
    <n v="218.376"/>
    <n v="3"/>
    <n v="-10.918799999999999"/>
    <x v="4"/>
    <x v="9"/>
  </r>
  <r>
    <x v="1475"/>
    <x v="11"/>
    <m/>
    <n v="42128"/>
    <x v="1"/>
    <s v="JW-15220"/>
    <s v="Jane Waco"/>
    <x v="1"/>
    <s v="United States"/>
    <x v="37"/>
    <x v="20"/>
    <x v="2"/>
    <s v="FUR-FU-10002960"/>
    <s v="Furniture"/>
    <x v="3"/>
    <s v="Eldon 200 Class Desk Accessories, Burgundy"/>
    <n v="31.4"/>
    <n v="5"/>
    <n v="13.188000000000001"/>
    <x v="4"/>
    <x v="6"/>
  </r>
  <r>
    <x v="1475"/>
    <x v="11"/>
    <m/>
    <n v="42128"/>
    <x v="1"/>
    <s v="JW-15220"/>
    <s v="Jane Waco"/>
    <x v="1"/>
    <s v="United States"/>
    <x v="37"/>
    <x v="20"/>
    <x v="2"/>
    <s v="FUR-FU-10002445"/>
    <s v="Furniture"/>
    <x v="3"/>
    <s v="DAX Two-Tone Rosewood/Black Document Frame, Desktop, 5 x 7"/>
    <n v="9.48"/>
    <n v="1"/>
    <n v="3.7919999999999998"/>
    <x v="4"/>
    <x v="6"/>
  </r>
  <r>
    <x v="1475"/>
    <x v="11"/>
    <m/>
    <n v="42128"/>
    <x v="1"/>
    <s v="JW-15220"/>
    <s v="Jane Waco"/>
    <x v="1"/>
    <s v="United States"/>
    <x v="37"/>
    <x v="20"/>
    <x v="2"/>
    <s v="FUR-FU-10001025"/>
    <s v="Furniture"/>
    <x v="3"/>
    <s v="Eldon ImË†ge Series Desk Accessories, Clear"/>
    <n v="24.3"/>
    <n v="5"/>
    <n v="10.449"/>
    <x v="4"/>
    <x v="6"/>
  </r>
  <r>
    <x v="1476"/>
    <x v="814"/>
    <m/>
    <n v="42863"/>
    <x v="1"/>
    <s v="BO-11350"/>
    <s v="Bill Overfelt"/>
    <x v="1"/>
    <s v="United States"/>
    <x v="3"/>
    <x v="3"/>
    <x v="2"/>
    <s v="FUR-FU-10004245"/>
    <s v="Furniture"/>
    <x v="3"/>
    <s v="Career Cubicle Clock, 8 1/4&quot;, Black"/>
    <n v="32.448"/>
    <n v="2"/>
    <n v="7.3007999999999997"/>
    <x v="2"/>
    <x v="7"/>
  </r>
  <r>
    <x v="1476"/>
    <x v="814"/>
    <m/>
    <n v="42863"/>
    <x v="1"/>
    <s v="BO-11350"/>
    <s v="Bill Overfelt"/>
    <x v="1"/>
    <s v="United States"/>
    <x v="3"/>
    <x v="3"/>
    <x v="2"/>
    <s v="FUR-TA-10003748"/>
    <s v="Furniture"/>
    <x v="2"/>
    <s v="Bevis 36 x 72 Conference Tables"/>
    <n v="373.47"/>
    <n v="5"/>
    <n v="-112.041"/>
    <x v="2"/>
    <x v="7"/>
  </r>
  <r>
    <x v="1477"/>
    <x v="238"/>
    <m/>
    <n v="42612"/>
    <x v="1"/>
    <s v="XP-21865"/>
    <s v="Xylona Preis"/>
    <x v="0"/>
    <s v="United States"/>
    <x v="342"/>
    <x v="24"/>
    <x v="0"/>
    <s v="FUR-FU-10000308"/>
    <s v="Furniture"/>
    <x v="3"/>
    <s v="Deflect-o Glass Clear Studded Chair Mats"/>
    <n v="186.54"/>
    <n v="3"/>
    <n v="41.038800000000002"/>
    <x v="4"/>
    <x v="10"/>
  </r>
  <r>
    <x v="1478"/>
    <x v="815"/>
    <m/>
    <n v="42739"/>
    <x v="0"/>
    <s v="TS-21655"/>
    <s v="Trudy Schmidt"/>
    <x v="0"/>
    <s v="United States"/>
    <x v="116"/>
    <x v="5"/>
    <x v="3"/>
    <s v="FUR-TA-10002958"/>
    <s v="Furniture"/>
    <x v="2"/>
    <s v="Bevis Oval Conference Table, Walnut"/>
    <n v="913.43"/>
    <n v="5"/>
    <n v="-169.637"/>
    <x v="3"/>
    <x v="8"/>
  </r>
  <r>
    <x v="1479"/>
    <x v="354"/>
    <m/>
    <n v="42537"/>
    <x v="1"/>
    <s v="SV-20365"/>
    <s v="Seth Vernon"/>
    <x v="0"/>
    <s v="United States"/>
    <x v="2"/>
    <x v="2"/>
    <x v="1"/>
    <s v="FUR-TA-10003473"/>
    <s v="Furniture"/>
    <x v="2"/>
    <s v="Bretford Rectangular Conference Table Tops"/>
    <n v="902.71199999999999"/>
    <n v="3"/>
    <n v="33.851700000000001"/>
    <x v="2"/>
    <x v="2"/>
  </r>
  <r>
    <x v="1480"/>
    <x v="816"/>
    <m/>
    <n v="42664"/>
    <x v="1"/>
    <s v="MG-17890"/>
    <s v="Michael Granlund"/>
    <x v="2"/>
    <s v="United States"/>
    <x v="99"/>
    <x v="2"/>
    <x v="1"/>
    <s v="FUR-BO-10003894"/>
    <s v="Furniture"/>
    <x v="0"/>
    <s v="Safco Value Mate Steel Bookcase, Baked Enamel Finish on Steel, Black"/>
    <n v="120.666"/>
    <n v="2"/>
    <n v="21.294"/>
    <x v="4"/>
    <x v="1"/>
  </r>
  <r>
    <x v="1481"/>
    <x v="243"/>
    <m/>
    <n v="42705"/>
    <x v="1"/>
    <s v="SC-20680"/>
    <s v="Steve Carroll"/>
    <x v="2"/>
    <s v="United States"/>
    <x v="15"/>
    <x v="13"/>
    <x v="1"/>
    <s v="FUR-FU-10003535"/>
    <s v="Furniture"/>
    <x v="3"/>
    <s v="Howard Miller Distant Time Traveler Alarm Clock"/>
    <n v="82.26"/>
    <n v="3"/>
    <n v="33.726599999999998"/>
    <x v="1"/>
    <x v="0"/>
  </r>
  <r>
    <x v="1482"/>
    <x v="817"/>
    <m/>
    <n v="42415"/>
    <x v="1"/>
    <s v="MH-17440"/>
    <s v="Mark Haberlin"/>
    <x v="1"/>
    <s v="United States"/>
    <x v="6"/>
    <x v="5"/>
    <x v="3"/>
    <s v="FUR-CH-10001270"/>
    <s v="Furniture"/>
    <x v="1"/>
    <s v="Harbour Creations Steel Folding Chair"/>
    <n v="241.5"/>
    <n v="4"/>
    <n v="0"/>
    <x v="1"/>
    <x v="11"/>
  </r>
  <r>
    <x v="1483"/>
    <x v="340"/>
    <m/>
    <n v="43099"/>
    <x v="1"/>
    <s v="JB-16045"/>
    <s v="Julia Barnett"/>
    <x v="2"/>
    <s v="United States"/>
    <x v="343"/>
    <x v="19"/>
    <x v="2"/>
    <s v="FUR-FU-10001473"/>
    <s v="Furniture"/>
    <x v="3"/>
    <s v="DAX Wood Document Frame"/>
    <n v="27.46"/>
    <n v="2"/>
    <n v="9.8856000000000002"/>
    <x v="1"/>
    <x v="5"/>
  </r>
  <r>
    <x v="1484"/>
    <x v="193"/>
    <m/>
    <n v="42710"/>
    <x v="0"/>
    <s v="EJ-14155"/>
    <s v="Eva Jacobs"/>
    <x v="0"/>
    <s v="United States"/>
    <x v="20"/>
    <x v="20"/>
    <x v="2"/>
    <s v="FUR-FU-10002045"/>
    <s v="Furniture"/>
    <x v="3"/>
    <s v="Executive Impressions 14&quot;"/>
    <n v="111.15"/>
    <n v="5"/>
    <n v="48.905999999999999"/>
    <x v="2"/>
    <x v="5"/>
  </r>
  <r>
    <x v="1484"/>
    <x v="193"/>
    <m/>
    <n v="42710"/>
    <x v="0"/>
    <s v="EJ-14155"/>
    <s v="Eva Jacobs"/>
    <x v="0"/>
    <s v="United States"/>
    <x v="20"/>
    <x v="20"/>
    <x v="2"/>
    <s v="FUR-TA-10001095"/>
    <s v="Furniture"/>
    <x v="2"/>
    <s v="Chromcraft Round Conference Tables"/>
    <n v="366.00900000000001"/>
    <n v="3"/>
    <n v="-47.058300000000003"/>
    <x v="2"/>
    <x v="5"/>
  </r>
  <r>
    <x v="1485"/>
    <x v="575"/>
    <m/>
    <n v="43046"/>
    <x v="0"/>
    <s v="SR-20425"/>
    <s v="Sharelle Roach"/>
    <x v="2"/>
    <s v="United States"/>
    <x v="76"/>
    <x v="15"/>
    <x v="2"/>
    <s v="FUR-CH-10001973"/>
    <s v="Furniture"/>
    <x v="1"/>
    <s v="Office Star Flex Back Scooter Chair with White Frame"/>
    <n v="155.37200000000001"/>
    <n v="2"/>
    <n v="-35.513599999999997"/>
    <x v="2"/>
    <x v="0"/>
  </r>
  <r>
    <x v="1486"/>
    <x v="482"/>
    <m/>
    <n v="42347"/>
    <x v="0"/>
    <s v="BD-11635"/>
    <s v="Brian Derr"/>
    <x v="0"/>
    <s v="United States"/>
    <x v="13"/>
    <x v="7"/>
    <x v="2"/>
    <s v="FUR-CH-10003535"/>
    <s v="Furniture"/>
    <x v="1"/>
    <s v="Global Armless Task Chair, Royal Blue"/>
    <n v="164.64599999999999"/>
    <n v="3"/>
    <n v="12.8058"/>
    <x v="4"/>
    <x v="5"/>
  </r>
  <r>
    <x v="1487"/>
    <x v="220"/>
    <m/>
    <n v="42928"/>
    <x v="1"/>
    <s v="HE-14800"/>
    <s v="Harold Engle"/>
    <x v="1"/>
    <s v="United States"/>
    <x v="19"/>
    <x v="14"/>
    <x v="2"/>
    <s v="FUR-FU-10003247"/>
    <s v="Furniture"/>
    <x v="3"/>
    <s v="36X48 HARDFLOOR CHAIRMAT"/>
    <n v="83.92"/>
    <n v="4"/>
    <n v="5.8743999999999996"/>
    <x v="4"/>
    <x v="3"/>
  </r>
  <r>
    <x v="1487"/>
    <x v="220"/>
    <m/>
    <n v="42928"/>
    <x v="1"/>
    <s v="HE-14800"/>
    <s v="Harold Engle"/>
    <x v="1"/>
    <s v="United States"/>
    <x v="19"/>
    <x v="14"/>
    <x v="2"/>
    <s v="FUR-FU-10001057"/>
    <s v="Furniture"/>
    <x v="3"/>
    <s v="Tensor Track Tree Floor Lamp"/>
    <n v="39.979999999999997"/>
    <n v="2"/>
    <n v="9.1953999999999994"/>
    <x v="4"/>
    <x v="3"/>
  </r>
  <r>
    <x v="1488"/>
    <x v="818"/>
    <m/>
    <n v="42689"/>
    <x v="3"/>
    <s v="ON-18715"/>
    <s v="Odella Nelson"/>
    <x v="1"/>
    <s v="United States"/>
    <x v="259"/>
    <x v="30"/>
    <x v="0"/>
    <s v="FUR-TA-10001768"/>
    <s v="Furniture"/>
    <x v="2"/>
    <s v="Hon Racetrack Conference Tables"/>
    <n v="630.024"/>
    <n v="4"/>
    <n v="-199.5076"/>
    <x v="7"/>
    <x v="0"/>
  </r>
  <r>
    <x v="1489"/>
    <x v="203"/>
    <m/>
    <n v="42808"/>
    <x v="1"/>
    <s v="MD-17350"/>
    <s v="Maribeth Dona"/>
    <x v="0"/>
    <s v="United States"/>
    <x v="144"/>
    <x v="5"/>
    <x v="3"/>
    <s v="FUR-TA-10002228"/>
    <s v="Furniture"/>
    <x v="2"/>
    <s v="Bevis Traditional Conference Table Top, Plinth Base"/>
    <n v="933.40800000000002"/>
    <n v="4"/>
    <n v="-173.34719999999999"/>
    <x v="4"/>
    <x v="9"/>
  </r>
  <r>
    <x v="1490"/>
    <x v="808"/>
    <m/>
    <n v="42866"/>
    <x v="2"/>
    <s v="LB-16795"/>
    <s v="Laurel Beltran"/>
    <x v="2"/>
    <s v="United States"/>
    <x v="15"/>
    <x v="13"/>
    <x v="1"/>
    <s v="FUR-TA-10004154"/>
    <s v="Furniture"/>
    <x v="2"/>
    <s v="Riverside Furniture Oval Coffee Table, Oval End Table, End Table with Drawer"/>
    <n v="286.85000000000002"/>
    <n v="1"/>
    <n v="63.106999999999999"/>
    <x v="3"/>
    <x v="7"/>
  </r>
  <r>
    <x v="1491"/>
    <x v="176"/>
    <m/>
    <n v="43024"/>
    <x v="1"/>
    <s v="NP-18670"/>
    <s v="Nora Paige"/>
    <x v="0"/>
    <s v="United States"/>
    <x v="174"/>
    <x v="18"/>
    <x v="2"/>
    <s v="FUR-FU-10004053"/>
    <s v="Furniture"/>
    <x v="3"/>
    <s v="DAX Two-Tone Silver Metal Document Frame"/>
    <n v="40.479999999999997"/>
    <n v="2"/>
    <n v="17.406400000000001"/>
    <x v="4"/>
    <x v="1"/>
  </r>
  <r>
    <x v="1491"/>
    <x v="176"/>
    <m/>
    <n v="43024"/>
    <x v="1"/>
    <s v="NP-18670"/>
    <s v="Nora Paige"/>
    <x v="0"/>
    <s v="United States"/>
    <x v="174"/>
    <x v="18"/>
    <x v="2"/>
    <s v="FUR-BO-10003404"/>
    <s v="Furniture"/>
    <x v="0"/>
    <s v="Global Adaptabilites Bookcase, Cherry/Storm Gray Finish"/>
    <n v="2154.9"/>
    <n v="5"/>
    <n v="129.29400000000001"/>
    <x v="4"/>
    <x v="1"/>
  </r>
  <r>
    <x v="1492"/>
    <x v="645"/>
    <m/>
    <n v="42725"/>
    <x v="0"/>
    <s v="CL-12565"/>
    <s v="Clay Ludtke"/>
    <x v="0"/>
    <s v="United States"/>
    <x v="288"/>
    <x v="3"/>
    <x v="2"/>
    <s v="FUR-FU-10004904"/>
    <s v="Furniture"/>
    <x v="3"/>
    <s v="Eldon &quot;L&quot; Workstation Diamond Chairmat"/>
    <n v="303.92"/>
    <n v="5"/>
    <n v="-30.391999999999999"/>
    <x v="3"/>
    <x v="5"/>
  </r>
  <r>
    <x v="1493"/>
    <x v="819"/>
    <m/>
    <n v="43052"/>
    <x v="1"/>
    <s v="KN-16450"/>
    <s v="Kean Nguyen"/>
    <x v="1"/>
    <s v="United States"/>
    <x v="237"/>
    <x v="32"/>
    <x v="2"/>
    <s v="FUR-FU-10003535"/>
    <s v="Furniture"/>
    <x v="3"/>
    <s v="Howard Miller Distant Time Traveler Alarm Clock"/>
    <n v="274.2"/>
    <n v="10"/>
    <n v="112.422"/>
    <x v="2"/>
    <x v="0"/>
  </r>
  <r>
    <x v="1494"/>
    <x v="94"/>
    <m/>
    <n v="41900"/>
    <x v="0"/>
    <s v="SC-20260"/>
    <s v="Scott Cohen"/>
    <x v="1"/>
    <s v="United States"/>
    <x v="177"/>
    <x v="5"/>
    <x v="3"/>
    <s v="FUR-FU-10000550"/>
    <s v="Furniture"/>
    <x v="3"/>
    <s v="Stacking Trays by OIC"/>
    <n v="9.9600000000000009"/>
    <n v="5"/>
    <n v="-6.7229999999999999"/>
    <x v="4"/>
    <x v="4"/>
  </r>
  <r>
    <x v="1495"/>
    <x v="409"/>
    <m/>
    <n v="43032"/>
    <x v="2"/>
    <s v="AH-10075"/>
    <s v="Adam Hart"/>
    <x v="1"/>
    <s v="United States"/>
    <x v="236"/>
    <x v="38"/>
    <x v="2"/>
    <s v="FUR-TA-10001039"/>
    <s v="Furniture"/>
    <x v="2"/>
    <s v="KI Adjustable-Height Table"/>
    <n v="240.744"/>
    <n v="4"/>
    <n v="-13.7568"/>
    <x v="5"/>
    <x v="1"/>
  </r>
  <r>
    <x v="1495"/>
    <x v="409"/>
    <m/>
    <n v="43032"/>
    <x v="2"/>
    <s v="AH-10075"/>
    <s v="Adam Hart"/>
    <x v="1"/>
    <s v="United States"/>
    <x v="236"/>
    <x v="38"/>
    <x v="2"/>
    <s v="FUR-FU-10004963"/>
    <s v="Furniture"/>
    <x v="3"/>
    <s v="Eldon 400 Class Desk Accessories, Black Carbon"/>
    <n v="35"/>
    <n v="4"/>
    <n v="14.7"/>
    <x v="5"/>
    <x v="1"/>
  </r>
  <r>
    <x v="1495"/>
    <x v="409"/>
    <m/>
    <n v="43032"/>
    <x v="2"/>
    <s v="AH-10075"/>
    <s v="Adam Hart"/>
    <x v="1"/>
    <s v="United States"/>
    <x v="236"/>
    <x v="38"/>
    <x v="2"/>
    <s v="FUR-FU-10000277"/>
    <s v="Furniture"/>
    <x v="3"/>
    <s v="Deflect-o DuraMat Antistatic Studded Beveled Mat for Medium Pile Carpeting"/>
    <n v="210.68"/>
    <n v="2"/>
    <n v="50.563200000000002"/>
    <x v="5"/>
    <x v="1"/>
  </r>
  <r>
    <x v="1495"/>
    <x v="409"/>
    <m/>
    <n v="43032"/>
    <x v="2"/>
    <s v="AH-10075"/>
    <s v="Adam Hart"/>
    <x v="1"/>
    <s v="United States"/>
    <x v="236"/>
    <x v="38"/>
    <x v="2"/>
    <s v="FUR-TA-10004915"/>
    <s v="Furniture"/>
    <x v="2"/>
    <s v="Office Impressions End Table, 20-1/2&quot;H x 24&quot;W x 20&quot;D"/>
    <n v="637.89599999999996"/>
    <n v="3"/>
    <n v="-127.5792"/>
    <x v="5"/>
    <x v="1"/>
  </r>
  <r>
    <x v="1496"/>
    <x v="820"/>
    <m/>
    <n v="42483"/>
    <x v="1"/>
    <s v="TH-21115"/>
    <s v="Thea Hudgings"/>
    <x v="1"/>
    <s v="United States"/>
    <x v="6"/>
    <x v="5"/>
    <x v="3"/>
    <s v="FUR-CH-10002880"/>
    <s v="Furniture"/>
    <x v="1"/>
    <s v="Global High-Back Leather Tilter, Burgundy"/>
    <n v="344.37200000000001"/>
    <n v="4"/>
    <n v="-93.472399999999993"/>
    <x v="2"/>
    <x v="6"/>
  </r>
  <r>
    <x v="1496"/>
    <x v="820"/>
    <m/>
    <n v="42483"/>
    <x v="1"/>
    <s v="TH-21115"/>
    <s v="Thea Hudgings"/>
    <x v="1"/>
    <s v="United States"/>
    <x v="6"/>
    <x v="5"/>
    <x v="3"/>
    <s v="FUR-FU-10004748"/>
    <s v="Furniture"/>
    <x v="3"/>
    <s v="Howard Miller 16&quot; Diameter Gallery Wall Clock"/>
    <n v="127.88"/>
    <n v="5"/>
    <n v="-67.137"/>
    <x v="2"/>
    <x v="6"/>
  </r>
  <r>
    <x v="1497"/>
    <x v="15"/>
    <m/>
    <n v="42888"/>
    <x v="0"/>
    <s v="TH-21235"/>
    <s v="Tiffany House"/>
    <x v="1"/>
    <s v="United States"/>
    <x v="9"/>
    <x v="8"/>
    <x v="3"/>
    <s v="FUR-CH-10001146"/>
    <s v="Furniture"/>
    <x v="1"/>
    <s v="Global Task Chair, Black"/>
    <n v="106.869"/>
    <n v="3"/>
    <n v="-29.007300000000001"/>
    <x v="2"/>
    <x v="7"/>
  </r>
  <r>
    <x v="1498"/>
    <x v="367"/>
    <m/>
    <n v="42691"/>
    <x v="1"/>
    <s v="AS-10285"/>
    <s v="Alejandro Savely"/>
    <x v="1"/>
    <s v="United States"/>
    <x v="344"/>
    <x v="6"/>
    <x v="3"/>
    <s v="FUR-TA-10001950"/>
    <s v="Furniture"/>
    <x v="2"/>
    <s v="Balt Solid Wood Round Tables"/>
    <n v="2678.94"/>
    <n v="6"/>
    <n v="241.1046"/>
    <x v="6"/>
    <x v="0"/>
  </r>
  <r>
    <x v="1499"/>
    <x v="748"/>
    <m/>
    <n v="42852"/>
    <x v="1"/>
    <s v="PN-18775"/>
    <s v="Parhena Norris"/>
    <x v="2"/>
    <s v="United States"/>
    <x v="345"/>
    <x v="9"/>
    <x v="0"/>
    <s v="FUR-BO-10001972"/>
    <s v="Furniture"/>
    <x v="0"/>
    <s v="O'Sullivan 4-Shelf Bookcase in Odessa Pine"/>
    <n v="387.13600000000002"/>
    <n v="4"/>
    <n v="-14.5176"/>
    <x v="4"/>
    <x v="6"/>
  </r>
  <r>
    <x v="1499"/>
    <x v="748"/>
    <m/>
    <n v="42852"/>
    <x v="1"/>
    <s v="PN-18775"/>
    <s v="Parhena Norris"/>
    <x v="2"/>
    <s v="United States"/>
    <x v="345"/>
    <x v="9"/>
    <x v="0"/>
    <s v="FUR-FU-10000193"/>
    <s v="Furniture"/>
    <x v="3"/>
    <s v="Tenex Chairmats For Use with Hard Floors"/>
    <n v="77.951999999999998"/>
    <n v="3"/>
    <n v="-11.6928"/>
    <x v="4"/>
    <x v="6"/>
  </r>
  <r>
    <x v="1500"/>
    <x v="118"/>
    <m/>
    <n v="43002"/>
    <x v="3"/>
    <s v="PB-19150"/>
    <s v="Philip Brown"/>
    <x v="0"/>
    <s v="United States"/>
    <x v="15"/>
    <x v="13"/>
    <x v="1"/>
    <s v="FUR-FU-10002759"/>
    <s v="Furniture"/>
    <x v="3"/>
    <s v="12-1/2 Diameter Round Wall Clock"/>
    <n v="199.8"/>
    <n v="10"/>
    <n v="71.927999999999997"/>
    <x v="7"/>
    <x v="4"/>
  </r>
  <r>
    <x v="1501"/>
    <x v="821"/>
    <m/>
    <n v="42404"/>
    <x v="0"/>
    <s v="SE-20110"/>
    <s v="Sanjit Engle"/>
    <x v="0"/>
    <s v="United States"/>
    <x v="58"/>
    <x v="25"/>
    <x v="0"/>
    <s v="FUR-FU-10001731"/>
    <s v="Furniture"/>
    <x v="3"/>
    <s v="Acrylic Self-Standing Desk Frames"/>
    <n v="18.690000000000001"/>
    <n v="7"/>
    <n v="7.1021999999999998"/>
    <x v="3"/>
    <x v="11"/>
  </r>
  <r>
    <x v="1502"/>
    <x v="822"/>
    <m/>
    <n v="42066"/>
    <x v="0"/>
    <s v="DH-13075"/>
    <s v="Dave Hallsten"/>
    <x v="1"/>
    <s v="United States"/>
    <x v="2"/>
    <x v="2"/>
    <x v="1"/>
    <s v="FUR-CH-10003396"/>
    <s v="Furniture"/>
    <x v="1"/>
    <s v="Global Deluxe Steno Chair"/>
    <n v="184.75200000000001"/>
    <n v="3"/>
    <n v="-20.784600000000001"/>
    <x v="3"/>
    <x v="9"/>
  </r>
  <r>
    <x v="1503"/>
    <x v="630"/>
    <m/>
    <n v="42496"/>
    <x v="1"/>
    <s v="NR-18550"/>
    <s v="Nick Radford"/>
    <x v="0"/>
    <s v="United States"/>
    <x v="45"/>
    <x v="5"/>
    <x v="3"/>
    <s v="FUR-CH-10003298"/>
    <s v="Furniture"/>
    <x v="1"/>
    <s v="Office Star - Contemporary Task Swivel chair with Loop Arms, Charcoal"/>
    <n v="366.74400000000003"/>
    <n v="4"/>
    <n v="-110.0232"/>
    <x v="4"/>
    <x v="7"/>
  </r>
  <r>
    <x v="1504"/>
    <x v="821"/>
    <m/>
    <n v="42408"/>
    <x v="1"/>
    <s v="NS-18640"/>
    <s v="Noel Staavos"/>
    <x v="1"/>
    <s v="United States"/>
    <x v="6"/>
    <x v="5"/>
    <x v="3"/>
    <s v="FUR-FU-10003601"/>
    <s v="Furniture"/>
    <x v="3"/>
    <s v="Deflect-o RollaMat Studded, Beveled Mat for Medium Pile Carpeting"/>
    <n v="73.784000000000006"/>
    <n v="2"/>
    <n v="-77.473200000000006"/>
    <x v="6"/>
    <x v="11"/>
  </r>
  <r>
    <x v="1505"/>
    <x v="182"/>
    <m/>
    <n v="42893"/>
    <x v="0"/>
    <s v="EM-14065"/>
    <s v="Erin Mull"/>
    <x v="0"/>
    <s v="United States"/>
    <x v="346"/>
    <x v="5"/>
    <x v="3"/>
    <s v="FUR-FU-10002501"/>
    <s v="Furniture"/>
    <x v="3"/>
    <s v="Nu-Dell Executive Frame"/>
    <n v="30.335999999999999"/>
    <n v="6"/>
    <n v="-17.443200000000001"/>
    <x v="0"/>
    <x v="2"/>
  </r>
  <r>
    <x v="1506"/>
    <x v="423"/>
    <m/>
    <n v="43079"/>
    <x v="1"/>
    <s v="DO-13645"/>
    <s v="Doug O'Connell"/>
    <x v="0"/>
    <s v="United States"/>
    <x v="309"/>
    <x v="18"/>
    <x v="2"/>
    <s v="FUR-FU-10002506"/>
    <s v="Furniture"/>
    <x v="3"/>
    <s v="Tensor &quot;Hersey Kiss&quot; Styled Floor Lamp"/>
    <n v="12.99"/>
    <n v="1"/>
    <n v="1.5588"/>
    <x v="6"/>
    <x v="5"/>
  </r>
  <r>
    <x v="1506"/>
    <x v="423"/>
    <m/>
    <n v="43079"/>
    <x v="1"/>
    <s v="DO-13645"/>
    <s v="Doug O'Connell"/>
    <x v="0"/>
    <s v="United States"/>
    <x v="309"/>
    <x v="18"/>
    <x v="2"/>
    <s v="FUR-CH-10003817"/>
    <s v="Furniture"/>
    <x v="1"/>
    <s v="Global Value Steno Chair, Gray"/>
    <n v="182.22"/>
    <n v="3"/>
    <n v="45.555"/>
    <x v="6"/>
    <x v="5"/>
  </r>
  <r>
    <x v="1506"/>
    <x v="423"/>
    <m/>
    <n v="43079"/>
    <x v="1"/>
    <s v="DO-13645"/>
    <s v="Doug O'Connell"/>
    <x v="0"/>
    <s v="United States"/>
    <x v="309"/>
    <x v="18"/>
    <x v="2"/>
    <s v="FUR-CH-10004860"/>
    <s v="Furniture"/>
    <x v="1"/>
    <s v="Global Low Back Tilter Chair"/>
    <n v="302.94"/>
    <n v="3"/>
    <n v="18.176400000000001"/>
    <x v="6"/>
    <x v="5"/>
  </r>
  <r>
    <x v="1507"/>
    <x v="823"/>
    <m/>
    <n v="42384"/>
    <x v="1"/>
    <s v="MP-17470"/>
    <s v="Mark Packer"/>
    <x v="2"/>
    <s v="United States"/>
    <x v="29"/>
    <x v="15"/>
    <x v="2"/>
    <s v="FUR-FU-10002268"/>
    <s v="Furniture"/>
    <x v="3"/>
    <s v="Ultra Door Push Plate"/>
    <n v="54.991999999999997"/>
    <n v="14"/>
    <n v="8.9361999999999995"/>
    <x v="4"/>
    <x v="8"/>
  </r>
  <r>
    <x v="1508"/>
    <x v="824"/>
    <m/>
    <n v="42810"/>
    <x v="3"/>
    <s v="SP-20920"/>
    <s v="Susan Pistek"/>
    <x v="0"/>
    <s v="United States"/>
    <x v="29"/>
    <x v="15"/>
    <x v="2"/>
    <s v="FUR-FU-10003424"/>
    <s v="Furniture"/>
    <x v="3"/>
    <s v="Nu-Dell Oak Frame"/>
    <n v="51.264000000000003"/>
    <n v="6"/>
    <n v="7.6896000000000004"/>
    <x v="7"/>
    <x v="9"/>
  </r>
  <r>
    <x v="1509"/>
    <x v="219"/>
    <m/>
    <n v="43056"/>
    <x v="1"/>
    <s v="ME-17320"/>
    <s v="Maria Etezadi"/>
    <x v="2"/>
    <s v="United States"/>
    <x v="2"/>
    <x v="2"/>
    <x v="1"/>
    <s v="FUR-CH-10001714"/>
    <s v="Furniture"/>
    <x v="1"/>
    <s v="Global Leather &amp; Oak Executive Chair, Burgundy"/>
    <n v="241.42400000000001"/>
    <n v="2"/>
    <n v="-36.2136"/>
    <x v="1"/>
    <x v="0"/>
  </r>
  <r>
    <x v="1510"/>
    <x v="825"/>
    <m/>
    <n v="42710"/>
    <x v="1"/>
    <s v="BS-11755"/>
    <s v="Bruce Stewart"/>
    <x v="0"/>
    <s v="United States"/>
    <x v="25"/>
    <x v="17"/>
    <x v="3"/>
    <s v="FUR-CH-10000513"/>
    <s v="Furniture"/>
    <x v="1"/>
    <s v="High-Back Leather Manager's Chair"/>
    <n v="389.97"/>
    <n v="3"/>
    <n v="35.097299999999997"/>
    <x v="6"/>
    <x v="0"/>
  </r>
  <r>
    <x v="1511"/>
    <x v="826"/>
    <m/>
    <n v="42361"/>
    <x v="2"/>
    <s v="HR-14830"/>
    <s v="Harold Ryan"/>
    <x v="1"/>
    <s v="United States"/>
    <x v="3"/>
    <x v="3"/>
    <x v="2"/>
    <s v="FUR-CH-10001270"/>
    <s v="Furniture"/>
    <x v="1"/>
    <s v="Harbour Creations Steel Folding Chair"/>
    <n v="422.625"/>
    <n v="7"/>
    <n v="0"/>
    <x v="5"/>
    <x v="5"/>
  </r>
  <r>
    <x v="1512"/>
    <x v="827"/>
    <m/>
    <n v="42460"/>
    <x v="1"/>
    <s v="DS-13180"/>
    <s v="David Smith"/>
    <x v="1"/>
    <s v="United States"/>
    <x v="29"/>
    <x v="24"/>
    <x v="0"/>
    <s v="FUR-FU-10004053"/>
    <s v="Furniture"/>
    <x v="3"/>
    <s v="DAX Two-Tone Silver Metal Document Frame"/>
    <n v="20.239999999999998"/>
    <n v="1"/>
    <n v="8.7032000000000007"/>
    <x v="4"/>
    <x v="9"/>
  </r>
  <r>
    <x v="1512"/>
    <x v="827"/>
    <m/>
    <n v="42460"/>
    <x v="1"/>
    <s v="DS-13180"/>
    <s v="David Smith"/>
    <x v="1"/>
    <s v="United States"/>
    <x v="29"/>
    <x v="24"/>
    <x v="0"/>
    <s v="FUR-FU-10003731"/>
    <s v="Furniture"/>
    <x v="3"/>
    <s v="Eldon Expressions Wood and Plastic Desk Accessories, Oak"/>
    <n v="39.92"/>
    <n v="4"/>
    <n v="11.1776"/>
    <x v="4"/>
    <x v="9"/>
  </r>
  <r>
    <x v="1513"/>
    <x v="795"/>
    <m/>
    <n v="42259"/>
    <x v="2"/>
    <s v="GB-14530"/>
    <s v="George Bell"/>
    <x v="1"/>
    <s v="United States"/>
    <x v="14"/>
    <x v="12"/>
    <x v="1"/>
    <s v="FUR-FU-10000073"/>
    <s v="Furniture"/>
    <x v="3"/>
    <s v="Deflect-O Glasstique Clear Desk Accessories"/>
    <n v="24.64"/>
    <n v="4"/>
    <n v="4.0039999999999996"/>
    <x v="5"/>
    <x v="4"/>
  </r>
  <r>
    <x v="1514"/>
    <x v="453"/>
    <m/>
    <n v="42715"/>
    <x v="2"/>
    <s v="PM-18940"/>
    <s v="Paul MacIntyre"/>
    <x v="0"/>
    <s v="United States"/>
    <x v="76"/>
    <x v="25"/>
    <x v="0"/>
    <s v="FUR-TA-10002530"/>
    <s v="Furniture"/>
    <x v="2"/>
    <s v="Iceberg OfficeWorks 42&quot; Round Tables"/>
    <n v="1056.8599999999999"/>
    <n v="7"/>
    <n v="158.529"/>
    <x v="3"/>
    <x v="5"/>
  </r>
  <r>
    <x v="1515"/>
    <x v="207"/>
    <m/>
    <n v="42730"/>
    <x v="0"/>
    <s v="LA-16780"/>
    <s v="Laura Armstrong"/>
    <x v="1"/>
    <s v="United States"/>
    <x v="6"/>
    <x v="5"/>
    <x v="3"/>
    <s v="FUR-FU-10000206"/>
    <s v="Furniture"/>
    <x v="3"/>
    <s v="GE General Purpose, Extra Long Life, Showcase &amp; Floodlight Incandescent Bulbs"/>
    <n v="2.3279999999999998"/>
    <n v="2"/>
    <n v="-0.75660000000000005"/>
    <x v="0"/>
    <x v="5"/>
  </r>
  <r>
    <x v="1516"/>
    <x v="828"/>
    <m/>
    <n v="42466"/>
    <x v="0"/>
    <s v="DJ-13420"/>
    <s v="Denny Joy"/>
    <x v="1"/>
    <s v="United States"/>
    <x v="79"/>
    <x v="16"/>
    <x v="3"/>
    <s v="FUR-CH-10000847"/>
    <s v="Furniture"/>
    <x v="1"/>
    <s v="Global Executive Mid-Back Manager's Chair"/>
    <n v="1454.9"/>
    <n v="5"/>
    <n v="378.274"/>
    <x v="4"/>
    <x v="6"/>
  </r>
  <r>
    <x v="1517"/>
    <x v="393"/>
    <m/>
    <n v="42859"/>
    <x v="1"/>
    <s v="MH-18115"/>
    <s v="Mick Hernandez"/>
    <x v="2"/>
    <s v="United States"/>
    <x v="347"/>
    <x v="1"/>
    <x v="0"/>
    <s v="FUR-FU-10000747"/>
    <s v="Furniture"/>
    <x v="3"/>
    <s v="Tenex B1-RE Series Chair Mats for Low Pile Carpets"/>
    <n v="220.70400000000001"/>
    <n v="6"/>
    <n v="-8.2764000000000006"/>
    <x v="4"/>
    <x v="6"/>
  </r>
  <r>
    <x v="1518"/>
    <x v="209"/>
    <m/>
    <n v="42920"/>
    <x v="2"/>
    <s v="TS-21505"/>
    <s v="Tony Sayre"/>
    <x v="0"/>
    <s v="United States"/>
    <x v="41"/>
    <x v="28"/>
    <x v="2"/>
    <s v="FUR-FU-10004188"/>
    <s v="Furniture"/>
    <x v="3"/>
    <s v="Luxo Professional Combination Clamp-On Lamps"/>
    <n v="102.3"/>
    <n v="1"/>
    <n v="26.597999999999999"/>
    <x v="5"/>
    <x v="3"/>
  </r>
  <r>
    <x v="1519"/>
    <x v="313"/>
    <m/>
    <n v="43095"/>
    <x v="1"/>
    <s v="CM-12190"/>
    <s v="Charlotte Melton"/>
    <x v="0"/>
    <s v="United States"/>
    <x v="77"/>
    <x v="11"/>
    <x v="3"/>
    <s v="FUR-TA-10004915"/>
    <s v="Furniture"/>
    <x v="2"/>
    <s v="Office Impressions End Table, 20-1/2&quot;H x 24&quot;W x 20&quot;D"/>
    <n v="607.52"/>
    <n v="2"/>
    <n v="97.203199999999995"/>
    <x v="4"/>
    <x v="5"/>
  </r>
  <r>
    <x v="1520"/>
    <x v="321"/>
    <m/>
    <n v="41781"/>
    <x v="0"/>
    <s v="MC-17590"/>
    <s v="Matt Collister"/>
    <x v="1"/>
    <s v="United States"/>
    <x v="348"/>
    <x v="5"/>
    <x v="3"/>
    <s v="FUR-FU-10003489"/>
    <s v="Furniture"/>
    <x v="3"/>
    <s v="Contemporary Borderless Frame"/>
    <n v="10.332000000000001"/>
    <n v="3"/>
    <n v="-5.9409000000000001"/>
    <x v="3"/>
    <x v="7"/>
  </r>
  <r>
    <x v="1521"/>
    <x v="748"/>
    <m/>
    <n v="42851"/>
    <x v="2"/>
    <s v="SO-20335"/>
    <s v="Sean O'Donnell"/>
    <x v="0"/>
    <s v="United States"/>
    <x v="349"/>
    <x v="12"/>
    <x v="1"/>
    <s v="FUR-FU-10001025"/>
    <s v="Furniture"/>
    <x v="3"/>
    <s v="Eldon ImË†ge Series Desk Accessories, Clear"/>
    <n v="11.664"/>
    <n v="3"/>
    <n v="3.3534000000000002"/>
    <x v="0"/>
    <x v="6"/>
  </r>
  <r>
    <x v="1522"/>
    <x v="829"/>
    <m/>
    <n v="41799"/>
    <x v="1"/>
    <s v="BT-11440"/>
    <s v="Bobby Trafton"/>
    <x v="0"/>
    <s v="United States"/>
    <x v="13"/>
    <x v="7"/>
    <x v="2"/>
    <s v="FUR-FU-10002878"/>
    <s v="Furniture"/>
    <x v="3"/>
    <s v="Seth Thomas 14&quot; Day/Date Wall Clock"/>
    <n v="56.96"/>
    <n v="2"/>
    <n v="21.075199999999999"/>
    <x v="2"/>
    <x v="2"/>
  </r>
  <r>
    <x v="1522"/>
    <x v="829"/>
    <m/>
    <n v="41799"/>
    <x v="1"/>
    <s v="BT-11440"/>
    <s v="Bobby Trafton"/>
    <x v="0"/>
    <s v="United States"/>
    <x v="13"/>
    <x v="7"/>
    <x v="2"/>
    <s v="FUR-BO-10003272"/>
    <s v="Furniture"/>
    <x v="0"/>
    <s v="O'Sullivan Living Dimensions 5-Shelf Bookcases"/>
    <n v="353.56799999999998"/>
    <n v="2"/>
    <n v="-44.195999999999998"/>
    <x v="2"/>
    <x v="2"/>
  </r>
  <r>
    <x v="1522"/>
    <x v="829"/>
    <m/>
    <n v="41799"/>
    <x v="1"/>
    <s v="BT-11440"/>
    <s v="Bobby Trafton"/>
    <x v="0"/>
    <s v="United States"/>
    <x v="13"/>
    <x v="7"/>
    <x v="2"/>
    <s v="FUR-FU-10002191"/>
    <s v="Furniture"/>
    <x v="3"/>
    <s v="G.E. Halogen Desk Lamp Bulbs"/>
    <n v="13.96"/>
    <n v="2"/>
    <n v="6.7008000000000001"/>
    <x v="2"/>
    <x v="2"/>
  </r>
  <r>
    <x v="1523"/>
    <x v="470"/>
    <m/>
    <n v="42802"/>
    <x v="1"/>
    <s v="BT-11395"/>
    <s v="Bill Tyler"/>
    <x v="1"/>
    <s v="United States"/>
    <x v="2"/>
    <x v="2"/>
    <x v="1"/>
    <s v="FUR-TA-10001520"/>
    <s v="Furniture"/>
    <x v="2"/>
    <s v="Lesro Sheffield Collection Coffee Table, End Table, Center Table, Corner Table"/>
    <n v="399.67200000000003"/>
    <n v="7"/>
    <n v="-14.9877"/>
    <x v="2"/>
    <x v="9"/>
  </r>
  <r>
    <x v="1524"/>
    <x v="200"/>
    <m/>
    <n v="43048"/>
    <x v="0"/>
    <s v="LC-17050"/>
    <s v="Liz Carlisle"/>
    <x v="0"/>
    <s v="United States"/>
    <x v="144"/>
    <x v="5"/>
    <x v="3"/>
    <s v="FUR-FU-10003878"/>
    <s v="Furniture"/>
    <x v="3"/>
    <s v="Linden 10&quot; Round Wall Clock, Black"/>
    <n v="30.56"/>
    <n v="5"/>
    <n v="-19.864000000000001"/>
    <x v="0"/>
    <x v="0"/>
  </r>
  <r>
    <x v="1525"/>
    <x v="395"/>
    <m/>
    <n v="42259"/>
    <x v="1"/>
    <s v="AG-10525"/>
    <s v="Andy Gerbode"/>
    <x v="1"/>
    <s v="United States"/>
    <x v="13"/>
    <x v="7"/>
    <x v="2"/>
    <s v="FUR-TA-10003569"/>
    <s v="Furniture"/>
    <x v="2"/>
    <s v="Bretford CR8500 Series Meeting Room Furniture"/>
    <n v="481.17599999999999"/>
    <n v="2"/>
    <n v="-120.294"/>
    <x v="2"/>
    <x v="4"/>
  </r>
  <r>
    <x v="1526"/>
    <x v="830"/>
    <m/>
    <n v="42580"/>
    <x v="2"/>
    <s v="OT-18730"/>
    <s v="Olvera Toch"/>
    <x v="0"/>
    <s v="United States"/>
    <x v="268"/>
    <x v="3"/>
    <x v="2"/>
    <s v="FUR-BO-10004409"/>
    <s v="Furniture"/>
    <x v="0"/>
    <s v="Safco Value Mate Series Steel Bookcases, Baked Enamel Finish on Steel, Gray"/>
    <n v="177.45"/>
    <n v="5"/>
    <n v="-78.078000000000003"/>
    <x v="5"/>
    <x v="3"/>
  </r>
  <r>
    <x v="1527"/>
    <x v="831"/>
    <m/>
    <n v="42976"/>
    <x v="1"/>
    <s v="SV-20365"/>
    <s v="Seth Vernon"/>
    <x v="0"/>
    <s v="United States"/>
    <x v="3"/>
    <x v="3"/>
    <x v="2"/>
    <s v="FUR-BO-10001798"/>
    <s v="Furniture"/>
    <x v="0"/>
    <s v="Bush Somerset Collection Bookcase"/>
    <n v="130.97999999999999"/>
    <n v="2"/>
    <n v="-89.066400000000002"/>
    <x v="4"/>
    <x v="10"/>
  </r>
  <r>
    <x v="1528"/>
    <x v="437"/>
    <m/>
    <n v="42857"/>
    <x v="1"/>
    <s v="HM-14980"/>
    <s v="Henry MacAllister"/>
    <x v="0"/>
    <s v="United States"/>
    <x v="15"/>
    <x v="13"/>
    <x v="1"/>
    <s v="FUR-FU-10000397"/>
    <s v="Furniture"/>
    <x v="3"/>
    <s v="Luxo Economy Swing Arm Lamp"/>
    <n v="139.58000000000001"/>
    <n v="7"/>
    <n v="39.0824"/>
    <x v="2"/>
    <x v="6"/>
  </r>
  <r>
    <x v="1529"/>
    <x v="428"/>
    <m/>
    <n v="42323"/>
    <x v="1"/>
    <s v="NS-18640"/>
    <s v="Noel Staavos"/>
    <x v="1"/>
    <s v="United States"/>
    <x v="51"/>
    <x v="30"/>
    <x v="0"/>
    <s v="FUR-FU-10000023"/>
    <s v="Furniture"/>
    <x v="3"/>
    <s v="Eldon Wave Desk Accessories"/>
    <n v="4.7119999999999997"/>
    <n v="1"/>
    <n v="1.4136"/>
    <x v="1"/>
    <x v="0"/>
  </r>
  <r>
    <x v="1530"/>
    <x v="778"/>
    <m/>
    <n v="42703"/>
    <x v="1"/>
    <s v="MH-17455"/>
    <s v="Mark Hamilton"/>
    <x v="0"/>
    <s v="United States"/>
    <x v="2"/>
    <x v="2"/>
    <x v="1"/>
    <s v="FUR-CH-10004698"/>
    <s v="Furniture"/>
    <x v="1"/>
    <s v="Padded Folding Chairs, Black, 4/Carton"/>
    <n v="194.352"/>
    <n v="3"/>
    <n v="19.435199999999998"/>
    <x v="4"/>
    <x v="0"/>
  </r>
  <r>
    <x v="1531"/>
    <x v="482"/>
    <m/>
    <n v="42346"/>
    <x v="2"/>
    <s v="RR-19525"/>
    <s v="Rick Reed"/>
    <x v="1"/>
    <s v="United States"/>
    <x v="228"/>
    <x v="9"/>
    <x v="0"/>
    <s v="FUR-CH-10004477"/>
    <s v="Furniture"/>
    <x v="1"/>
    <s v="Global Push Button Manager's Chair, Indigo"/>
    <n v="97.424000000000007"/>
    <n v="2"/>
    <n v="10.9602"/>
    <x v="0"/>
    <x v="5"/>
  </r>
  <r>
    <x v="1532"/>
    <x v="624"/>
    <m/>
    <n v="41895"/>
    <x v="3"/>
    <s v="RP-19390"/>
    <s v="Resi PÅ¡lking"/>
    <x v="0"/>
    <s v="United States"/>
    <x v="15"/>
    <x v="13"/>
    <x v="1"/>
    <s v="FUR-FU-10001918"/>
    <s v="Furniture"/>
    <x v="3"/>
    <s v="C-Line Cubicle Keepers Polyproplyene Holder With Velcro Backings"/>
    <n v="14.19"/>
    <n v="3"/>
    <n v="5.5340999999999996"/>
    <x v="7"/>
    <x v="4"/>
  </r>
  <r>
    <x v="1533"/>
    <x v="608"/>
    <m/>
    <n v="43069"/>
    <x v="1"/>
    <s v="HZ-14950"/>
    <s v="Henia Zydlo"/>
    <x v="0"/>
    <s v="United States"/>
    <x v="1"/>
    <x v="1"/>
    <x v="0"/>
    <s v="FUR-BO-10003965"/>
    <s v="Furniture"/>
    <x v="0"/>
    <s v="O'Sullivan Manor Hill 2-Door Library in Brianna Oak"/>
    <n v="723.92"/>
    <n v="5"/>
    <n v="-81.441000000000003"/>
    <x v="2"/>
    <x v="0"/>
  </r>
  <r>
    <x v="1534"/>
    <x v="832"/>
    <m/>
    <n v="42141"/>
    <x v="1"/>
    <s v="JG-15160"/>
    <s v="James Galang"/>
    <x v="0"/>
    <s v="United States"/>
    <x v="6"/>
    <x v="5"/>
    <x v="3"/>
    <s v="FUR-FU-10000175"/>
    <s v="Furniture"/>
    <x v="3"/>
    <s v="DAX Wood Document Frame."/>
    <n v="21.968"/>
    <n v="4"/>
    <n v="-15.9268"/>
    <x v="2"/>
    <x v="7"/>
  </r>
  <r>
    <x v="1535"/>
    <x v="833"/>
    <m/>
    <n v="42826"/>
    <x v="0"/>
    <s v="AB-10165"/>
    <s v="Alan Barnes"/>
    <x v="0"/>
    <s v="United States"/>
    <x v="174"/>
    <x v="2"/>
    <x v="1"/>
    <s v="FUR-FU-10004973"/>
    <s v="Furniture"/>
    <x v="3"/>
    <s v="Flat Face Poster Frame"/>
    <n v="94.2"/>
    <n v="5"/>
    <n v="39.564"/>
    <x v="3"/>
    <x v="9"/>
  </r>
  <r>
    <x v="1536"/>
    <x v="421"/>
    <m/>
    <n v="42005"/>
    <x v="0"/>
    <s v="KB-16315"/>
    <s v="Karl Braun"/>
    <x v="0"/>
    <s v="United States"/>
    <x v="59"/>
    <x v="15"/>
    <x v="2"/>
    <s v="FUR-FU-10004904"/>
    <s v="Furniture"/>
    <x v="3"/>
    <s v="Eldon &quot;L&quot; Workstation Diamond Chairmat"/>
    <n v="182.352"/>
    <n v="3"/>
    <n v="-18.235199999999999"/>
    <x v="2"/>
    <x v="5"/>
  </r>
  <r>
    <x v="1537"/>
    <x v="834"/>
    <m/>
    <n v="42787"/>
    <x v="1"/>
    <s v="JS-16030"/>
    <s v="Joy Smith"/>
    <x v="0"/>
    <s v="United States"/>
    <x v="42"/>
    <x v="8"/>
    <x v="3"/>
    <s v="FUR-CH-10004063"/>
    <s v="Furniture"/>
    <x v="1"/>
    <s v="Global Deluxe High-Back Manager's Chair"/>
    <n v="600.55799999999999"/>
    <n v="3"/>
    <n v="-8.5793999999999997"/>
    <x v="2"/>
    <x v="11"/>
  </r>
  <r>
    <x v="1537"/>
    <x v="834"/>
    <m/>
    <n v="42787"/>
    <x v="1"/>
    <s v="JS-16030"/>
    <s v="Joy Smith"/>
    <x v="0"/>
    <s v="United States"/>
    <x v="42"/>
    <x v="8"/>
    <x v="3"/>
    <s v="FUR-FU-10004270"/>
    <s v="Furniture"/>
    <x v="3"/>
    <s v="Executive Impressions 13&quot; Clairmont Wall Clock"/>
    <n v="7.6920000000000002"/>
    <n v="1"/>
    <n v="-3.6537000000000002"/>
    <x v="2"/>
    <x v="11"/>
  </r>
  <r>
    <x v="1538"/>
    <x v="835"/>
    <m/>
    <n v="43034"/>
    <x v="2"/>
    <s v="PO-18850"/>
    <s v="Patrick O'Brill"/>
    <x v="0"/>
    <s v="United States"/>
    <x v="350"/>
    <x v="5"/>
    <x v="3"/>
    <s v="FUR-TA-10004607"/>
    <s v="Furniture"/>
    <x v="2"/>
    <s v="Hon 2111 Invitation Series Straight Table"/>
    <n v="517.40499999999997"/>
    <n v="5"/>
    <n v="-81.3065"/>
    <x v="3"/>
    <x v="1"/>
  </r>
  <r>
    <x v="1539"/>
    <x v="102"/>
    <m/>
    <n v="42995"/>
    <x v="0"/>
    <s v="CS-12400"/>
    <s v="Christopher Schild"/>
    <x v="2"/>
    <s v="United States"/>
    <x v="28"/>
    <x v="2"/>
    <x v="1"/>
    <s v="FUR-TA-10003473"/>
    <s v="Furniture"/>
    <x v="2"/>
    <s v="Bretford Rectangular Conference Table Tops"/>
    <n v="300.904"/>
    <n v="1"/>
    <n v="11.283899999999999"/>
    <x v="3"/>
    <x v="4"/>
  </r>
  <r>
    <x v="1540"/>
    <x v="836"/>
    <m/>
    <n v="42906"/>
    <x v="1"/>
    <s v="TS-21205"/>
    <s v="Thomas Seio"/>
    <x v="1"/>
    <s v="United States"/>
    <x v="228"/>
    <x v="9"/>
    <x v="0"/>
    <s v="FUR-FU-10004351"/>
    <s v="Furniture"/>
    <x v="3"/>
    <s v="Staple-based wall hangings"/>
    <n v="31.167999999999999"/>
    <n v="4"/>
    <n v="9.3504000000000005"/>
    <x v="2"/>
    <x v="2"/>
  </r>
  <r>
    <x v="1540"/>
    <x v="836"/>
    <m/>
    <n v="42906"/>
    <x v="1"/>
    <s v="TS-21205"/>
    <s v="Thomas Seio"/>
    <x v="1"/>
    <s v="United States"/>
    <x v="228"/>
    <x v="9"/>
    <x v="0"/>
    <s v="FUR-TA-10004152"/>
    <s v="Furniture"/>
    <x v="2"/>
    <s v="Barricks 18&quot; x 48&quot; Non-Folding Utility Table with Bottom Storage Shelf"/>
    <n v="120.96"/>
    <n v="2"/>
    <n v="-28.224"/>
    <x v="2"/>
    <x v="2"/>
  </r>
  <r>
    <x v="1541"/>
    <x v="30"/>
    <m/>
    <n v="41895"/>
    <x v="1"/>
    <s v="PP-18955"/>
    <s v="Paul Prost"/>
    <x v="2"/>
    <s v="United States"/>
    <x v="13"/>
    <x v="7"/>
    <x v="2"/>
    <s v="FUR-CH-10004289"/>
    <s v="Furniture"/>
    <x v="1"/>
    <s v="Global Super Steno Chair"/>
    <n v="172.76400000000001"/>
    <n v="2"/>
    <n v="13.437200000000001"/>
    <x v="2"/>
    <x v="4"/>
  </r>
  <r>
    <x v="1542"/>
    <x v="627"/>
    <m/>
    <n v="41961"/>
    <x v="2"/>
    <s v="JD-16150"/>
    <s v="Justin Deggeller"/>
    <x v="1"/>
    <s v="United States"/>
    <x v="2"/>
    <x v="2"/>
    <x v="1"/>
    <s v="FUR-BO-10004015"/>
    <s v="Furniture"/>
    <x v="0"/>
    <s v="Bush Andora Bookcase, Maple/Graphite Gray Finish"/>
    <n v="305.97449999999998"/>
    <n v="3"/>
    <n v="25.197900000000001"/>
    <x v="3"/>
    <x v="0"/>
  </r>
  <r>
    <x v="1543"/>
    <x v="749"/>
    <m/>
    <n v="41705"/>
    <x v="1"/>
    <s v="EJ-14155"/>
    <s v="Eva Jacobs"/>
    <x v="0"/>
    <s v="United States"/>
    <x v="53"/>
    <x v="2"/>
    <x v="1"/>
    <s v="FUR-TA-10002958"/>
    <s v="Furniture"/>
    <x v="2"/>
    <s v="Bevis Oval Conference Table, Walnut"/>
    <n v="626.35199999999998"/>
    <n v="3"/>
    <n v="-23.488199999999999"/>
    <x v="4"/>
    <x v="9"/>
  </r>
  <r>
    <x v="1544"/>
    <x v="62"/>
    <m/>
    <n v="42345"/>
    <x v="1"/>
    <s v="PW-19240"/>
    <s v="Pierre Wener"/>
    <x v="0"/>
    <s v="United States"/>
    <x v="28"/>
    <x v="2"/>
    <x v="1"/>
    <s v="FUR-BO-10002213"/>
    <s v="Furniture"/>
    <x v="0"/>
    <s v="Sauder Forest Hills Library, Woodland Oak Finish"/>
    <n v="359.49900000000002"/>
    <n v="3"/>
    <n v="-29.605799999999999"/>
    <x v="4"/>
    <x v="5"/>
  </r>
  <r>
    <x v="1545"/>
    <x v="21"/>
    <m/>
    <n v="42537"/>
    <x v="0"/>
    <s v="AW-10930"/>
    <s v="Arthur Wiediger"/>
    <x v="2"/>
    <s v="United States"/>
    <x v="6"/>
    <x v="5"/>
    <x v="3"/>
    <s v="FUR-FU-10001424"/>
    <s v="Furniture"/>
    <x v="3"/>
    <s v="Dax Clear Box Frame"/>
    <n v="6.984"/>
    <n v="2"/>
    <n v="-4.5396000000000001"/>
    <x v="4"/>
    <x v="2"/>
  </r>
  <r>
    <x v="1545"/>
    <x v="21"/>
    <m/>
    <n v="42537"/>
    <x v="0"/>
    <s v="AW-10930"/>
    <s v="Arthur Wiediger"/>
    <x v="2"/>
    <s v="United States"/>
    <x v="6"/>
    <x v="5"/>
    <x v="3"/>
    <s v="FUR-CH-10000229"/>
    <s v="Furniture"/>
    <x v="1"/>
    <s v="Global Enterprise Series Seating High-Back Swivel/Tilt Chairs"/>
    <n v="379.37200000000001"/>
    <n v="2"/>
    <n v="-119.2312"/>
    <x v="4"/>
    <x v="2"/>
  </r>
  <r>
    <x v="1546"/>
    <x v="7"/>
    <m/>
    <n v="42369"/>
    <x v="1"/>
    <s v="SP-20860"/>
    <s v="Sung Pak"/>
    <x v="1"/>
    <s v="United States"/>
    <x v="34"/>
    <x v="9"/>
    <x v="0"/>
    <s v="FUR-FU-10002030"/>
    <s v="Furniture"/>
    <x v="3"/>
    <s v="Executive Impressions 14&quot; Contract Wall Clock with Quartz Movement"/>
    <n v="53.351999999999997"/>
    <n v="3"/>
    <n v="16.005600000000001"/>
    <x v="4"/>
    <x v="5"/>
  </r>
  <r>
    <x v="1546"/>
    <x v="7"/>
    <m/>
    <n v="42369"/>
    <x v="1"/>
    <s v="SP-20860"/>
    <s v="Sung Pak"/>
    <x v="1"/>
    <s v="United States"/>
    <x v="34"/>
    <x v="9"/>
    <x v="0"/>
    <s v="FUR-BO-10002853"/>
    <s v="Furniture"/>
    <x v="0"/>
    <s v="O'Sullivan 5-Shelf Heavy-Duty Bookcases"/>
    <n v="131.10400000000001"/>
    <n v="2"/>
    <n v="8.1940000000000008"/>
    <x v="4"/>
    <x v="5"/>
  </r>
  <r>
    <x v="1547"/>
    <x v="419"/>
    <m/>
    <n v="42915"/>
    <x v="0"/>
    <s v="PW-19030"/>
    <s v="Pauline Webber"/>
    <x v="1"/>
    <s v="United States"/>
    <x v="15"/>
    <x v="13"/>
    <x v="1"/>
    <s v="FUR-FU-10001290"/>
    <s v="Furniture"/>
    <x v="3"/>
    <s v="Executive Impressions Supervisor Wall Clock"/>
    <n v="126.3"/>
    <n v="3"/>
    <n v="40.415999999999997"/>
    <x v="3"/>
    <x v="2"/>
  </r>
  <r>
    <x v="1548"/>
    <x v="837"/>
    <m/>
    <n v="42281"/>
    <x v="2"/>
    <s v="CK-12205"/>
    <s v="Chloris Kastensmidt"/>
    <x v="0"/>
    <s v="United States"/>
    <x v="351"/>
    <x v="36"/>
    <x v="1"/>
    <s v="FUR-FU-10000629"/>
    <s v="Furniture"/>
    <x v="3"/>
    <s v="9-3/4 Diameter Round Wall Clock"/>
    <n v="11.032"/>
    <n v="1"/>
    <n v="3.0337999999999998"/>
    <x v="3"/>
    <x v="1"/>
  </r>
  <r>
    <x v="1549"/>
    <x v="611"/>
    <m/>
    <n v="42773"/>
    <x v="1"/>
    <s v="BO-11350"/>
    <s v="Bill Overfelt"/>
    <x v="1"/>
    <s v="United States"/>
    <x v="53"/>
    <x v="2"/>
    <x v="1"/>
    <s v="FUR-FU-10000293"/>
    <s v="Furniture"/>
    <x v="3"/>
    <s v="Eldon Antistatic Chair Mats for Low to Medium Pile Carpets"/>
    <n v="210.58"/>
    <n v="2"/>
    <n v="12.6348"/>
    <x v="2"/>
    <x v="11"/>
  </r>
  <r>
    <x v="1550"/>
    <x v="249"/>
    <m/>
    <n v="42577"/>
    <x v="1"/>
    <s v="MF-17665"/>
    <s v="Maureen Fritzler"/>
    <x v="1"/>
    <s v="United States"/>
    <x v="11"/>
    <x v="32"/>
    <x v="2"/>
    <s v="FUR-FU-10000794"/>
    <s v="Furniture"/>
    <x v="3"/>
    <s v="Eldon Stackable Tray, Side-Load, Legal, Smoke"/>
    <n v="27.42"/>
    <n v="3"/>
    <n v="9.3228000000000009"/>
    <x v="4"/>
    <x v="3"/>
  </r>
  <r>
    <x v="1551"/>
    <x v="51"/>
    <m/>
    <n v="42626"/>
    <x v="3"/>
    <s v="PO-19180"/>
    <s v="Philisse Overcash"/>
    <x v="2"/>
    <s v="United States"/>
    <x v="74"/>
    <x v="12"/>
    <x v="1"/>
    <s v="FUR-CH-10002304"/>
    <s v="Furniture"/>
    <x v="1"/>
    <s v="Global Stack Chair without Arms, Black"/>
    <n v="83.135999999999996"/>
    <n v="4"/>
    <n v="5.1959999999999997"/>
    <x v="5"/>
    <x v="4"/>
  </r>
  <r>
    <x v="1552"/>
    <x v="192"/>
    <m/>
    <n v="42554"/>
    <x v="2"/>
    <s v="EA-14035"/>
    <s v="Erin Ashbrook"/>
    <x v="1"/>
    <s v="United States"/>
    <x v="156"/>
    <x v="5"/>
    <x v="3"/>
    <s v="FUR-CH-10000665"/>
    <s v="Furniture"/>
    <x v="1"/>
    <s v="Global Airflow Leather Mesh Back Chair, Black"/>
    <n v="528.42999999999995"/>
    <n v="5"/>
    <n v="0"/>
    <x v="5"/>
    <x v="3"/>
  </r>
  <r>
    <x v="1553"/>
    <x v="838"/>
    <m/>
    <n v="43087"/>
    <x v="1"/>
    <s v="BP-11095"/>
    <s v="Bart Pistole"/>
    <x v="1"/>
    <s v="United States"/>
    <x v="13"/>
    <x v="7"/>
    <x v="2"/>
    <s v="FUR-BO-10004015"/>
    <s v="Furniture"/>
    <x v="0"/>
    <s v="Bush Andora Bookcase, Maple/Graphite Gray Finish"/>
    <n v="287.976"/>
    <n v="3"/>
    <n v="7.1993999999999998"/>
    <x v="2"/>
    <x v="5"/>
  </r>
  <r>
    <x v="1554"/>
    <x v="822"/>
    <m/>
    <n v="42067"/>
    <x v="2"/>
    <s v="CM-12715"/>
    <s v="Craig Molinari"/>
    <x v="1"/>
    <s v="United States"/>
    <x v="6"/>
    <x v="5"/>
    <x v="3"/>
    <s v="FUR-BO-10001811"/>
    <s v="Furniture"/>
    <x v="0"/>
    <s v="Atlantic Metals Mobile 5-Shelf Bookcases, Custom Colors"/>
    <n v="1227.9983999999999"/>
    <n v="6"/>
    <n v="-36.117600000000003"/>
    <x v="0"/>
    <x v="9"/>
  </r>
  <r>
    <x v="1555"/>
    <x v="839"/>
    <m/>
    <n v="42633"/>
    <x v="1"/>
    <s v="JD-16150"/>
    <s v="Justin Deggeller"/>
    <x v="1"/>
    <s v="United States"/>
    <x v="352"/>
    <x v="42"/>
    <x v="1"/>
    <s v="FUR-TA-10003473"/>
    <s v="Furniture"/>
    <x v="2"/>
    <s v="Bretford Rectangular Conference Table Tops"/>
    <n v="1128.3900000000001"/>
    <n v="3"/>
    <n v="259.52969999999999"/>
    <x v="2"/>
    <x v="4"/>
  </r>
  <r>
    <x v="1556"/>
    <x v="836"/>
    <m/>
    <n v="42905"/>
    <x v="1"/>
    <s v="JE-15715"/>
    <s v="Joe Elijah"/>
    <x v="0"/>
    <s v="United States"/>
    <x v="91"/>
    <x v="30"/>
    <x v="0"/>
    <s v="FUR-CH-10000847"/>
    <s v="Furniture"/>
    <x v="1"/>
    <s v="Global Executive Mid-Back Manager's Chair"/>
    <n v="698.35199999999998"/>
    <n v="3"/>
    <n v="52.376399999999997"/>
    <x v="4"/>
    <x v="2"/>
  </r>
  <r>
    <x v="1556"/>
    <x v="836"/>
    <m/>
    <n v="42905"/>
    <x v="1"/>
    <s v="JE-15715"/>
    <s v="Joe Elijah"/>
    <x v="0"/>
    <s v="United States"/>
    <x v="91"/>
    <x v="30"/>
    <x v="0"/>
    <s v="FUR-BO-10000468"/>
    <s v="Furniture"/>
    <x v="0"/>
    <s v="O'Sullivan 2-Shelf Heavy-Duty Bookcases"/>
    <n v="77.727999999999994"/>
    <n v="2"/>
    <n v="-3.8864000000000001"/>
    <x v="4"/>
    <x v="2"/>
  </r>
  <r>
    <x v="1557"/>
    <x v="480"/>
    <m/>
    <n v="42686"/>
    <x v="2"/>
    <s v="AB-10015"/>
    <s v="Aaron Bergman"/>
    <x v="0"/>
    <s v="United States"/>
    <x v="258"/>
    <x v="37"/>
    <x v="3"/>
    <s v="FUR-BO-10003966"/>
    <s v="Furniture"/>
    <x v="0"/>
    <s v="Sauder Facets Collection Library, Sky Alder Finish"/>
    <n v="341.96"/>
    <n v="2"/>
    <n v="54.7136"/>
    <x v="3"/>
    <x v="0"/>
  </r>
  <r>
    <x v="1558"/>
    <x v="51"/>
    <m/>
    <n v="42629"/>
    <x v="1"/>
    <s v="MC-17590"/>
    <s v="Matt Collister"/>
    <x v="1"/>
    <s v="United States"/>
    <x v="353"/>
    <x v="7"/>
    <x v="2"/>
    <s v="FUR-FU-10002813"/>
    <s v="Furniture"/>
    <x v="3"/>
    <s v="DAX Contemporary Wood Frame with Silver Metal Mat, Desktop, 11 x 14 Size"/>
    <n v="40.479999999999997"/>
    <n v="2"/>
    <n v="14.572800000000001"/>
    <x v="4"/>
    <x v="4"/>
  </r>
  <r>
    <x v="1559"/>
    <x v="155"/>
    <m/>
    <n v="42216"/>
    <x v="1"/>
    <s v="CK-12760"/>
    <s v="Cyma Kinney"/>
    <x v="1"/>
    <s v="United States"/>
    <x v="110"/>
    <x v="22"/>
    <x v="1"/>
    <s v="FUR-CH-10003199"/>
    <s v="Furniture"/>
    <x v="1"/>
    <s v="Office Star - Contemporary Task Swivel Chair"/>
    <n v="266.35199999999998"/>
    <n v="3"/>
    <n v="13.317600000000001"/>
    <x v="2"/>
    <x v="3"/>
  </r>
  <r>
    <x v="1560"/>
    <x v="840"/>
    <m/>
    <n v="42327"/>
    <x v="1"/>
    <s v="DH-13675"/>
    <s v="Duane Huffman"/>
    <x v="2"/>
    <s v="United States"/>
    <x v="95"/>
    <x v="25"/>
    <x v="0"/>
    <s v="FUR-FU-10002759"/>
    <s v="Furniture"/>
    <x v="3"/>
    <s v="12-1/2 Diameter Round Wall Clock"/>
    <n v="39.96"/>
    <n v="2"/>
    <n v="14.3856"/>
    <x v="4"/>
    <x v="0"/>
  </r>
  <r>
    <x v="1561"/>
    <x v="473"/>
    <m/>
    <n v="42189"/>
    <x v="2"/>
    <s v="FA-14230"/>
    <s v="Frank Atkinson"/>
    <x v="1"/>
    <s v="United States"/>
    <x v="168"/>
    <x v="30"/>
    <x v="0"/>
    <s v="FUR-FU-10000076"/>
    <s v="Furniture"/>
    <x v="3"/>
    <s v="24-Hour Round Wall Clock"/>
    <n v="159.84"/>
    <n v="10"/>
    <n v="45.954000000000001"/>
    <x v="3"/>
    <x v="3"/>
  </r>
  <r>
    <x v="1562"/>
    <x v="795"/>
    <m/>
    <n v="42265"/>
    <x v="1"/>
    <s v="SN-20560"/>
    <s v="Skye Norling"/>
    <x v="2"/>
    <s v="United States"/>
    <x v="309"/>
    <x v="18"/>
    <x v="2"/>
    <s v="FUR-FU-10002107"/>
    <s v="Furniture"/>
    <x v="3"/>
    <s v="Eldon Pizzaz Desk Accessories"/>
    <n v="8.92"/>
    <n v="4"/>
    <n v="3.9247999999999998"/>
    <x v="1"/>
    <x v="4"/>
  </r>
  <r>
    <x v="1563"/>
    <x v="23"/>
    <m/>
    <n v="41905"/>
    <x v="2"/>
    <s v="SB-20185"/>
    <s v="Sarah Brown"/>
    <x v="0"/>
    <s v="United States"/>
    <x v="9"/>
    <x v="8"/>
    <x v="3"/>
    <s v="FUR-BO-10004218"/>
    <s v="Furniture"/>
    <x v="0"/>
    <s v="Bush Heritage Pine Collection 5-Shelf Bookcase, Albany Pine Finish, *Special Order"/>
    <n v="493.43"/>
    <n v="5"/>
    <n v="-70.489999999999995"/>
    <x v="0"/>
    <x v="4"/>
  </r>
  <r>
    <x v="1564"/>
    <x v="451"/>
    <m/>
    <n v="43075"/>
    <x v="1"/>
    <s v="SH-19975"/>
    <s v="Sally Hughsby"/>
    <x v="1"/>
    <s v="United States"/>
    <x v="15"/>
    <x v="13"/>
    <x v="1"/>
    <s v="FUR-FU-10000023"/>
    <s v="Furniture"/>
    <x v="3"/>
    <s v="Eldon Wave Desk Accessories"/>
    <n v="70.680000000000007"/>
    <n v="12"/>
    <n v="31.0992"/>
    <x v="2"/>
    <x v="5"/>
  </r>
  <r>
    <x v="1565"/>
    <x v="451"/>
    <m/>
    <n v="43076"/>
    <x v="1"/>
    <s v="ML-17755"/>
    <s v="Max Ludwig"/>
    <x v="2"/>
    <s v="United States"/>
    <x v="354"/>
    <x v="2"/>
    <x v="1"/>
    <s v="FUR-FU-10003394"/>
    <s v="Furniture"/>
    <x v="3"/>
    <s v="Tenex &quot;The Solids&quot; Textured Chair Mats"/>
    <n v="629.64"/>
    <n v="9"/>
    <n v="107.03879999999999"/>
    <x v="6"/>
    <x v="5"/>
  </r>
  <r>
    <x v="1566"/>
    <x v="751"/>
    <m/>
    <n v="42631"/>
    <x v="2"/>
    <s v="CR-12625"/>
    <s v="Corey Roper"/>
    <x v="2"/>
    <s v="United States"/>
    <x v="29"/>
    <x v="24"/>
    <x v="0"/>
    <s v="FUR-CH-10001146"/>
    <s v="Furniture"/>
    <x v="1"/>
    <s v="Global Value Mid-Back Manager's Chair, Gray"/>
    <n v="121.78"/>
    <n v="2"/>
    <n v="30.445"/>
    <x v="3"/>
    <x v="4"/>
  </r>
  <r>
    <x v="1567"/>
    <x v="239"/>
    <m/>
    <n v="42344"/>
    <x v="1"/>
    <s v="LC-16960"/>
    <s v="Lindsay Castell"/>
    <x v="2"/>
    <s v="United States"/>
    <x v="53"/>
    <x v="2"/>
    <x v="1"/>
    <s v="FUR-CH-10003973"/>
    <s v="Furniture"/>
    <x v="1"/>
    <s v="GuestStacker Chair with Chrome Finish Legs"/>
    <n v="2676.672"/>
    <n v="9"/>
    <n v="267.66719999999998"/>
    <x v="2"/>
    <x v="5"/>
  </r>
  <r>
    <x v="1568"/>
    <x v="31"/>
    <m/>
    <n v="41863"/>
    <x v="1"/>
    <s v="GZ-14470"/>
    <s v="Gary Zandusky"/>
    <x v="0"/>
    <s v="United States"/>
    <x v="303"/>
    <x v="5"/>
    <x v="3"/>
    <s v="FUR-TA-10001307"/>
    <s v="Furniture"/>
    <x v="2"/>
    <s v="SAFCO PlanMaster Heigh-Adjustable Drafting Table Base, 43w x 30d x 30-37h, Black"/>
    <n v="489.23"/>
    <n v="2"/>
    <n v="41.933999999999997"/>
    <x v="1"/>
    <x v="10"/>
  </r>
  <r>
    <x v="1569"/>
    <x v="404"/>
    <m/>
    <n v="42604"/>
    <x v="1"/>
    <s v="BD-11320"/>
    <s v="Bill Donatelli"/>
    <x v="0"/>
    <s v="United States"/>
    <x v="2"/>
    <x v="2"/>
    <x v="1"/>
    <s v="FUR-FU-10004071"/>
    <s v="Furniture"/>
    <x v="3"/>
    <s v="Luxo Professional Magnifying Clamp-On Fluorescent Lamps"/>
    <n v="312.02999999999997"/>
    <n v="3"/>
    <n v="43.684199999999997"/>
    <x v="1"/>
    <x v="10"/>
  </r>
  <r>
    <x v="1570"/>
    <x v="841"/>
    <m/>
    <n v="42525"/>
    <x v="1"/>
    <s v="BP-11290"/>
    <s v="Beth Paige"/>
    <x v="0"/>
    <s v="United States"/>
    <x v="42"/>
    <x v="8"/>
    <x v="3"/>
    <s v="FUR-FU-10001379"/>
    <s v="Furniture"/>
    <x v="3"/>
    <s v="Executive Impressions 16-1/2&quot; Circular Wall Clock"/>
    <n v="32.064"/>
    <n v="3"/>
    <n v="-12.8256"/>
    <x v="4"/>
    <x v="7"/>
  </r>
  <r>
    <x v="1570"/>
    <x v="841"/>
    <m/>
    <n v="42525"/>
    <x v="1"/>
    <s v="BP-11290"/>
    <s v="Beth Paige"/>
    <x v="0"/>
    <s v="United States"/>
    <x v="42"/>
    <x v="8"/>
    <x v="3"/>
    <s v="FUR-CH-10000422"/>
    <s v="Furniture"/>
    <x v="1"/>
    <s v="Global Highback Leather Tilter in Burgundy"/>
    <n v="191.07900000000001"/>
    <n v="3"/>
    <n v="-38.215800000000002"/>
    <x v="4"/>
    <x v="7"/>
  </r>
  <r>
    <x v="1571"/>
    <x v="842"/>
    <m/>
    <n v="41737"/>
    <x v="1"/>
    <s v="AH-10690"/>
    <s v="Anna HÅ berlin"/>
    <x v="1"/>
    <s v="United States"/>
    <x v="304"/>
    <x v="25"/>
    <x v="0"/>
    <s v="FUR-FU-10003192"/>
    <s v="Furniture"/>
    <x v="3"/>
    <s v="Luxo Adjustable Task Clamp Lamp"/>
    <n v="177.68"/>
    <n v="2"/>
    <n v="46.196800000000003"/>
    <x v="6"/>
    <x v="6"/>
  </r>
  <r>
    <x v="1572"/>
    <x v="803"/>
    <m/>
    <n v="42651"/>
    <x v="1"/>
    <s v="AH-10690"/>
    <s v="Anna HÅ berlin"/>
    <x v="1"/>
    <s v="United States"/>
    <x v="355"/>
    <x v="1"/>
    <x v="0"/>
    <s v="FUR-FU-10002885"/>
    <s v="Furniture"/>
    <x v="3"/>
    <s v="Magna Visual Magnetic Picture Hangers"/>
    <n v="11.568"/>
    <n v="3"/>
    <n v="2.6027999999999998"/>
    <x v="4"/>
    <x v="1"/>
  </r>
  <r>
    <x v="1573"/>
    <x v="772"/>
    <m/>
    <n v="42403"/>
    <x v="1"/>
    <s v="DF-13135"/>
    <s v="David Flashing"/>
    <x v="0"/>
    <s v="United States"/>
    <x v="88"/>
    <x v="8"/>
    <x v="3"/>
    <s v="FUR-TA-10004256"/>
    <s v="Furniture"/>
    <x v="2"/>
    <s v="Bretford Ã’Just In TimeÃ“ Height-Adjustable Multi-Task Work Tables"/>
    <n v="626.1"/>
    <n v="3"/>
    <n v="-538.44600000000003"/>
    <x v="4"/>
    <x v="8"/>
  </r>
  <r>
    <x v="1574"/>
    <x v="315"/>
    <m/>
    <n v="42111"/>
    <x v="1"/>
    <s v="FP-14320"/>
    <s v="Frank Preis"/>
    <x v="0"/>
    <s v="United States"/>
    <x v="156"/>
    <x v="5"/>
    <x v="3"/>
    <s v="FUR-TA-10000688"/>
    <s v="Furniture"/>
    <x v="2"/>
    <s v="Chromcraft Bull-Nose Wood Round Conference Table Top, Wood Base"/>
    <n v="609.98"/>
    <n v="4"/>
    <n v="-113.282"/>
    <x v="4"/>
    <x v="6"/>
  </r>
  <r>
    <x v="1574"/>
    <x v="315"/>
    <m/>
    <n v="42111"/>
    <x v="1"/>
    <s v="FP-14320"/>
    <s v="Frank Preis"/>
    <x v="0"/>
    <s v="United States"/>
    <x v="156"/>
    <x v="5"/>
    <x v="3"/>
    <s v="FUR-TA-10002530"/>
    <s v="Furniture"/>
    <x v="2"/>
    <s v="Iceberg OfficeWorks 42&quot; Round Tables"/>
    <n v="211.37200000000001"/>
    <n v="2"/>
    <n v="-45.293999999999997"/>
    <x v="4"/>
    <x v="6"/>
  </r>
  <r>
    <x v="1575"/>
    <x v="186"/>
    <m/>
    <n v="43093"/>
    <x v="1"/>
    <s v="HE-14800"/>
    <s v="Harold Engle"/>
    <x v="1"/>
    <s v="United States"/>
    <x v="79"/>
    <x v="16"/>
    <x v="3"/>
    <s v="FUR-FU-10001057"/>
    <s v="Furniture"/>
    <x v="3"/>
    <s v="Tensor Track Tree Floor Lamp"/>
    <n v="99.95"/>
    <n v="5"/>
    <n v="22.988499999999998"/>
    <x v="6"/>
    <x v="5"/>
  </r>
  <r>
    <x v="1576"/>
    <x v="269"/>
    <m/>
    <n v="42448"/>
    <x v="1"/>
    <s v="SP-20545"/>
    <s v="Sibella Parks"/>
    <x v="1"/>
    <s v="United States"/>
    <x v="356"/>
    <x v="16"/>
    <x v="3"/>
    <s v="FUR-FU-10003724"/>
    <s v="Furniture"/>
    <x v="3"/>
    <s v="Westinghouse Clip-On Gooseneck Lamps"/>
    <n v="16.739999999999998"/>
    <n v="2"/>
    <n v="4.3524000000000003"/>
    <x v="2"/>
    <x v="9"/>
  </r>
  <r>
    <x v="1577"/>
    <x v="843"/>
    <m/>
    <n v="43024"/>
    <x v="1"/>
    <s v="SW-20245"/>
    <s v="Scot Wooten"/>
    <x v="0"/>
    <s v="United States"/>
    <x v="14"/>
    <x v="8"/>
    <x v="3"/>
    <s v="FUR-CH-10001545"/>
    <s v="Furniture"/>
    <x v="1"/>
    <s v="Hon Comfortask Task/Swivel Chairs"/>
    <n v="239.358"/>
    <n v="3"/>
    <n v="-47.871600000000001"/>
    <x v="6"/>
    <x v="1"/>
  </r>
  <r>
    <x v="1578"/>
    <x v="313"/>
    <m/>
    <n v="43097"/>
    <x v="1"/>
    <s v="JL-15130"/>
    <s v="Jack Lebron"/>
    <x v="0"/>
    <s v="United States"/>
    <x v="38"/>
    <x v="9"/>
    <x v="0"/>
    <s v="FUR-TA-10002903"/>
    <s v="Furniture"/>
    <x v="2"/>
    <s v="Bevis Round Bullnose 29&quot; High Table Top"/>
    <n v="934.95600000000002"/>
    <n v="6"/>
    <n v="-249.32159999999999"/>
    <x v="6"/>
    <x v="5"/>
  </r>
  <r>
    <x v="1579"/>
    <x v="98"/>
    <m/>
    <n v="41861"/>
    <x v="0"/>
    <s v="VG-21790"/>
    <s v="Vivek Gonzalez"/>
    <x v="0"/>
    <s v="United States"/>
    <x v="51"/>
    <x v="1"/>
    <x v="0"/>
    <s v="FUR-BO-10000468"/>
    <s v="Furniture"/>
    <x v="0"/>
    <s v="O'Sullivan 2-Shelf Heavy-Duty Bookcases"/>
    <n v="155.45599999999999"/>
    <n v="4"/>
    <n v="-7.7728000000000002"/>
    <x v="3"/>
    <x v="10"/>
  </r>
  <r>
    <x v="1580"/>
    <x v="19"/>
    <m/>
    <n v="43097"/>
    <x v="2"/>
    <s v="JH-15430"/>
    <s v="Jennifer Halladay"/>
    <x v="0"/>
    <s v="United States"/>
    <x v="173"/>
    <x v="1"/>
    <x v="0"/>
    <s v="FUR-FU-10004963"/>
    <s v="Furniture"/>
    <x v="3"/>
    <s v="Eldon 400 Class Desk Accessories, Black Carbon"/>
    <n v="21"/>
    <n v="3"/>
    <n v="5.7750000000000004"/>
    <x v="0"/>
    <x v="5"/>
  </r>
  <r>
    <x v="1581"/>
    <x v="608"/>
    <m/>
    <n v="43069"/>
    <x v="1"/>
    <s v="RO-19780"/>
    <s v="Rose O'Brian"/>
    <x v="0"/>
    <s v="United States"/>
    <x v="6"/>
    <x v="5"/>
    <x v="3"/>
    <s v="FUR-CH-10002126"/>
    <s v="Furniture"/>
    <x v="1"/>
    <s v="Hon Deluxe Fabric Upholstered Stacking Chairs"/>
    <n v="853.93"/>
    <n v="5"/>
    <n v="-24.398"/>
    <x v="2"/>
    <x v="0"/>
  </r>
  <r>
    <x v="1582"/>
    <x v="541"/>
    <m/>
    <n v="42681"/>
    <x v="2"/>
    <s v="LW-17125"/>
    <s v="Liz Willingham"/>
    <x v="0"/>
    <s v="United States"/>
    <x v="304"/>
    <x v="25"/>
    <x v="0"/>
    <s v="FUR-FU-10004665"/>
    <s v="Furniture"/>
    <x v="3"/>
    <s v="3M Polarizing Task Lamp with Clamp Arm, Light Gray"/>
    <n v="273.95999999999998"/>
    <n v="2"/>
    <n v="71.229600000000005"/>
    <x v="3"/>
    <x v="0"/>
  </r>
  <r>
    <x v="1582"/>
    <x v="541"/>
    <m/>
    <n v="42681"/>
    <x v="2"/>
    <s v="LW-17125"/>
    <s v="Liz Willingham"/>
    <x v="0"/>
    <s v="United States"/>
    <x v="304"/>
    <x v="25"/>
    <x v="0"/>
    <s v="FUR-FU-10003806"/>
    <s v="Furniture"/>
    <x v="3"/>
    <s v="Tenex Chairmat w/ Average Lip, 45&quot; x 53&quot;"/>
    <n v="756.8"/>
    <n v="5"/>
    <n v="75.680000000000007"/>
    <x v="3"/>
    <x v="0"/>
  </r>
  <r>
    <x v="1583"/>
    <x v="361"/>
    <m/>
    <n v="42681"/>
    <x v="1"/>
    <s v="JP-16135"/>
    <s v="Julie Prescott"/>
    <x v="2"/>
    <s v="United States"/>
    <x v="3"/>
    <x v="3"/>
    <x v="2"/>
    <s v="FUR-CH-10004886"/>
    <s v="Furniture"/>
    <x v="1"/>
    <s v="Bevis Steel Folding Chairs"/>
    <n v="470.15499999999997"/>
    <n v="7"/>
    <n v="-13.433"/>
    <x v="4"/>
    <x v="0"/>
  </r>
  <r>
    <x v="1584"/>
    <x v="781"/>
    <m/>
    <n v="42822"/>
    <x v="1"/>
    <s v="MV-17485"/>
    <s v="Mark Van Huff"/>
    <x v="0"/>
    <s v="United States"/>
    <x v="13"/>
    <x v="7"/>
    <x v="2"/>
    <s v="FUR-CH-10000665"/>
    <s v="Furniture"/>
    <x v="1"/>
    <s v="Global Airflow Leather Mesh Back Chair, Black"/>
    <n v="271.76400000000001"/>
    <n v="2"/>
    <n v="60.392000000000003"/>
    <x v="4"/>
    <x v="9"/>
  </r>
  <r>
    <x v="1585"/>
    <x v="844"/>
    <m/>
    <n v="42852"/>
    <x v="0"/>
    <s v="RL-19615"/>
    <s v="Rob Lucas"/>
    <x v="0"/>
    <s v="United States"/>
    <x v="2"/>
    <x v="2"/>
    <x v="1"/>
    <s v="FUR-BO-10004709"/>
    <s v="Furniture"/>
    <x v="0"/>
    <s v="Bush Westfield Collection Bookcases, Medium Cherry Finish"/>
    <n v="344.98099999999999"/>
    <n v="7"/>
    <n v="28.4102"/>
    <x v="3"/>
    <x v="6"/>
  </r>
  <r>
    <x v="1586"/>
    <x v="68"/>
    <m/>
    <n v="43065"/>
    <x v="2"/>
    <s v="JP-15460"/>
    <s v="Jennifer Patt"/>
    <x v="1"/>
    <s v="United States"/>
    <x v="144"/>
    <x v="5"/>
    <x v="3"/>
    <s v="FUR-TA-10003008"/>
    <s v="Furniture"/>
    <x v="2"/>
    <s v="Lesro Round Back Collection Coffee Table, End Table"/>
    <n v="127.785"/>
    <n v="1"/>
    <n v="-31.0335"/>
    <x v="0"/>
    <x v="0"/>
  </r>
  <r>
    <x v="1587"/>
    <x v="845"/>
    <m/>
    <n v="42441"/>
    <x v="1"/>
    <s v="LC-16870"/>
    <s v="Lena Cacioppo"/>
    <x v="0"/>
    <s v="United States"/>
    <x v="9"/>
    <x v="8"/>
    <x v="3"/>
    <s v="FUR-FU-10003773"/>
    <s v="Furniture"/>
    <x v="3"/>
    <s v="Eldon Cleatmat Plus Chair Mats for High Pile Carpets"/>
    <n v="159.04"/>
    <n v="5"/>
    <n v="-194.82400000000001"/>
    <x v="6"/>
    <x v="9"/>
  </r>
  <r>
    <x v="1587"/>
    <x v="845"/>
    <m/>
    <n v="42441"/>
    <x v="1"/>
    <s v="LC-16870"/>
    <s v="Lena Cacioppo"/>
    <x v="0"/>
    <s v="United States"/>
    <x v="9"/>
    <x v="8"/>
    <x v="3"/>
    <s v="FUR-TA-10000849"/>
    <s v="Furniture"/>
    <x v="2"/>
    <s v="Bevis Rectangular Conference Tables"/>
    <n v="145.97999999999999"/>
    <n v="2"/>
    <n v="-99.266400000000004"/>
    <x v="6"/>
    <x v="9"/>
  </r>
  <r>
    <x v="1588"/>
    <x v="62"/>
    <m/>
    <n v="42345"/>
    <x v="1"/>
    <s v="JG-15115"/>
    <s v="Jack Garza"/>
    <x v="0"/>
    <s v="United States"/>
    <x v="51"/>
    <x v="30"/>
    <x v="0"/>
    <s v="FUR-FU-10000222"/>
    <s v="Furniture"/>
    <x v="3"/>
    <s v="Seth Thomas 16&quot; Steel Case Clock"/>
    <n v="77.951999999999998"/>
    <n v="3"/>
    <n v="12.667199999999999"/>
    <x v="4"/>
    <x v="5"/>
  </r>
  <r>
    <x v="1589"/>
    <x v="37"/>
    <m/>
    <n v="42368"/>
    <x v="1"/>
    <s v="HM-14860"/>
    <s v="Harry Marie"/>
    <x v="1"/>
    <s v="United States"/>
    <x v="76"/>
    <x v="23"/>
    <x v="3"/>
    <s v="FUR-FU-10003026"/>
    <s v="Furniture"/>
    <x v="3"/>
    <s v="Eldon Regeneration Recycled Desk Accessories, Black"/>
    <n v="9.68"/>
    <n v="2"/>
    <n v="3.7751999999999999"/>
    <x v="6"/>
    <x v="5"/>
  </r>
  <r>
    <x v="1590"/>
    <x v="259"/>
    <m/>
    <n v="43029"/>
    <x v="1"/>
    <s v="VP-21760"/>
    <s v="Victoria Pisteka"/>
    <x v="1"/>
    <s v="United States"/>
    <x v="11"/>
    <x v="9"/>
    <x v="0"/>
    <s v="FUR-TA-10001950"/>
    <s v="Furniture"/>
    <x v="2"/>
    <s v="Balt Solid Wood Round Tables"/>
    <n v="1875.258"/>
    <n v="7"/>
    <n v="-968.88329999999996"/>
    <x v="2"/>
    <x v="1"/>
  </r>
  <r>
    <x v="1591"/>
    <x v="846"/>
    <m/>
    <n v="42872"/>
    <x v="1"/>
    <s v="MH-18115"/>
    <s v="Mick Hernandez"/>
    <x v="2"/>
    <s v="United States"/>
    <x v="3"/>
    <x v="3"/>
    <x v="2"/>
    <s v="FUR-CH-10001482"/>
    <s v="Furniture"/>
    <x v="1"/>
    <s v="Office Star - Mesh Screen back chair with Vinyl seat"/>
    <n v="458.43"/>
    <n v="5"/>
    <n v="-124.431"/>
    <x v="4"/>
    <x v="7"/>
  </r>
  <r>
    <x v="1592"/>
    <x v="414"/>
    <m/>
    <n v="43057"/>
    <x v="3"/>
    <s v="NB-18655"/>
    <s v="Nona Balk"/>
    <x v="1"/>
    <s v="United States"/>
    <x v="79"/>
    <x v="16"/>
    <x v="3"/>
    <s v="FUR-FU-10000206"/>
    <s v="Furniture"/>
    <x v="3"/>
    <s v="GE General Purpose, Extra Long Life, Showcase &amp; Floodlight Incandescent Bulbs"/>
    <n v="5.82"/>
    <n v="2"/>
    <n v="2.7353999999999998"/>
    <x v="7"/>
    <x v="0"/>
  </r>
  <r>
    <x v="1593"/>
    <x v="629"/>
    <m/>
    <n v="42422"/>
    <x v="2"/>
    <s v="EA-14035"/>
    <s v="Erin Ashbrook"/>
    <x v="1"/>
    <s v="United States"/>
    <x v="13"/>
    <x v="7"/>
    <x v="2"/>
    <s v="FUR-FU-10001861"/>
    <s v="Furniture"/>
    <x v="3"/>
    <s v="Floodlight Indoor Halogen Bulbs, 1 Bulb per Pack, 60 Watts"/>
    <n v="135.80000000000001"/>
    <n v="7"/>
    <n v="66.542000000000002"/>
    <x v="5"/>
    <x v="11"/>
  </r>
  <r>
    <x v="1594"/>
    <x v="439"/>
    <m/>
    <n v="41991"/>
    <x v="0"/>
    <s v="LE-16810"/>
    <s v="Laurel Elliston"/>
    <x v="0"/>
    <s v="United States"/>
    <x v="76"/>
    <x v="25"/>
    <x v="0"/>
    <s v="FUR-FU-10002268"/>
    <s v="Furniture"/>
    <x v="3"/>
    <s v="Ultra Door Push Plate"/>
    <n v="29.46"/>
    <n v="6"/>
    <n v="9.7218"/>
    <x v="3"/>
    <x v="5"/>
  </r>
  <r>
    <x v="1595"/>
    <x v="847"/>
    <m/>
    <n v="42605"/>
    <x v="2"/>
    <s v="TC-21475"/>
    <s v="Tony Chapman"/>
    <x v="2"/>
    <s v="United States"/>
    <x v="200"/>
    <x v="12"/>
    <x v="1"/>
    <s v="FUR-FU-10001979"/>
    <s v="Furniture"/>
    <x v="3"/>
    <s v="Dana Halogen Swing-Arm Architect Lamp"/>
    <n v="98.328000000000003"/>
    <n v="3"/>
    <n v="9.8328000000000007"/>
    <x v="5"/>
    <x v="10"/>
  </r>
  <r>
    <x v="1596"/>
    <x v="330"/>
    <m/>
    <n v="42187"/>
    <x v="2"/>
    <s v="SG-20470"/>
    <s v="Sheri Gordon"/>
    <x v="0"/>
    <s v="United States"/>
    <x v="13"/>
    <x v="7"/>
    <x v="2"/>
    <s v="FUR-CH-10001482"/>
    <s v="Furniture"/>
    <x v="1"/>
    <s v="Office Star - Mesh Screen back chair with Vinyl seat"/>
    <n v="117.88200000000001"/>
    <n v="1"/>
    <n v="1.3098000000000001"/>
    <x v="0"/>
    <x v="2"/>
  </r>
  <r>
    <x v="1597"/>
    <x v="517"/>
    <m/>
    <n v="42553"/>
    <x v="1"/>
    <s v="VP-21760"/>
    <s v="Victoria Pisteka"/>
    <x v="1"/>
    <s v="United States"/>
    <x v="13"/>
    <x v="7"/>
    <x v="2"/>
    <s v="FUR-FU-10003976"/>
    <s v="Furniture"/>
    <x v="3"/>
    <s v="DAX Executive Solid Wood Document Frame, Desktop or Hang, Mahogany, 5 x 7"/>
    <n v="37.74"/>
    <n v="3"/>
    <n v="12.8316"/>
    <x v="6"/>
    <x v="2"/>
  </r>
  <r>
    <x v="1598"/>
    <x v="334"/>
    <m/>
    <n v="42635"/>
    <x v="1"/>
    <s v="PO-18865"/>
    <s v="Patrick O'Donnell"/>
    <x v="0"/>
    <s v="United States"/>
    <x v="357"/>
    <x v="20"/>
    <x v="2"/>
    <s v="FUR-FU-10002597"/>
    <s v="Furniture"/>
    <x v="3"/>
    <s v="C-Line Magnetic Cubicle Keepers, Clear Polypropylene"/>
    <n v="14.82"/>
    <n v="3"/>
    <n v="6.2244000000000002"/>
    <x v="2"/>
    <x v="4"/>
  </r>
  <r>
    <x v="1598"/>
    <x v="334"/>
    <m/>
    <n v="42635"/>
    <x v="1"/>
    <s v="PO-18865"/>
    <s v="Patrick O'Donnell"/>
    <x v="0"/>
    <s v="United States"/>
    <x v="357"/>
    <x v="20"/>
    <x v="2"/>
    <s v="FUR-FU-10004864"/>
    <s v="Furniture"/>
    <x v="3"/>
    <s v="Howard Miller 14-1/2&quot; Diameter Chrome Round Wall Clock"/>
    <n v="191.82"/>
    <n v="3"/>
    <n v="61.382399999999997"/>
    <x v="2"/>
    <x v="4"/>
  </r>
  <r>
    <x v="1599"/>
    <x v="449"/>
    <m/>
    <n v="42979"/>
    <x v="3"/>
    <s v="RW-19540"/>
    <s v="Rick Wilson"/>
    <x v="1"/>
    <s v="United States"/>
    <x v="15"/>
    <x v="13"/>
    <x v="1"/>
    <s v="FUR-TA-10002607"/>
    <s v="Furniture"/>
    <x v="2"/>
    <s v="KI Conference Tables"/>
    <n v="283.56"/>
    <n v="4"/>
    <n v="45.369599999999998"/>
    <x v="7"/>
    <x v="4"/>
  </r>
  <r>
    <x v="1600"/>
    <x v="848"/>
    <m/>
    <n v="42912"/>
    <x v="1"/>
    <s v="RB-19465"/>
    <s v="Rick Bensley"/>
    <x v="2"/>
    <s v="United States"/>
    <x v="25"/>
    <x v="17"/>
    <x v="3"/>
    <s v="FUR-CH-10000454"/>
    <s v="Furniture"/>
    <x v="1"/>
    <s v="Hon Deluxe Fabric Upholstered Stacking Chairs, Rounded Back"/>
    <n v="487.96"/>
    <n v="2"/>
    <n v="146.38800000000001"/>
    <x v="4"/>
    <x v="2"/>
  </r>
  <r>
    <x v="1601"/>
    <x v="539"/>
    <m/>
    <n v="41906"/>
    <x v="1"/>
    <s v="ND-18460"/>
    <s v="Neil Ducich"/>
    <x v="1"/>
    <s v="United States"/>
    <x v="262"/>
    <x v="22"/>
    <x v="1"/>
    <s v="FUR-TA-10004607"/>
    <s v="Furniture"/>
    <x v="2"/>
    <s v="Hon 2111 Invitation Series Straight Table"/>
    <n v="73.915000000000006"/>
    <n v="1"/>
    <n v="-45.827300000000001"/>
    <x v="2"/>
    <x v="4"/>
  </r>
  <r>
    <x v="1602"/>
    <x v="849"/>
    <m/>
    <n v="41915"/>
    <x v="1"/>
    <s v="XP-21865"/>
    <s v="Xylona Preis"/>
    <x v="0"/>
    <s v="United States"/>
    <x v="358"/>
    <x v="1"/>
    <x v="0"/>
    <s v="FUR-FU-10000277"/>
    <s v="Furniture"/>
    <x v="3"/>
    <s v="Deflect-o DuraMat Antistatic Studded Beveled Mat for Medium Pile Carpeting"/>
    <n v="337.08800000000002"/>
    <n v="4"/>
    <n v="16.854399999999998"/>
    <x v="2"/>
    <x v="4"/>
  </r>
  <r>
    <x v="1603"/>
    <x v="46"/>
    <m/>
    <n v="42312"/>
    <x v="2"/>
    <s v="ED-13885"/>
    <s v="Emily Ducich"/>
    <x v="2"/>
    <s v="United States"/>
    <x v="13"/>
    <x v="7"/>
    <x v="2"/>
    <s v="FUR-CH-10002073"/>
    <s v="Furniture"/>
    <x v="1"/>
    <s v="Hon Olson Stacker Chairs"/>
    <n v="2621.3220000000001"/>
    <n v="11"/>
    <n v="553.39020000000005"/>
    <x v="3"/>
    <x v="0"/>
  </r>
  <r>
    <x v="1604"/>
    <x v="798"/>
    <m/>
    <n v="42301"/>
    <x v="1"/>
    <s v="SV-20785"/>
    <s v="Stewart Visinsky"/>
    <x v="0"/>
    <s v="United States"/>
    <x v="2"/>
    <x v="2"/>
    <x v="1"/>
    <s v="FUR-FU-10003424"/>
    <s v="Furniture"/>
    <x v="3"/>
    <s v="Nu-Dell Oak Frame"/>
    <n v="74.760000000000005"/>
    <n v="7"/>
    <n v="23.923200000000001"/>
    <x v="4"/>
    <x v="1"/>
  </r>
  <r>
    <x v="1604"/>
    <x v="798"/>
    <m/>
    <n v="42301"/>
    <x v="1"/>
    <s v="SV-20785"/>
    <s v="Stewart Visinsky"/>
    <x v="0"/>
    <s v="United States"/>
    <x v="2"/>
    <x v="2"/>
    <x v="1"/>
    <s v="FUR-TA-10001086"/>
    <s v="Furniture"/>
    <x v="2"/>
    <s v="SAFCO PlanMaster Boards, 60w x 37-1/2d, White Melamine"/>
    <n v="364.77600000000001"/>
    <n v="3"/>
    <n v="27.3582"/>
    <x v="4"/>
    <x v="1"/>
  </r>
  <r>
    <x v="1605"/>
    <x v="184"/>
    <m/>
    <n v="42539"/>
    <x v="1"/>
    <s v="AR-10825"/>
    <s v="Anthony Rawles"/>
    <x v="1"/>
    <s v="United States"/>
    <x v="15"/>
    <x v="13"/>
    <x v="1"/>
    <s v="FUR-TA-10004619"/>
    <s v="Furniture"/>
    <x v="2"/>
    <s v="Hon Non-Folding Utility Tables"/>
    <n v="1115.17"/>
    <n v="7"/>
    <n v="334.55099999999999"/>
    <x v="4"/>
    <x v="2"/>
  </r>
  <r>
    <x v="1606"/>
    <x v="227"/>
    <m/>
    <n v="42618"/>
    <x v="0"/>
    <s v="BM-11140"/>
    <s v="Becky Martin"/>
    <x v="0"/>
    <s v="United States"/>
    <x v="67"/>
    <x v="13"/>
    <x v="1"/>
    <s v="FUR-CH-10003061"/>
    <s v="Furniture"/>
    <x v="1"/>
    <s v="Global Leather Task Chair, Black"/>
    <n v="215.976"/>
    <n v="3"/>
    <n v="-2.6997"/>
    <x v="0"/>
    <x v="4"/>
  </r>
  <r>
    <x v="1607"/>
    <x v="423"/>
    <m/>
    <n v="43074"/>
    <x v="2"/>
    <s v="KE-16420"/>
    <s v="Katrina Edelman"/>
    <x v="1"/>
    <s v="United States"/>
    <x v="3"/>
    <x v="3"/>
    <x v="2"/>
    <s v="FUR-FU-10001918"/>
    <s v="Furniture"/>
    <x v="3"/>
    <s v="C-Line Cubicle Keepers Polyproplyene Holder With Velcro Backings"/>
    <n v="11.352"/>
    <n v="3"/>
    <n v="2.6960999999999999"/>
    <x v="5"/>
    <x v="5"/>
  </r>
  <r>
    <x v="1608"/>
    <x v="285"/>
    <m/>
    <n v="42423"/>
    <x v="1"/>
    <s v="GW-14605"/>
    <s v="Giulietta Weimer"/>
    <x v="0"/>
    <s v="United States"/>
    <x v="0"/>
    <x v="0"/>
    <x v="0"/>
    <s v="FUR-FU-10003773"/>
    <s v="Furniture"/>
    <x v="3"/>
    <s v="Eldon Cleatmat Plus Chair Mats for High Pile Carpets"/>
    <n v="318.08"/>
    <n v="4"/>
    <n v="34.988799999999998"/>
    <x v="1"/>
    <x v="11"/>
  </r>
  <r>
    <x v="1609"/>
    <x v="73"/>
    <m/>
    <n v="42643"/>
    <x v="1"/>
    <s v="LR-17035"/>
    <s v="Lisa Ryan"/>
    <x v="1"/>
    <s v="United States"/>
    <x v="6"/>
    <x v="5"/>
    <x v="3"/>
    <s v="FUR-CH-10000513"/>
    <s v="Furniture"/>
    <x v="1"/>
    <s v="High-Back Leather Manager's Chair"/>
    <n v="454.96499999999997"/>
    <n v="5"/>
    <n v="-136.48949999999999"/>
    <x v="4"/>
    <x v="4"/>
  </r>
  <r>
    <x v="1610"/>
    <x v="741"/>
    <m/>
    <n v="42188"/>
    <x v="0"/>
    <s v="DW-13585"/>
    <s v="Dorothy Wardle"/>
    <x v="1"/>
    <s v="United States"/>
    <x v="8"/>
    <x v="15"/>
    <x v="2"/>
    <s v="FUR-BO-10001918"/>
    <s v="Furniture"/>
    <x v="0"/>
    <s v="Sauder Forest Hills Library with Doors, Woodland Oak Finish"/>
    <n v="482.94"/>
    <n v="6"/>
    <n v="-376.69319999999999"/>
    <x v="2"/>
    <x v="2"/>
  </r>
  <r>
    <x v="1611"/>
    <x v="86"/>
    <m/>
    <n v="42320"/>
    <x v="1"/>
    <s v="AB-10105"/>
    <s v="Adrian Barton"/>
    <x v="0"/>
    <s v="United States"/>
    <x v="6"/>
    <x v="5"/>
    <x v="3"/>
    <s v="FUR-FU-10000193"/>
    <s v="Furniture"/>
    <x v="3"/>
    <s v="Tenex Chairmats For Use with Hard Floors"/>
    <n v="64.959999999999994"/>
    <n v="5"/>
    <n v="-84.447999999999993"/>
    <x v="2"/>
    <x v="0"/>
  </r>
  <r>
    <x v="1612"/>
    <x v="850"/>
    <m/>
    <n v="42759"/>
    <x v="0"/>
    <s v="NS-18505"/>
    <s v="Neola Schneider"/>
    <x v="0"/>
    <s v="United States"/>
    <x v="3"/>
    <x v="3"/>
    <x v="2"/>
    <s v="FUR-FU-10002759"/>
    <s v="Furniture"/>
    <x v="3"/>
    <s v="12-1/2 Diameter Round Wall Clock"/>
    <n v="31.968"/>
    <n v="2"/>
    <n v="6.3936000000000002"/>
    <x v="2"/>
    <x v="8"/>
  </r>
  <r>
    <x v="1612"/>
    <x v="850"/>
    <m/>
    <n v="42759"/>
    <x v="0"/>
    <s v="NS-18505"/>
    <s v="Neola Schneider"/>
    <x v="0"/>
    <s v="United States"/>
    <x v="3"/>
    <x v="3"/>
    <x v="2"/>
    <s v="FUR-CH-10000309"/>
    <s v="Furniture"/>
    <x v="1"/>
    <s v="Global Comet Stacking Arm Chair"/>
    <n v="887.27099999999996"/>
    <n v="3"/>
    <n v="-63.3765"/>
    <x v="2"/>
    <x v="8"/>
  </r>
  <r>
    <x v="1613"/>
    <x v="851"/>
    <m/>
    <n v="42602"/>
    <x v="0"/>
    <s v="MA-17560"/>
    <s v="Matt Abelman"/>
    <x v="2"/>
    <s v="United States"/>
    <x v="6"/>
    <x v="5"/>
    <x v="3"/>
    <s v="FUR-FU-10001940"/>
    <s v="Furniture"/>
    <x v="3"/>
    <s v="Staple-based wall hangings"/>
    <n v="9.5519999999999996"/>
    <n v="3"/>
    <n v="-3.8208000000000002"/>
    <x v="3"/>
    <x v="10"/>
  </r>
  <r>
    <x v="1613"/>
    <x v="851"/>
    <m/>
    <n v="42602"/>
    <x v="0"/>
    <s v="MA-17560"/>
    <s v="Matt Abelman"/>
    <x v="2"/>
    <s v="United States"/>
    <x v="6"/>
    <x v="5"/>
    <x v="3"/>
    <s v="FUR-FU-10000320"/>
    <s v="Furniture"/>
    <x v="3"/>
    <s v="OIC Stacking Trays"/>
    <n v="5.3440000000000003"/>
    <n v="4"/>
    <n v="-2.1375999999999999"/>
    <x v="3"/>
    <x v="10"/>
  </r>
  <r>
    <x v="1614"/>
    <x v="852"/>
    <m/>
    <n v="42455"/>
    <x v="0"/>
    <s v="DC-12850"/>
    <s v="Dan Campbell"/>
    <x v="0"/>
    <s v="United States"/>
    <x v="59"/>
    <x v="15"/>
    <x v="2"/>
    <s v="FUR-BO-10004357"/>
    <s v="Furniture"/>
    <x v="0"/>
    <s v="O'Sullivan Living Dimensions 3-Shelf Bookcases"/>
    <n v="301.47000000000003"/>
    <n v="3"/>
    <n v="-241.17599999999999"/>
    <x v="3"/>
    <x v="9"/>
  </r>
  <r>
    <x v="1615"/>
    <x v="15"/>
    <m/>
    <n v="42887"/>
    <x v="1"/>
    <s v="MD-17860"/>
    <s v="Michael Dominguez"/>
    <x v="1"/>
    <s v="United States"/>
    <x v="359"/>
    <x v="32"/>
    <x v="2"/>
    <s v="FUR-FU-10001473"/>
    <s v="Furniture"/>
    <x v="3"/>
    <s v="DAX Wood Document Frame"/>
    <n v="27.46"/>
    <n v="2"/>
    <n v="9.8856000000000002"/>
    <x v="4"/>
    <x v="7"/>
  </r>
  <r>
    <x v="1616"/>
    <x v="853"/>
    <m/>
    <n v="42585"/>
    <x v="0"/>
    <s v="KM-16660"/>
    <s v="Khloe Miller"/>
    <x v="0"/>
    <s v="United States"/>
    <x v="3"/>
    <x v="3"/>
    <x v="2"/>
    <s v="FUR-FU-10004864"/>
    <s v="Furniture"/>
    <x v="3"/>
    <s v="Eldon 500 Class Desk Accessories"/>
    <n v="19.312000000000001"/>
    <n v="2"/>
    <n v="3.1381999999999999"/>
    <x v="3"/>
    <x v="10"/>
  </r>
  <r>
    <x v="1617"/>
    <x v="6"/>
    <m/>
    <n v="42716"/>
    <x v="1"/>
    <s v="AG-10900"/>
    <s v="Arthur Gainer"/>
    <x v="0"/>
    <s v="United States"/>
    <x v="360"/>
    <x v="16"/>
    <x v="3"/>
    <s v="FUR-BO-10003450"/>
    <s v="Furniture"/>
    <x v="0"/>
    <s v="Bush Westfield Collection Bookcases, Dark Cherry Finish"/>
    <n v="405.86"/>
    <n v="7"/>
    <n v="32.468800000000002"/>
    <x v="4"/>
    <x v="5"/>
  </r>
  <r>
    <x v="1617"/>
    <x v="6"/>
    <m/>
    <n v="42716"/>
    <x v="1"/>
    <s v="AG-10900"/>
    <s v="Arthur Gainer"/>
    <x v="0"/>
    <s v="United States"/>
    <x v="360"/>
    <x v="16"/>
    <x v="3"/>
    <s v="FUR-CH-10002335"/>
    <s v="Furniture"/>
    <x v="1"/>
    <s v="Hon GuestStacker Chair"/>
    <n v="680.01"/>
    <n v="3"/>
    <n v="176.80260000000001"/>
    <x v="4"/>
    <x v="5"/>
  </r>
  <r>
    <x v="1618"/>
    <x v="193"/>
    <m/>
    <n v="42705"/>
    <x v="3"/>
    <s v="LB-16795"/>
    <s v="Laurel Beltran"/>
    <x v="2"/>
    <s v="United States"/>
    <x v="299"/>
    <x v="2"/>
    <x v="1"/>
    <s v="FUR-FU-10000448"/>
    <s v="Furniture"/>
    <x v="3"/>
    <s v="Tenex Chairmats For Use With Carpeted Floors"/>
    <n v="31.96"/>
    <n v="2"/>
    <n v="1.5980000000000001"/>
    <x v="7"/>
    <x v="5"/>
  </r>
  <r>
    <x v="1619"/>
    <x v="854"/>
    <m/>
    <n v="42958"/>
    <x v="1"/>
    <s v="JL-15505"/>
    <s v="Jeremy Lonsdale"/>
    <x v="0"/>
    <s v="United States"/>
    <x v="327"/>
    <x v="2"/>
    <x v="1"/>
    <s v="FUR-FU-10004848"/>
    <s v="Furniture"/>
    <x v="3"/>
    <s v="Howard Miller 13-3/4&quot; Diameter Brushed Chrome Round Wall Clock"/>
    <n v="51.75"/>
    <n v="1"/>
    <n v="15.525"/>
    <x v="4"/>
    <x v="10"/>
  </r>
  <r>
    <x v="1619"/>
    <x v="854"/>
    <m/>
    <n v="42958"/>
    <x v="1"/>
    <s v="JL-15505"/>
    <s v="Jeremy Lonsdale"/>
    <x v="0"/>
    <s v="United States"/>
    <x v="327"/>
    <x v="2"/>
    <x v="1"/>
    <s v="FUR-CH-10002317"/>
    <s v="Furniture"/>
    <x v="1"/>
    <s v="Global Enterprise Series Seating Low-Back Swivel/Tilt Chairs"/>
    <n v="207.184"/>
    <n v="1"/>
    <n v="25.898"/>
    <x v="4"/>
    <x v="10"/>
  </r>
  <r>
    <x v="1620"/>
    <x v="769"/>
    <m/>
    <n v="41774"/>
    <x v="1"/>
    <s v="GM-14680"/>
    <s v="Greg Matthias"/>
    <x v="0"/>
    <s v="United States"/>
    <x v="124"/>
    <x v="2"/>
    <x v="1"/>
    <s v="FUR-CH-10002320"/>
    <s v="Furniture"/>
    <x v="1"/>
    <s v="Hon Pagoda Stacking Chairs"/>
    <n v="256.78399999999999"/>
    <n v="1"/>
    <n v="32.097999999999999"/>
    <x v="2"/>
    <x v="7"/>
  </r>
  <r>
    <x v="1621"/>
    <x v="816"/>
    <m/>
    <n v="42663"/>
    <x v="2"/>
    <s v="NR-18550"/>
    <s v="Nick Radford"/>
    <x v="0"/>
    <s v="United States"/>
    <x v="361"/>
    <x v="18"/>
    <x v="2"/>
    <s v="FUR-BO-10001337"/>
    <s v="Furniture"/>
    <x v="0"/>
    <s v="O'Sullivan Living Dimensions 2-Shelf Bookcases"/>
    <n v="120.98"/>
    <n v="1"/>
    <n v="12.098000000000001"/>
    <x v="0"/>
    <x v="1"/>
  </r>
  <r>
    <x v="1622"/>
    <x v="489"/>
    <m/>
    <n v="41988"/>
    <x v="1"/>
    <s v="DJ-13420"/>
    <s v="Denny Joy"/>
    <x v="1"/>
    <s v="United States"/>
    <x v="28"/>
    <x v="2"/>
    <x v="1"/>
    <s v="FUR-FU-10000397"/>
    <s v="Furniture"/>
    <x v="3"/>
    <s v="Luxo Economy Swing Arm Lamp"/>
    <n v="39.880000000000003"/>
    <n v="2"/>
    <n v="11.166399999999999"/>
    <x v="1"/>
    <x v="5"/>
  </r>
  <r>
    <x v="1622"/>
    <x v="489"/>
    <m/>
    <n v="41988"/>
    <x v="1"/>
    <s v="DJ-13420"/>
    <s v="Denny Joy"/>
    <x v="1"/>
    <s v="United States"/>
    <x v="28"/>
    <x v="2"/>
    <x v="1"/>
    <s v="FUR-FU-10000758"/>
    <s v="Furniture"/>
    <x v="3"/>
    <s v="DAX Natural Wood-Tone Poster Frame"/>
    <n v="79.44"/>
    <n v="3"/>
    <n v="28.598400000000002"/>
    <x v="1"/>
    <x v="5"/>
  </r>
  <r>
    <x v="1623"/>
    <x v="793"/>
    <m/>
    <n v="42236"/>
    <x v="1"/>
    <s v="JW-15955"/>
    <s v="Joni Wasserman"/>
    <x v="0"/>
    <s v="United States"/>
    <x v="3"/>
    <x v="3"/>
    <x v="2"/>
    <s v="FUR-BO-10000780"/>
    <s v="Furniture"/>
    <x v="0"/>
    <s v="O'Sullivan Plantations 2-Door Library in Landvery Oak"/>
    <n v="301.47000000000003"/>
    <n v="3"/>
    <n v="-204.99959999999999"/>
    <x v="4"/>
    <x v="10"/>
  </r>
  <r>
    <x v="1624"/>
    <x v="540"/>
    <m/>
    <n v="43022"/>
    <x v="2"/>
    <s v="MH-18025"/>
    <s v="Michelle Huthwaite"/>
    <x v="0"/>
    <s v="United States"/>
    <x v="120"/>
    <x v="35"/>
    <x v="0"/>
    <s v="FUR-TA-10003473"/>
    <s v="Furniture"/>
    <x v="2"/>
    <s v="Bretford Rectangular Conference Table Tops"/>
    <n v="1504.52"/>
    <n v="4"/>
    <n v="346.03960000000001"/>
    <x v="5"/>
    <x v="1"/>
  </r>
  <r>
    <x v="1625"/>
    <x v="227"/>
    <m/>
    <n v="42619"/>
    <x v="1"/>
    <s v="LR-16915"/>
    <s v="Lena Radford"/>
    <x v="0"/>
    <s v="United States"/>
    <x v="2"/>
    <x v="2"/>
    <x v="1"/>
    <s v="FUR-FU-10001889"/>
    <s v="Furniture"/>
    <x v="3"/>
    <s v="Ultra Door Pull Handle"/>
    <n v="94.68"/>
    <n v="9"/>
    <n v="31.244399999999999"/>
    <x v="4"/>
    <x v="4"/>
  </r>
  <r>
    <x v="1625"/>
    <x v="227"/>
    <m/>
    <n v="42619"/>
    <x v="1"/>
    <s v="LR-16915"/>
    <s v="Lena Radford"/>
    <x v="0"/>
    <s v="United States"/>
    <x v="2"/>
    <x v="2"/>
    <x v="1"/>
    <s v="FUR-TA-10001539"/>
    <s v="Furniture"/>
    <x v="2"/>
    <s v="Chromcraft Rectangular Conference Tables"/>
    <n v="568.72799999999995"/>
    <n v="3"/>
    <n v="28.436399999999999"/>
    <x v="4"/>
    <x v="4"/>
  </r>
  <r>
    <x v="1626"/>
    <x v="441"/>
    <m/>
    <n v="42780"/>
    <x v="2"/>
    <s v="MM-17260"/>
    <s v="Magdelene Morse"/>
    <x v="0"/>
    <s v="United States"/>
    <x v="29"/>
    <x v="15"/>
    <x v="2"/>
    <s v="FUR-FU-10003601"/>
    <s v="Furniture"/>
    <x v="3"/>
    <s v="Deflect-o RollaMat Studded, Beveled Mat for Medium Pile Carpeting"/>
    <n v="147.56800000000001"/>
    <n v="2"/>
    <n v="-3.6892"/>
    <x v="0"/>
    <x v="11"/>
  </r>
  <r>
    <x v="1627"/>
    <x v="855"/>
    <m/>
    <n v="41834"/>
    <x v="1"/>
    <s v="DS-13030"/>
    <s v="Darrin Sayre"/>
    <x v="2"/>
    <s v="United States"/>
    <x v="28"/>
    <x v="2"/>
    <x v="1"/>
    <s v="FUR-BO-10004218"/>
    <s v="Furniture"/>
    <x v="0"/>
    <s v="Bush Heritage Pine Collection 5-Shelf Bookcase, Albany Pine Finish, *Special Order"/>
    <n v="119.833"/>
    <n v="1"/>
    <n v="7.0490000000000004"/>
    <x v="2"/>
    <x v="3"/>
  </r>
  <r>
    <x v="1628"/>
    <x v="651"/>
    <m/>
    <n v="41685"/>
    <x v="0"/>
    <s v="GA-14725"/>
    <s v="Guy Armstrong"/>
    <x v="0"/>
    <s v="United States"/>
    <x v="11"/>
    <x v="23"/>
    <x v="3"/>
    <s v="FUR-CH-10001146"/>
    <s v="Furniture"/>
    <x v="1"/>
    <s v="Global Value Mid-Back Manager's Chair, Gray"/>
    <n v="60.89"/>
    <n v="1"/>
    <n v="15.2225"/>
    <x v="4"/>
    <x v="11"/>
  </r>
  <r>
    <x v="1628"/>
    <x v="651"/>
    <m/>
    <n v="41685"/>
    <x v="0"/>
    <s v="GA-14725"/>
    <s v="Guy Armstrong"/>
    <x v="0"/>
    <s v="United States"/>
    <x v="11"/>
    <x v="23"/>
    <x v="3"/>
    <s v="FUR-FU-10002298"/>
    <s v="Furniture"/>
    <x v="3"/>
    <s v="Rubbermaid ClusterMat Chairmats, Mat Size- 66&quot; x 60&quot;, Lip 20&quot; x 11&quot; -90 Degree Angle"/>
    <n v="332.94"/>
    <n v="3"/>
    <n v="53.270400000000002"/>
    <x v="4"/>
    <x v="11"/>
  </r>
  <r>
    <x v="1629"/>
    <x v="113"/>
    <m/>
    <n v="42980"/>
    <x v="3"/>
    <s v="SU-20665"/>
    <s v="Stephanie Ulpright"/>
    <x v="2"/>
    <s v="United States"/>
    <x v="15"/>
    <x v="13"/>
    <x v="1"/>
    <s v="FUR-CH-10003061"/>
    <s v="Furniture"/>
    <x v="1"/>
    <s v="Global Leather Task Chair, Black"/>
    <n v="215.976"/>
    <n v="3"/>
    <n v="-2.6997"/>
    <x v="7"/>
    <x v="4"/>
  </r>
  <r>
    <x v="1630"/>
    <x v="856"/>
    <m/>
    <n v="42290"/>
    <x v="1"/>
    <s v="FM-14380"/>
    <s v="Fred McMath"/>
    <x v="0"/>
    <s v="United States"/>
    <x v="25"/>
    <x v="17"/>
    <x v="3"/>
    <s v="FUR-CH-10000513"/>
    <s v="Furniture"/>
    <x v="1"/>
    <s v="High-Back Leather Manager's Chair"/>
    <n v="389.97"/>
    <n v="3"/>
    <n v="35.097299999999997"/>
    <x v="4"/>
    <x v="1"/>
  </r>
  <r>
    <x v="1631"/>
    <x v="857"/>
    <m/>
    <n v="41679"/>
    <x v="2"/>
    <s v="NM-18445"/>
    <s v="Nathan Mautz"/>
    <x v="2"/>
    <s v="United States"/>
    <x v="111"/>
    <x v="34"/>
    <x v="1"/>
    <s v="FUR-FU-10002111"/>
    <s v="Furniture"/>
    <x v="3"/>
    <s v="Master Caster Door Stop, Large Brown"/>
    <n v="14.56"/>
    <n v="2"/>
    <n v="5.5327999999999999"/>
    <x v="5"/>
    <x v="11"/>
  </r>
  <r>
    <x v="1632"/>
    <x v="4"/>
    <m/>
    <n v="42272"/>
    <x v="3"/>
    <s v="CS-11950"/>
    <s v="Carlos Soltero"/>
    <x v="0"/>
    <s v="United States"/>
    <x v="234"/>
    <x v="7"/>
    <x v="2"/>
    <s v="FUR-CH-10001545"/>
    <s v="Furniture"/>
    <x v="1"/>
    <s v="Hon Comfortask Task/Swivel Chairs"/>
    <n v="102.58199999999999"/>
    <n v="1"/>
    <n v="6.8388"/>
    <x v="7"/>
    <x v="4"/>
  </r>
  <r>
    <x v="1633"/>
    <x v="858"/>
    <m/>
    <n v="42507"/>
    <x v="1"/>
    <s v="HM-14860"/>
    <s v="Harry Marie"/>
    <x v="1"/>
    <s v="United States"/>
    <x v="13"/>
    <x v="7"/>
    <x v="2"/>
    <s v="FUR-FU-10000320"/>
    <s v="Furniture"/>
    <x v="3"/>
    <s v="OIC Stacking Trays"/>
    <n v="10.02"/>
    <n v="3"/>
    <n v="4.4088000000000003"/>
    <x v="2"/>
    <x v="7"/>
  </r>
  <r>
    <x v="1634"/>
    <x v="451"/>
    <m/>
    <n v="43074"/>
    <x v="1"/>
    <s v="SC-20305"/>
    <s v="Sean Christensen"/>
    <x v="0"/>
    <s v="United States"/>
    <x v="3"/>
    <x v="3"/>
    <x v="2"/>
    <s v="FUR-CH-10003379"/>
    <s v="Furniture"/>
    <x v="1"/>
    <s v="Global Commerce Series High-Back Swivel/Tilt Chairs"/>
    <n v="398.97199999999998"/>
    <n v="2"/>
    <n v="-28.498000000000001"/>
    <x v="4"/>
    <x v="5"/>
  </r>
  <r>
    <x v="1635"/>
    <x v="649"/>
    <m/>
    <n v="42637"/>
    <x v="1"/>
    <s v="HJ-14875"/>
    <s v="Heather Jas"/>
    <x v="2"/>
    <s v="United States"/>
    <x v="15"/>
    <x v="13"/>
    <x v="1"/>
    <s v="FUR-BO-10002853"/>
    <s v="Furniture"/>
    <x v="0"/>
    <s v="O'Sullivan 5-Shelf Heavy-Duty Bookcases"/>
    <n v="163.88"/>
    <n v="2"/>
    <n v="40.97"/>
    <x v="4"/>
    <x v="4"/>
  </r>
  <r>
    <x v="1636"/>
    <x v="356"/>
    <m/>
    <n v="41966"/>
    <x v="1"/>
    <s v="MK-17905"/>
    <s v="Michael Kennedy"/>
    <x v="1"/>
    <s v="United States"/>
    <x v="20"/>
    <x v="16"/>
    <x v="3"/>
    <s v="FUR-CH-10001482"/>
    <s v="Furniture"/>
    <x v="1"/>
    <s v="Office Star - Mesh Screen back chair with Vinyl seat"/>
    <n v="392.94"/>
    <n v="3"/>
    <n v="43.223399999999998"/>
    <x v="2"/>
    <x v="0"/>
  </r>
  <r>
    <x v="1637"/>
    <x v="32"/>
    <m/>
    <n v="42332"/>
    <x v="2"/>
    <s v="JH-15820"/>
    <s v="John Huston"/>
    <x v="0"/>
    <s v="United States"/>
    <x v="91"/>
    <x v="30"/>
    <x v="0"/>
    <s v="FUR-FU-10000087"/>
    <s v="Furniture"/>
    <x v="3"/>
    <s v="Executive Impressions 14&quot; Two-Color Numerals Wall Clock"/>
    <n v="18.175999999999998"/>
    <n v="1"/>
    <n v="4.7712000000000003"/>
    <x v="0"/>
    <x v="0"/>
  </r>
  <r>
    <x v="1638"/>
    <x v="744"/>
    <m/>
    <n v="42912"/>
    <x v="1"/>
    <s v="DB-13270"/>
    <s v="Deborah Brumfield"/>
    <x v="2"/>
    <s v="United States"/>
    <x v="144"/>
    <x v="5"/>
    <x v="3"/>
    <s v="FUR-TA-10000688"/>
    <s v="Furniture"/>
    <x v="2"/>
    <s v="Chromcraft Bull-Nose Wood Round Conference Table Top, Wood Base"/>
    <n v="457.48500000000001"/>
    <n v="3"/>
    <n v="-84.961500000000001"/>
    <x v="1"/>
    <x v="2"/>
  </r>
  <r>
    <x v="1639"/>
    <x v="147"/>
    <m/>
    <n v="43072"/>
    <x v="2"/>
    <s v="TB-21625"/>
    <s v="Trudy Brown"/>
    <x v="0"/>
    <s v="United States"/>
    <x v="3"/>
    <x v="3"/>
    <x v="2"/>
    <s v="FUR-CH-10003981"/>
    <s v="Furniture"/>
    <x v="1"/>
    <s v="Global Commerce Series Low-Back Swivel/Tilt Chairs"/>
    <n v="1079.316"/>
    <n v="6"/>
    <n v="-15.418799999999999"/>
    <x v="0"/>
    <x v="0"/>
  </r>
  <r>
    <x v="1640"/>
    <x v="15"/>
    <m/>
    <n v="42887"/>
    <x v="1"/>
    <s v="AM-10360"/>
    <s v="Alice McCarthy"/>
    <x v="1"/>
    <s v="United States"/>
    <x v="59"/>
    <x v="15"/>
    <x v="2"/>
    <s v="FUR-BO-10004709"/>
    <s v="Furniture"/>
    <x v="0"/>
    <s v="Bush Westfield Collection Bookcases, Medium Cherry Finish"/>
    <n v="115.96"/>
    <n v="4"/>
    <n v="-64.937600000000003"/>
    <x v="4"/>
    <x v="7"/>
  </r>
  <r>
    <x v="1641"/>
    <x v="8"/>
    <m/>
    <n v="42116"/>
    <x v="0"/>
    <s v="MP-17965"/>
    <s v="Michael Paige"/>
    <x v="1"/>
    <s v="United States"/>
    <x v="362"/>
    <x v="5"/>
    <x v="3"/>
    <s v="FUR-CH-10000225"/>
    <s v="Furniture"/>
    <x v="1"/>
    <s v="Global Geo Office Task Chair, Gray"/>
    <n v="56.686"/>
    <n v="1"/>
    <n v="-20.245000000000001"/>
    <x v="4"/>
    <x v="6"/>
  </r>
  <r>
    <x v="1642"/>
    <x v="96"/>
    <m/>
    <n v="42941"/>
    <x v="1"/>
    <s v="AR-10825"/>
    <s v="Anthony Rawles"/>
    <x v="1"/>
    <s v="United States"/>
    <x v="13"/>
    <x v="7"/>
    <x v="2"/>
    <s v="FUR-CH-10002780"/>
    <s v="Furniture"/>
    <x v="1"/>
    <s v="Office Star - Task Chair with Contemporary Loop Arms"/>
    <n v="163.76400000000001"/>
    <n v="2"/>
    <n v="25.474399999999999"/>
    <x v="2"/>
    <x v="3"/>
  </r>
  <r>
    <x v="1642"/>
    <x v="96"/>
    <m/>
    <n v="42941"/>
    <x v="1"/>
    <s v="AR-10825"/>
    <s v="Anthony Rawles"/>
    <x v="1"/>
    <s v="United States"/>
    <x v="13"/>
    <x v="7"/>
    <x v="2"/>
    <s v="FUR-FU-10000747"/>
    <s v="Furniture"/>
    <x v="3"/>
    <s v="Tenex B1-RE Series Chair Mats for Low Pile Carpets"/>
    <n v="183.92"/>
    <n v="4"/>
    <n v="31.266400000000001"/>
    <x v="2"/>
    <x v="3"/>
  </r>
  <r>
    <x v="1643"/>
    <x v="114"/>
    <m/>
    <n v="42682"/>
    <x v="1"/>
    <s v="SM-20005"/>
    <s v="Sally Matthias"/>
    <x v="0"/>
    <s v="United States"/>
    <x v="6"/>
    <x v="5"/>
    <x v="3"/>
    <s v="FUR-FU-10002445"/>
    <s v="Furniture"/>
    <x v="3"/>
    <s v="DAX Two-Tone Rosewood/Black Document Frame, Desktop, 5 x 7"/>
    <n v="11.375999999999999"/>
    <n v="3"/>
    <n v="-5.6879999999999997"/>
    <x v="4"/>
    <x v="0"/>
  </r>
  <r>
    <x v="1643"/>
    <x v="114"/>
    <m/>
    <n v="42682"/>
    <x v="1"/>
    <s v="SM-20005"/>
    <s v="Sally Matthias"/>
    <x v="0"/>
    <s v="United States"/>
    <x v="6"/>
    <x v="5"/>
    <x v="3"/>
    <s v="FUR-FU-10000723"/>
    <s v="Furniture"/>
    <x v="3"/>
    <s v="Deflect-o EconoMat Studded, No Bevel Mat for Low Pile Carpeting"/>
    <n v="66.111999999999995"/>
    <n v="4"/>
    <n v="-84.2928"/>
    <x v="4"/>
    <x v="0"/>
  </r>
  <r>
    <x v="1644"/>
    <x v="204"/>
    <m/>
    <n v="43007"/>
    <x v="1"/>
    <s v="DB-13660"/>
    <s v="Duane Benoit"/>
    <x v="0"/>
    <s v="United States"/>
    <x v="2"/>
    <x v="2"/>
    <x v="1"/>
    <s v="FUR-CH-10003973"/>
    <s v="Furniture"/>
    <x v="1"/>
    <s v="GuestStacker Chair with Chrome Finish Legs"/>
    <n v="594.81600000000003"/>
    <n v="2"/>
    <n v="59.4816"/>
    <x v="6"/>
    <x v="4"/>
  </r>
  <r>
    <x v="1645"/>
    <x v="87"/>
    <m/>
    <n v="42988"/>
    <x v="2"/>
    <s v="PF-19225"/>
    <s v="Phillip Flathmann"/>
    <x v="0"/>
    <s v="United States"/>
    <x v="71"/>
    <x v="13"/>
    <x v="1"/>
    <s v="FUR-FU-10004053"/>
    <s v="Furniture"/>
    <x v="3"/>
    <s v="DAX Two-Tone Silver Metal Document Frame"/>
    <n v="80.959999999999994"/>
    <n v="4"/>
    <n v="34.812800000000003"/>
    <x v="0"/>
    <x v="4"/>
  </r>
  <r>
    <x v="1646"/>
    <x v="806"/>
    <m/>
    <n v="42857"/>
    <x v="2"/>
    <s v="AG-10900"/>
    <s v="Arthur Gainer"/>
    <x v="0"/>
    <s v="United States"/>
    <x v="97"/>
    <x v="1"/>
    <x v="0"/>
    <s v="FUR-BO-10001798"/>
    <s v="Furniture"/>
    <x v="0"/>
    <s v="Bush Somerset Collection Bookcase"/>
    <n v="314.35199999999998"/>
    <n v="3"/>
    <n v="-15.717599999999999"/>
    <x v="5"/>
    <x v="7"/>
  </r>
  <r>
    <x v="1647"/>
    <x v="506"/>
    <m/>
    <n v="42786"/>
    <x v="2"/>
    <s v="CK-12325"/>
    <s v="Christine Kargatis"/>
    <x v="2"/>
    <s v="United States"/>
    <x v="8"/>
    <x v="15"/>
    <x v="2"/>
    <s v="FUR-TA-10001086"/>
    <s v="Furniture"/>
    <x v="2"/>
    <s v="SAFCO PlanMaster Boards, 60w x 37-1/2d, White Melamine"/>
    <n v="455.97"/>
    <n v="5"/>
    <n v="-106.393"/>
    <x v="0"/>
    <x v="11"/>
  </r>
  <r>
    <x v="1647"/>
    <x v="506"/>
    <m/>
    <n v="42786"/>
    <x v="2"/>
    <s v="CK-12325"/>
    <s v="Christine Kargatis"/>
    <x v="2"/>
    <s v="United States"/>
    <x v="8"/>
    <x v="15"/>
    <x v="2"/>
    <s v="FUR-FU-10004973"/>
    <s v="Furniture"/>
    <x v="3"/>
    <s v="Flat Face Poster Frame"/>
    <n v="30.143999999999998"/>
    <n v="2"/>
    <n v="8.2896000000000001"/>
    <x v="0"/>
    <x v="11"/>
  </r>
  <r>
    <x v="1647"/>
    <x v="506"/>
    <m/>
    <n v="42786"/>
    <x v="2"/>
    <s v="CK-12325"/>
    <s v="Christine Kargatis"/>
    <x v="2"/>
    <s v="United States"/>
    <x v="8"/>
    <x v="15"/>
    <x v="2"/>
    <s v="FUR-CH-10003981"/>
    <s v="Furniture"/>
    <x v="1"/>
    <s v="Global Commerce Series Low-Back Swivel/Tilt Chairs"/>
    <n v="899.43"/>
    <n v="5"/>
    <n v="-12.849"/>
    <x v="0"/>
    <x v="11"/>
  </r>
  <r>
    <x v="1648"/>
    <x v="286"/>
    <m/>
    <n v="42732"/>
    <x v="1"/>
    <s v="DN-13690"/>
    <s v="Duane Noonan"/>
    <x v="0"/>
    <s v="United States"/>
    <x v="363"/>
    <x v="2"/>
    <x v="1"/>
    <s v="FUR-FU-10000277"/>
    <s v="Furniture"/>
    <x v="3"/>
    <s v="Deflect-o DuraMat Antistatic Studded Beveled Mat for Medium Pile Carpeting"/>
    <n v="842.72"/>
    <n v="8"/>
    <n v="202.25280000000001"/>
    <x v="6"/>
    <x v="5"/>
  </r>
  <r>
    <x v="1648"/>
    <x v="286"/>
    <m/>
    <n v="42732"/>
    <x v="1"/>
    <s v="DN-13690"/>
    <s v="Duane Noonan"/>
    <x v="0"/>
    <s v="United States"/>
    <x v="363"/>
    <x v="2"/>
    <x v="1"/>
    <s v="FUR-FU-10001934"/>
    <s v="Furniture"/>
    <x v="3"/>
    <s v="Magnifier Swing Arm Lamp"/>
    <n v="41.96"/>
    <n v="2"/>
    <n v="10.909599999999999"/>
    <x v="6"/>
    <x v="5"/>
  </r>
  <r>
    <x v="1649"/>
    <x v="348"/>
    <m/>
    <n v="42640"/>
    <x v="1"/>
    <s v="DP-13105"/>
    <s v="Dave Poirier"/>
    <x v="1"/>
    <s v="United States"/>
    <x v="15"/>
    <x v="13"/>
    <x v="1"/>
    <s v="FUR-CH-10003396"/>
    <s v="Furniture"/>
    <x v="1"/>
    <s v="Global Deluxe Steno Chair"/>
    <n v="184.75200000000001"/>
    <n v="3"/>
    <n v="-20.784600000000001"/>
    <x v="4"/>
    <x v="4"/>
  </r>
  <r>
    <x v="1650"/>
    <x v="118"/>
    <m/>
    <n v="43004"/>
    <x v="2"/>
    <s v="RO-19780"/>
    <s v="Rose O'Brian"/>
    <x v="0"/>
    <s v="United States"/>
    <x v="9"/>
    <x v="8"/>
    <x v="3"/>
    <s v="FUR-CH-10003973"/>
    <s v="Furniture"/>
    <x v="1"/>
    <s v="GuestStacker Chair with Chrome Finish Legs"/>
    <n v="520.46400000000006"/>
    <n v="2"/>
    <n v="-14.8704"/>
    <x v="3"/>
    <x v="4"/>
  </r>
  <r>
    <x v="1651"/>
    <x v="859"/>
    <m/>
    <n v="42397"/>
    <x v="0"/>
    <s v="JD-15895"/>
    <s v="Jonathan Doherty"/>
    <x v="1"/>
    <s v="United States"/>
    <x v="13"/>
    <x v="7"/>
    <x v="2"/>
    <s v="FUR-TA-10001095"/>
    <s v="Furniture"/>
    <x v="2"/>
    <s v="Chromcraft Round Conference Tables"/>
    <n v="313.72199999999998"/>
    <n v="3"/>
    <n v="-99.345299999999995"/>
    <x v="0"/>
    <x v="8"/>
  </r>
  <r>
    <x v="1651"/>
    <x v="859"/>
    <m/>
    <n v="42397"/>
    <x v="0"/>
    <s v="JD-15895"/>
    <s v="Jonathan Doherty"/>
    <x v="1"/>
    <s v="United States"/>
    <x v="13"/>
    <x v="7"/>
    <x v="2"/>
    <s v="FUR-FU-10000747"/>
    <s v="Furniture"/>
    <x v="3"/>
    <s v="Tenex B1-RE Series Chair Mats for Low Pile Carpets"/>
    <n v="45.98"/>
    <n v="1"/>
    <n v="7.8166000000000002"/>
    <x v="0"/>
    <x v="8"/>
  </r>
  <r>
    <x v="1652"/>
    <x v="555"/>
    <m/>
    <n v="42819"/>
    <x v="1"/>
    <s v="PS-18970"/>
    <s v="Paul Stevenson"/>
    <x v="2"/>
    <s v="United States"/>
    <x v="15"/>
    <x v="13"/>
    <x v="1"/>
    <s v="FUR-FU-10002364"/>
    <s v="Furniture"/>
    <x v="3"/>
    <s v="Eldon Expressions Wood Desk Accessories, Oak"/>
    <n v="22.14"/>
    <n v="3"/>
    <n v="6.4206000000000003"/>
    <x v="4"/>
    <x v="9"/>
  </r>
  <r>
    <x v="1653"/>
    <x v="388"/>
    <m/>
    <n v="43048"/>
    <x v="0"/>
    <s v="KN-16390"/>
    <s v="Katherine Nockton"/>
    <x v="1"/>
    <s v="United States"/>
    <x v="218"/>
    <x v="32"/>
    <x v="2"/>
    <s v="FUR-CH-10000422"/>
    <s v="Furniture"/>
    <x v="1"/>
    <s v="Global Highback Leather Tilter in Burgundy"/>
    <n v="272.97000000000003"/>
    <n v="3"/>
    <n v="43.675199999999997"/>
    <x v="3"/>
    <x v="0"/>
  </r>
  <r>
    <x v="1654"/>
    <x v="860"/>
    <m/>
    <n v="42155"/>
    <x v="2"/>
    <s v="VP-21760"/>
    <s v="Victoria Pisteka"/>
    <x v="1"/>
    <s v="United States"/>
    <x v="29"/>
    <x v="15"/>
    <x v="2"/>
    <s v="FUR-FU-10002506"/>
    <s v="Furniture"/>
    <x v="3"/>
    <s v="Tensor &quot;Hersey Kiss&quot; Styled Floor Lamp"/>
    <n v="41.567999999999998"/>
    <n v="4"/>
    <n v="-4.1567999999999996"/>
    <x v="3"/>
    <x v="7"/>
  </r>
  <r>
    <x v="1654"/>
    <x v="860"/>
    <m/>
    <n v="42155"/>
    <x v="2"/>
    <s v="VP-21760"/>
    <s v="Victoria Pisteka"/>
    <x v="1"/>
    <s v="United States"/>
    <x v="29"/>
    <x v="15"/>
    <x v="2"/>
    <s v="FUR-CH-10000863"/>
    <s v="Furniture"/>
    <x v="1"/>
    <s v="Novimex Swivel Fabric Task Chair"/>
    <n v="317.05799999999999"/>
    <n v="3"/>
    <n v="-86.058599999999998"/>
    <x v="3"/>
    <x v="7"/>
  </r>
  <r>
    <x v="1655"/>
    <x v="520"/>
    <m/>
    <n v="42000"/>
    <x v="0"/>
    <s v="CC-12670"/>
    <s v="Craig Carreira"/>
    <x v="0"/>
    <s v="United States"/>
    <x v="26"/>
    <x v="1"/>
    <x v="0"/>
    <s v="FUR-CH-10004698"/>
    <s v="Furniture"/>
    <x v="1"/>
    <s v="Padded Folding Chairs, Black, 4/Carton"/>
    <n v="64.784000000000006"/>
    <n v="1"/>
    <n v="6.4783999999999997"/>
    <x v="4"/>
    <x v="5"/>
  </r>
  <r>
    <x v="1656"/>
    <x v="60"/>
    <m/>
    <n v="42978"/>
    <x v="1"/>
    <s v="SF-20200"/>
    <s v="Sarah Foster"/>
    <x v="0"/>
    <s v="United States"/>
    <x v="81"/>
    <x v="22"/>
    <x v="1"/>
    <s v="FUR-FU-10004973"/>
    <s v="Furniture"/>
    <x v="3"/>
    <s v="Flat Face Poster Frame"/>
    <n v="120.57599999999999"/>
    <n v="8"/>
    <n v="33.1584"/>
    <x v="4"/>
    <x v="10"/>
  </r>
  <r>
    <x v="1657"/>
    <x v="551"/>
    <m/>
    <n v="42302"/>
    <x v="3"/>
    <s v="DG-13300"/>
    <s v="Deirdre Greer"/>
    <x v="1"/>
    <s v="United States"/>
    <x v="22"/>
    <x v="12"/>
    <x v="1"/>
    <s v="FUR-CH-10000422"/>
    <s v="Furniture"/>
    <x v="1"/>
    <s v="Global Highback Leather Tilter in Burgundy"/>
    <n v="582.33600000000001"/>
    <n v="8"/>
    <n v="-29.116800000000001"/>
    <x v="7"/>
    <x v="1"/>
  </r>
  <r>
    <x v="1658"/>
    <x v="23"/>
    <m/>
    <n v="41905"/>
    <x v="2"/>
    <s v="MW-18220"/>
    <s v="Mitch Webber"/>
    <x v="0"/>
    <s v="United States"/>
    <x v="13"/>
    <x v="7"/>
    <x v="2"/>
    <s v="FUR-CH-10001394"/>
    <s v="Furniture"/>
    <x v="1"/>
    <s v="Global Leather Executive Chair"/>
    <n v="631.78200000000004"/>
    <n v="2"/>
    <n v="140.39599999999999"/>
    <x v="0"/>
    <x v="4"/>
  </r>
  <r>
    <x v="1658"/>
    <x v="23"/>
    <m/>
    <n v="41905"/>
    <x v="2"/>
    <s v="MW-18220"/>
    <s v="Mitch Webber"/>
    <x v="0"/>
    <s v="United States"/>
    <x v="13"/>
    <x v="7"/>
    <x v="2"/>
    <s v="FUR-BO-10002213"/>
    <s v="Furniture"/>
    <x v="0"/>
    <s v="DMI Eclipse Executive Suite Bookcases"/>
    <n v="801.56799999999998"/>
    <n v="2"/>
    <n v="-10.019600000000001"/>
    <x v="0"/>
    <x v="4"/>
  </r>
  <r>
    <x v="1659"/>
    <x v="861"/>
    <m/>
    <n v="41818"/>
    <x v="1"/>
    <s v="LP-17080"/>
    <s v="Liz Pelletier"/>
    <x v="0"/>
    <s v="United States"/>
    <x v="104"/>
    <x v="22"/>
    <x v="1"/>
    <s v="FUR-FU-10001731"/>
    <s v="Furniture"/>
    <x v="3"/>
    <s v="Acrylic Self-Standing Desk Frames"/>
    <n v="4.2720000000000002"/>
    <n v="2"/>
    <n v="0.96120000000000005"/>
    <x v="4"/>
    <x v="2"/>
  </r>
  <r>
    <x v="1660"/>
    <x v="577"/>
    <m/>
    <n v="42599"/>
    <x v="0"/>
    <s v="NP-18700"/>
    <s v="Nora Preis"/>
    <x v="0"/>
    <s v="United States"/>
    <x v="13"/>
    <x v="7"/>
    <x v="2"/>
    <s v="FUR-TA-10001095"/>
    <s v="Furniture"/>
    <x v="2"/>
    <s v="Chromcraft Round Conference Tables"/>
    <n v="209.148"/>
    <n v="2"/>
    <n v="-66.230199999999996"/>
    <x v="2"/>
    <x v="10"/>
  </r>
  <r>
    <x v="1661"/>
    <x v="320"/>
    <m/>
    <n v="43002"/>
    <x v="0"/>
    <s v="LC-17140"/>
    <s v="Logan Currie"/>
    <x v="0"/>
    <s v="United States"/>
    <x v="13"/>
    <x v="7"/>
    <x v="2"/>
    <s v="FUR-FU-10004864"/>
    <s v="Furniture"/>
    <x v="3"/>
    <s v="Eldon 500 Class Desk Accessories"/>
    <n v="12.07"/>
    <n v="1"/>
    <n v="3.9830999999999999"/>
    <x v="3"/>
    <x v="4"/>
  </r>
  <r>
    <x v="1662"/>
    <x v="247"/>
    <m/>
    <n v="43082"/>
    <x v="2"/>
    <s v="WB-21850"/>
    <s v="William Brown"/>
    <x v="0"/>
    <s v="United States"/>
    <x v="3"/>
    <x v="3"/>
    <x v="2"/>
    <s v="FUR-FU-10001475"/>
    <s v="Furniture"/>
    <x v="3"/>
    <s v="Contract Clock, 14&quot;, Brown"/>
    <n v="87.92"/>
    <n v="5"/>
    <n v="15.385999999999999"/>
    <x v="0"/>
    <x v="5"/>
  </r>
  <r>
    <x v="1663"/>
    <x v="369"/>
    <m/>
    <n v="42033"/>
    <x v="2"/>
    <s v="SC-20305"/>
    <s v="Sean Christensen"/>
    <x v="0"/>
    <s v="United States"/>
    <x v="2"/>
    <x v="2"/>
    <x v="1"/>
    <s v="FUR-CH-10002024"/>
    <s v="Furniture"/>
    <x v="1"/>
    <s v="HON 5400 Series Task Chairs for Big and Tall"/>
    <n v="2803.92"/>
    <n v="5"/>
    <n v="0"/>
    <x v="3"/>
    <x v="8"/>
  </r>
  <r>
    <x v="1664"/>
    <x v="862"/>
    <m/>
    <n v="42299"/>
    <x v="1"/>
    <s v="JC-15775"/>
    <s v="John Castell"/>
    <x v="0"/>
    <s v="United States"/>
    <x v="15"/>
    <x v="13"/>
    <x v="1"/>
    <s v="FUR-FU-10002505"/>
    <s v="Furniture"/>
    <x v="3"/>
    <s v="Eldon 100 Class Desk Accessories"/>
    <n v="10.11"/>
    <n v="3"/>
    <n v="3.2351999999999999"/>
    <x v="4"/>
    <x v="1"/>
  </r>
  <r>
    <x v="1665"/>
    <x v="639"/>
    <m/>
    <n v="41899"/>
    <x v="0"/>
    <s v="LW-17215"/>
    <s v="Luke Weiss"/>
    <x v="0"/>
    <s v="United States"/>
    <x v="13"/>
    <x v="7"/>
    <x v="2"/>
    <s v="FUR-CH-10002024"/>
    <s v="Furniture"/>
    <x v="1"/>
    <s v="HON 5400 Series Task Chairs for Big and Tall"/>
    <n v="3785.2919999999999"/>
    <n v="6"/>
    <n v="420.58800000000002"/>
    <x v="2"/>
    <x v="4"/>
  </r>
  <r>
    <x v="1666"/>
    <x v="863"/>
    <m/>
    <n v="41974"/>
    <x v="1"/>
    <s v="JO-15145"/>
    <s v="Jack O'Briant"/>
    <x v="1"/>
    <s v="United States"/>
    <x v="252"/>
    <x v="7"/>
    <x v="2"/>
    <s v="FUR-FU-10003268"/>
    <s v="Furniture"/>
    <x v="3"/>
    <s v="Eldon Radial Chair Mat for Low to Medium Pile Carpets"/>
    <n v="199.9"/>
    <n v="5"/>
    <n v="39.979999999999997"/>
    <x v="4"/>
    <x v="0"/>
  </r>
  <r>
    <x v="1667"/>
    <x v="89"/>
    <m/>
    <n v="41775"/>
    <x v="1"/>
    <s v="VW-21775"/>
    <s v="Victoria Wilson"/>
    <x v="1"/>
    <s v="United States"/>
    <x v="156"/>
    <x v="5"/>
    <x v="3"/>
    <s v="FUR-CH-10000015"/>
    <s v="Furniture"/>
    <x v="1"/>
    <s v="Hon Multipurpose Stacking Arm Chairs"/>
    <n v="1212.96"/>
    <n v="8"/>
    <n v="-69.311999999999998"/>
    <x v="2"/>
    <x v="7"/>
  </r>
  <r>
    <x v="1668"/>
    <x v="797"/>
    <m/>
    <n v="42248"/>
    <x v="1"/>
    <s v="BP-11185"/>
    <s v="Ben Peterman"/>
    <x v="1"/>
    <s v="United States"/>
    <x v="144"/>
    <x v="5"/>
    <x v="3"/>
    <s v="FUR-TA-10004607"/>
    <s v="Furniture"/>
    <x v="2"/>
    <s v="Hon 2111 Invitation Series Straight Table"/>
    <n v="103.48099999999999"/>
    <n v="1"/>
    <n v="-16.261299999999999"/>
    <x v="4"/>
    <x v="10"/>
  </r>
  <r>
    <x v="1669"/>
    <x v="706"/>
    <m/>
    <n v="42889"/>
    <x v="1"/>
    <s v="DN-13690"/>
    <s v="Duane Noonan"/>
    <x v="0"/>
    <s v="United States"/>
    <x v="169"/>
    <x v="37"/>
    <x v="3"/>
    <s v="FUR-FU-10003664"/>
    <s v="Furniture"/>
    <x v="3"/>
    <s v="Electrix Architect's Clamp-On Swing Arm Lamp, Black"/>
    <n v="477.3"/>
    <n v="5"/>
    <n v="138.417"/>
    <x v="1"/>
    <x v="7"/>
  </r>
  <r>
    <x v="1670"/>
    <x v="608"/>
    <m/>
    <n v="43069"/>
    <x v="0"/>
    <s v="BS-11590"/>
    <s v="Brendan Sweed"/>
    <x v="1"/>
    <s v="United States"/>
    <x v="74"/>
    <x v="0"/>
    <x v="0"/>
    <s v="FUR-CH-10001854"/>
    <s v="Furniture"/>
    <x v="1"/>
    <s v="Office Star - Professional Matrix Back Chair with 2-to-1 Synchro Tilt and Mesh Fabric Seat"/>
    <n v="701.96"/>
    <n v="2"/>
    <n v="168.47040000000001"/>
    <x v="2"/>
    <x v="0"/>
  </r>
  <r>
    <x v="1671"/>
    <x v="185"/>
    <m/>
    <n v="42697"/>
    <x v="1"/>
    <s v="JM-15265"/>
    <s v="Janet Molinari"/>
    <x v="1"/>
    <s v="United States"/>
    <x v="15"/>
    <x v="13"/>
    <x v="1"/>
    <s v="FUR-FU-10000448"/>
    <s v="Furniture"/>
    <x v="3"/>
    <s v="Tenex Chairmats For Use With Carpeted Floors"/>
    <n v="31.96"/>
    <n v="2"/>
    <n v="1.5980000000000001"/>
    <x v="4"/>
    <x v="0"/>
  </r>
  <r>
    <x v="1672"/>
    <x v="864"/>
    <m/>
    <n v="43049"/>
    <x v="0"/>
    <s v="CD-12280"/>
    <s v="Christina DeMoss"/>
    <x v="0"/>
    <s v="United States"/>
    <x v="13"/>
    <x v="7"/>
    <x v="2"/>
    <s v="FUR-TA-10003469"/>
    <s v="Furniture"/>
    <x v="2"/>
    <s v="Balt Split Level Computer Training Table"/>
    <n v="166.5"/>
    <n v="2"/>
    <n v="-66.599999999999994"/>
    <x v="2"/>
    <x v="0"/>
  </r>
  <r>
    <x v="1672"/>
    <x v="864"/>
    <m/>
    <n v="43049"/>
    <x v="0"/>
    <s v="CD-12280"/>
    <s v="Christina DeMoss"/>
    <x v="0"/>
    <s v="United States"/>
    <x v="13"/>
    <x v="7"/>
    <x v="2"/>
    <s v="FUR-CH-10004875"/>
    <s v="Furniture"/>
    <x v="1"/>
    <s v="Harbour Creations 67200 Series Stacking Chairs"/>
    <n v="128.124"/>
    <n v="2"/>
    <n v="24.2012"/>
    <x v="2"/>
    <x v="0"/>
  </r>
  <r>
    <x v="1672"/>
    <x v="864"/>
    <m/>
    <n v="43049"/>
    <x v="0"/>
    <s v="CD-12280"/>
    <s v="Christina DeMoss"/>
    <x v="0"/>
    <s v="United States"/>
    <x v="13"/>
    <x v="7"/>
    <x v="2"/>
    <s v="FUR-FU-10004245"/>
    <s v="Furniture"/>
    <x v="3"/>
    <s v="Career Cubicle Clock, 8 1/4&quot;, Black"/>
    <n v="101.4"/>
    <n v="5"/>
    <n v="38.531999999999996"/>
    <x v="2"/>
    <x v="0"/>
  </r>
  <r>
    <x v="1673"/>
    <x v="151"/>
    <m/>
    <n v="42160"/>
    <x v="0"/>
    <s v="JM-15265"/>
    <s v="Janet Molinari"/>
    <x v="1"/>
    <s v="United States"/>
    <x v="9"/>
    <x v="8"/>
    <x v="3"/>
    <s v="FUR-FU-10002703"/>
    <s v="Furniture"/>
    <x v="3"/>
    <s v="Tenex Traditional Chairmats for Hard Floors, Average Lip, 36&quot; x 48&quot;"/>
    <n v="51.56"/>
    <n v="2"/>
    <n v="-61.872"/>
    <x v="2"/>
    <x v="7"/>
  </r>
  <r>
    <x v="1674"/>
    <x v="674"/>
    <m/>
    <n v="42708"/>
    <x v="0"/>
    <s v="MY-18295"/>
    <s v="Muhammed Yedwab"/>
    <x v="1"/>
    <s v="United States"/>
    <x v="6"/>
    <x v="5"/>
    <x v="3"/>
    <s v="FUR-BO-10003893"/>
    <s v="Furniture"/>
    <x v="0"/>
    <s v="Sauder Camden County Collection Library"/>
    <n v="781.86400000000003"/>
    <n v="10"/>
    <n v="-137.976"/>
    <x v="3"/>
    <x v="5"/>
  </r>
  <r>
    <x v="1675"/>
    <x v="176"/>
    <m/>
    <n v="43020"/>
    <x v="3"/>
    <s v="NF-18385"/>
    <s v="Natalie Fritzler"/>
    <x v="0"/>
    <s v="United States"/>
    <x v="167"/>
    <x v="47"/>
    <x v="2"/>
    <s v="FUR-TA-10001932"/>
    <s v="Furniture"/>
    <x v="2"/>
    <s v="Chromcraft 48&quot; x 96&quot; Racetrack Double Pedestal Table"/>
    <n v="673.34400000000005"/>
    <n v="3"/>
    <n v="-76.953599999999994"/>
    <x v="7"/>
    <x v="1"/>
  </r>
  <r>
    <x v="1676"/>
    <x v="865"/>
    <m/>
    <n v="42377"/>
    <x v="1"/>
    <s v="BO-11350"/>
    <s v="Bill Overfelt"/>
    <x v="1"/>
    <s v="United States"/>
    <x v="364"/>
    <x v="37"/>
    <x v="3"/>
    <s v="FUR-TA-10000617"/>
    <s v="Furniture"/>
    <x v="2"/>
    <s v="Hon Practical Foundations 30 x 60 Training Table, Light Gray/Charcoal"/>
    <n v="1592.85"/>
    <n v="7"/>
    <n v="350.42700000000002"/>
    <x v="2"/>
    <x v="8"/>
  </r>
  <r>
    <x v="1677"/>
    <x v="205"/>
    <m/>
    <n v="42520"/>
    <x v="1"/>
    <s v="CM-12235"/>
    <s v="Chris McAfee"/>
    <x v="0"/>
    <s v="United States"/>
    <x v="79"/>
    <x v="16"/>
    <x v="3"/>
    <s v="FUR-FU-10002088"/>
    <s v="Furniture"/>
    <x v="3"/>
    <s v="Nu-Dell Float Frame 11 x 14 1/2"/>
    <n v="26.94"/>
    <n v="3"/>
    <n v="11.3148"/>
    <x v="4"/>
    <x v="7"/>
  </r>
  <r>
    <x v="1678"/>
    <x v="141"/>
    <m/>
    <n v="42332"/>
    <x v="1"/>
    <s v="KW-16570"/>
    <s v="Kelly Williams"/>
    <x v="0"/>
    <s v="United States"/>
    <x v="28"/>
    <x v="2"/>
    <x v="1"/>
    <s v="FUR-FU-10001546"/>
    <s v="Furniture"/>
    <x v="3"/>
    <s v="Dana Swing-Arm Lamps"/>
    <n v="32.04"/>
    <n v="3"/>
    <n v="8.01"/>
    <x v="4"/>
    <x v="0"/>
  </r>
  <r>
    <x v="1679"/>
    <x v="703"/>
    <m/>
    <n v="42889"/>
    <x v="0"/>
    <s v="KT-16480"/>
    <s v="Kean Thornton"/>
    <x v="0"/>
    <s v="United States"/>
    <x v="144"/>
    <x v="5"/>
    <x v="3"/>
    <s v="FUR-BO-10001811"/>
    <s v="Furniture"/>
    <x v="0"/>
    <s v="Atlantic Metals Mobile 5-Shelf Bookcases, Custom Colors"/>
    <n v="204.66640000000001"/>
    <n v="1"/>
    <n v="-6.0195999999999996"/>
    <x v="4"/>
    <x v="7"/>
  </r>
  <r>
    <x v="1680"/>
    <x v="446"/>
    <m/>
    <n v="43075"/>
    <x v="2"/>
    <s v="PB-18805"/>
    <s v="Patrick Bzostek"/>
    <x v="2"/>
    <s v="United States"/>
    <x v="15"/>
    <x v="13"/>
    <x v="1"/>
    <s v="FUR-FU-10003268"/>
    <s v="Furniture"/>
    <x v="3"/>
    <s v="Eldon Radial Chair Mat for Low to Medium Pile Carpets"/>
    <n v="199.9"/>
    <n v="5"/>
    <n v="39.979999999999997"/>
    <x v="5"/>
    <x v="5"/>
  </r>
  <r>
    <x v="1681"/>
    <x v="78"/>
    <m/>
    <n v="42674"/>
    <x v="1"/>
    <s v="BW-11200"/>
    <s v="Ben Wallace"/>
    <x v="0"/>
    <s v="United States"/>
    <x v="13"/>
    <x v="7"/>
    <x v="2"/>
    <s v="FUR-CH-10000553"/>
    <s v="Furniture"/>
    <x v="1"/>
    <s v="Metal Folding Chairs, Beige, 4/Carton"/>
    <n v="427.64400000000001"/>
    <n v="14"/>
    <n v="80.777199999999993"/>
    <x v="4"/>
    <x v="1"/>
  </r>
  <r>
    <x v="1682"/>
    <x v="235"/>
    <m/>
    <n v="42900"/>
    <x v="0"/>
    <s v="TS-21610"/>
    <s v="Troy Staebel"/>
    <x v="0"/>
    <s v="United States"/>
    <x v="9"/>
    <x v="8"/>
    <x v="3"/>
    <s v="FUR-FU-10002364"/>
    <s v="Furniture"/>
    <x v="3"/>
    <s v="Eldon Expressions Wood Desk Accessories, Oak"/>
    <n v="8.8559999999999999"/>
    <n v="3"/>
    <n v="-6.8634000000000004"/>
    <x v="3"/>
    <x v="2"/>
  </r>
  <r>
    <x v="1683"/>
    <x v="228"/>
    <m/>
    <n v="42640"/>
    <x v="2"/>
    <s v="AS-10045"/>
    <s v="Aaron Smayling"/>
    <x v="1"/>
    <s v="United States"/>
    <x v="28"/>
    <x v="2"/>
    <x v="1"/>
    <s v="FUR-BO-10002613"/>
    <s v="Furniture"/>
    <x v="0"/>
    <s v="Atlantic Metals Mobile 4-Shelf Bookcases, Custom Colors"/>
    <n v="477.666"/>
    <n v="2"/>
    <n v="84.293999999999997"/>
    <x v="3"/>
    <x v="4"/>
  </r>
  <r>
    <x v="1684"/>
    <x v="866"/>
    <m/>
    <n v="42140"/>
    <x v="0"/>
    <s v="PS-18970"/>
    <s v="Paul Stevenson"/>
    <x v="2"/>
    <s v="United States"/>
    <x v="43"/>
    <x v="22"/>
    <x v="1"/>
    <s v="FUR-CH-10004540"/>
    <s v="Furniture"/>
    <x v="1"/>
    <s v="Global Chrome Stack Chair"/>
    <n v="191.96799999999999"/>
    <n v="7"/>
    <n v="16.7972"/>
    <x v="2"/>
    <x v="7"/>
  </r>
  <r>
    <x v="1685"/>
    <x v="867"/>
    <m/>
    <n v="42226"/>
    <x v="1"/>
    <s v="RP-19270"/>
    <s v="Rachel Payne"/>
    <x v="1"/>
    <s v="United States"/>
    <x v="6"/>
    <x v="5"/>
    <x v="3"/>
    <s v="FUR-BO-10003965"/>
    <s v="Furniture"/>
    <x v="0"/>
    <s v="O'Sullivan Manor Hill 2-Door Library in Brianna Oak"/>
    <n v="369.19920000000002"/>
    <n v="3"/>
    <n v="-114.01739999999999"/>
    <x v="4"/>
    <x v="10"/>
  </r>
  <r>
    <x v="1686"/>
    <x v="710"/>
    <m/>
    <n v="42640"/>
    <x v="1"/>
    <s v="SM-20950"/>
    <s v="Suzanne McNair"/>
    <x v="1"/>
    <s v="United States"/>
    <x v="131"/>
    <x v="12"/>
    <x v="1"/>
    <s v="FUR-FU-10000246"/>
    <s v="Furniture"/>
    <x v="3"/>
    <s v="Aluminum Document Frame"/>
    <n v="68.432000000000002"/>
    <n v="7"/>
    <n v="8.5540000000000003"/>
    <x v="2"/>
    <x v="4"/>
  </r>
  <r>
    <x v="1687"/>
    <x v="44"/>
    <m/>
    <n v="42340"/>
    <x v="1"/>
    <s v="EB-14110"/>
    <s v="Eugene Barchas"/>
    <x v="0"/>
    <s v="United States"/>
    <x v="29"/>
    <x v="15"/>
    <x v="2"/>
    <s v="FUR-FU-10003799"/>
    <s v="Furniture"/>
    <x v="3"/>
    <s v="Seth Thomas 13 1/2&quot; Wall Clock"/>
    <n v="71.12"/>
    <n v="5"/>
    <n v="9.7789999999999999"/>
    <x v="4"/>
    <x v="0"/>
  </r>
  <r>
    <x v="1688"/>
    <x v="868"/>
    <m/>
    <n v="41931"/>
    <x v="0"/>
    <s v="EB-14170"/>
    <s v="Evan Bailliet"/>
    <x v="0"/>
    <s v="United States"/>
    <x v="6"/>
    <x v="5"/>
    <x v="3"/>
    <s v="FUR-FU-10004586"/>
    <s v="Furniture"/>
    <x v="3"/>
    <s v="G.E. Longer-Life Indoor Recessed Floodlight Bulbs"/>
    <n v="5.3120000000000003"/>
    <n v="2"/>
    <n v="-1.5935999999999999"/>
    <x v="3"/>
    <x v="1"/>
  </r>
  <r>
    <x v="1689"/>
    <x v="869"/>
    <m/>
    <n v="42495"/>
    <x v="2"/>
    <s v="SM-20905"/>
    <s v="Susan MacKendrick"/>
    <x v="0"/>
    <s v="United States"/>
    <x v="19"/>
    <x v="15"/>
    <x v="2"/>
    <s v="FUR-FU-10001876"/>
    <s v="Furniture"/>
    <x v="3"/>
    <s v="Computer Room Manger, 14&quot;"/>
    <n v="51.968000000000004"/>
    <n v="2"/>
    <n v="10.393599999999999"/>
    <x v="3"/>
    <x v="7"/>
  </r>
  <r>
    <x v="1690"/>
    <x v="870"/>
    <m/>
    <n v="41729"/>
    <x v="3"/>
    <s v="TG-21640"/>
    <s v="Trudy Glocke"/>
    <x v="0"/>
    <s v="United States"/>
    <x v="26"/>
    <x v="1"/>
    <x v="0"/>
    <s v="FUR-CH-10002965"/>
    <s v="Furniture"/>
    <x v="1"/>
    <s v="Global Leather Highback Executive Chair with Pneumatic Height Adjustment, Black"/>
    <n v="1125.4880000000001"/>
    <n v="7"/>
    <n v="98.480199999999996"/>
    <x v="7"/>
    <x v="9"/>
  </r>
  <r>
    <x v="1691"/>
    <x v="871"/>
    <m/>
    <n v="42229"/>
    <x v="3"/>
    <s v="SF-20065"/>
    <s v="Sandra Flanagan"/>
    <x v="0"/>
    <s v="United States"/>
    <x v="135"/>
    <x v="2"/>
    <x v="1"/>
    <s v="FUR-FU-10001889"/>
    <s v="Furniture"/>
    <x v="3"/>
    <s v="Ultra Door Pull Handle"/>
    <n v="31.56"/>
    <n v="3"/>
    <n v="10.4148"/>
    <x v="7"/>
    <x v="10"/>
  </r>
  <r>
    <x v="1692"/>
    <x v="753"/>
    <m/>
    <n v="42152"/>
    <x v="0"/>
    <s v="PS-18760"/>
    <s v="Pamela Stobb"/>
    <x v="0"/>
    <s v="United States"/>
    <x v="21"/>
    <x v="5"/>
    <x v="3"/>
    <s v="FUR-CH-10000863"/>
    <s v="Furniture"/>
    <x v="1"/>
    <s v="Novimex Swivel Fabric Task Chair"/>
    <n v="105.68600000000001"/>
    <n v="1"/>
    <n v="-28.686199999999999"/>
    <x v="3"/>
    <x v="7"/>
  </r>
  <r>
    <x v="1692"/>
    <x v="753"/>
    <m/>
    <n v="42152"/>
    <x v="0"/>
    <s v="PS-18760"/>
    <s v="Pamela Stobb"/>
    <x v="0"/>
    <s v="United States"/>
    <x v="21"/>
    <x v="5"/>
    <x v="3"/>
    <s v="FUR-CH-10004754"/>
    <s v="Furniture"/>
    <x v="1"/>
    <s v="Global Stack Chair with Arms, Black"/>
    <n v="104.93"/>
    <n v="5"/>
    <n v="-4.4969999999999999"/>
    <x v="3"/>
    <x v="7"/>
  </r>
  <r>
    <x v="1693"/>
    <x v="732"/>
    <m/>
    <n v="42994"/>
    <x v="2"/>
    <s v="RB-19705"/>
    <s v="Roger Barcio"/>
    <x v="2"/>
    <s v="United States"/>
    <x v="13"/>
    <x v="7"/>
    <x v="2"/>
    <s v="FUR-CH-10003298"/>
    <s v="Furniture"/>
    <x v="1"/>
    <s v="Office Star - Contemporary Task Swivel chair with Loop Arms, Charcoal"/>
    <n v="589.41"/>
    <n v="5"/>
    <n v="-6.5490000000000004"/>
    <x v="3"/>
    <x v="4"/>
  </r>
  <r>
    <x v="1694"/>
    <x v="542"/>
    <m/>
    <n v="42913"/>
    <x v="0"/>
    <s v="SB-20185"/>
    <s v="Sarah Brown"/>
    <x v="0"/>
    <s v="United States"/>
    <x v="13"/>
    <x v="7"/>
    <x v="2"/>
    <s v="FUR-BO-10002213"/>
    <s v="Furniture"/>
    <x v="0"/>
    <s v="DMI Eclipse Executive Suite Bookcases"/>
    <n v="400.78399999999999"/>
    <n v="1"/>
    <n v="-5.0098000000000003"/>
    <x v="3"/>
    <x v="2"/>
  </r>
  <r>
    <x v="1695"/>
    <x v="830"/>
    <m/>
    <n v="42583"/>
    <x v="1"/>
    <s v="BF-11005"/>
    <s v="Barry Franz"/>
    <x v="2"/>
    <s v="United States"/>
    <x v="102"/>
    <x v="5"/>
    <x v="3"/>
    <s v="FUR-FU-10003691"/>
    <s v="Furniture"/>
    <x v="3"/>
    <s v="Eldon Image Series Desk Accessories, Ebony"/>
    <n v="24.7"/>
    <n v="5"/>
    <n v="-9.8800000000000008"/>
    <x v="4"/>
    <x v="3"/>
  </r>
  <r>
    <x v="1695"/>
    <x v="830"/>
    <m/>
    <n v="42583"/>
    <x v="1"/>
    <s v="BF-11005"/>
    <s v="Barry Franz"/>
    <x v="2"/>
    <s v="United States"/>
    <x v="102"/>
    <x v="5"/>
    <x v="3"/>
    <s v="FUR-FU-10003806"/>
    <s v="Furniture"/>
    <x v="3"/>
    <s v="Tenex Chairmat w/ Average Lip, 45&quot; x 53&quot;"/>
    <n v="302.72000000000003"/>
    <n v="5"/>
    <n v="-378.4"/>
    <x v="4"/>
    <x v="3"/>
  </r>
  <r>
    <x v="1696"/>
    <x v="208"/>
    <m/>
    <n v="42270"/>
    <x v="1"/>
    <s v="FC-14245"/>
    <s v="Frank Carlisle"/>
    <x v="2"/>
    <s v="United States"/>
    <x v="155"/>
    <x v="2"/>
    <x v="1"/>
    <s v="FUR-FU-10003464"/>
    <s v="Furniture"/>
    <x v="3"/>
    <s v="Seth Thomas 8 1/2&quot; Cubicle Clock"/>
    <n v="60.84"/>
    <n v="3"/>
    <n v="19.468800000000002"/>
    <x v="4"/>
    <x v="4"/>
  </r>
  <r>
    <x v="1697"/>
    <x v="9"/>
    <m/>
    <n v="42544"/>
    <x v="1"/>
    <s v="DM-13345"/>
    <s v="Denise Monton"/>
    <x v="1"/>
    <s v="United States"/>
    <x v="77"/>
    <x v="7"/>
    <x v="2"/>
    <s v="FUR-TA-10003715"/>
    <s v="Furniture"/>
    <x v="2"/>
    <s v="Hon 2111 Invitation Series Corner Table"/>
    <n v="376.86599999999999"/>
    <n v="3"/>
    <n v="-213.5574"/>
    <x v="6"/>
    <x v="2"/>
  </r>
  <r>
    <x v="1698"/>
    <x v="872"/>
    <m/>
    <n v="42509"/>
    <x v="0"/>
    <s v="SC-20095"/>
    <s v="Sanjit Chand"/>
    <x v="0"/>
    <s v="United States"/>
    <x v="2"/>
    <x v="2"/>
    <x v="1"/>
    <s v="FUR-FU-10002116"/>
    <s v="Furniture"/>
    <x v="3"/>
    <s v="Tenex Carpeted, Granite-Look or Clear Contemporary Contour Shape Chair Mats"/>
    <n v="282.83999999999997"/>
    <n v="4"/>
    <n v="19.7988"/>
    <x v="0"/>
    <x v="7"/>
  </r>
  <r>
    <x v="1699"/>
    <x v="656"/>
    <m/>
    <n v="42916"/>
    <x v="2"/>
    <s v="ME-17725"/>
    <s v="Max Engle"/>
    <x v="0"/>
    <s v="United States"/>
    <x v="144"/>
    <x v="5"/>
    <x v="3"/>
    <s v="FUR-TA-10002855"/>
    <s v="Furniture"/>
    <x v="2"/>
    <s v="Bevis Round Conference Table Top &amp; Single Column Base"/>
    <n v="307.31400000000002"/>
    <n v="3"/>
    <n v="-39.511800000000001"/>
    <x v="5"/>
    <x v="2"/>
  </r>
  <r>
    <x v="1699"/>
    <x v="656"/>
    <m/>
    <n v="42916"/>
    <x v="2"/>
    <s v="ME-17725"/>
    <s v="Max Engle"/>
    <x v="0"/>
    <s v="United States"/>
    <x v="144"/>
    <x v="5"/>
    <x v="3"/>
    <s v="FUR-BO-10000780"/>
    <s v="Furniture"/>
    <x v="0"/>
    <s v="O'Sullivan Plantations 2-Door Library in Landvery Oak"/>
    <n v="409.99919999999997"/>
    <n v="3"/>
    <n v="-96.470399999999998"/>
    <x v="5"/>
    <x v="2"/>
  </r>
  <r>
    <x v="1700"/>
    <x v="873"/>
    <m/>
    <n v="41929"/>
    <x v="2"/>
    <s v="TC-21295"/>
    <s v="Toby Carlisle"/>
    <x v="0"/>
    <s v="United States"/>
    <x v="114"/>
    <x v="20"/>
    <x v="2"/>
    <s v="FUR-CH-10000749"/>
    <s v="Furniture"/>
    <x v="1"/>
    <s v="Office Star - Ergonomic Mid Back Chair with 2-Way Adjustable Arms"/>
    <n v="1628.82"/>
    <n v="9"/>
    <n v="260.6112"/>
    <x v="0"/>
    <x v="1"/>
  </r>
  <r>
    <x v="1701"/>
    <x v="356"/>
    <m/>
    <n v="41968"/>
    <x v="1"/>
    <s v="MH-17785"/>
    <s v="Maya Herman"/>
    <x v="1"/>
    <s v="United States"/>
    <x v="15"/>
    <x v="13"/>
    <x v="1"/>
    <s v="FUR-FU-10003553"/>
    <s v="Furniture"/>
    <x v="3"/>
    <s v="Howard Miller 13-1/2&quot; Diameter Rosebrook Wall Clock"/>
    <n v="137.54"/>
    <n v="2"/>
    <n v="55.015999999999998"/>
    <x v="1"/>
    <x v="0"/>
  </r>
  <r>
    <x v="1701"/>
    <x v="356"/>
    <m/>
    <n v="41968"/>
    <x v="1"/>
    <s v="MH-17785"/>
    <s v="Maya Herman"/>
    <x v="1"/>
    <s v="United States"/>
    <x v="15"/>
    <x v="13"/>
    <x v="1"/>
    <s v="FUR-TA-10003008"/>
    <s v="Furniture"/>
    <x v="2"/>
    <s v="Lesro Round Back Collection Coffee Table, End Table"/>
    <n v="730.2"/>
    <n v="4"/>
    <n v="94.926000000000002"/>
    <x v="1"/>
    <x v="0"/>
  </r>
  <r>
    <x v="1702"/>
    <x v="874"/>
    <m/>
    <n v="42035"/>
    <x v="0"/>
    <s v="JH-15985"/>
    <s v="Joseph Holt"/>
    <x v="0"/>
    <s v="United States"/>
    <x v="41"/>
    <x v="30"/>
    <x v="0"/>
    <s v="FUR-TA-10000198"/>
    <s v="Furniture"/>
    <x v="2"/>
    <s v="Chromcraft Bull-Nose Wood Oval Conference Tables &amp; Bases"/>
    <n v="4297.6440000000002"/>
    <n v="13"/>
    <n v="-1862.3124"/>
    <x v="0"/>
    <x v="8"/>
  </r>
  <r>
    <x v="1703"/>
    <x v="600"/>
    <m/>
    <n v="41710"/>
    <x v="1"/>
    <s v="CM-12715"/>
    <s v="Craig Molinari"/>
    <x v="1"/>
    <s v="United States"/>
    <x v="15"/>
    <x v="13"/>
    <x v="1"/>
    <s v="FUR-CH-10002780"/>
    <s v="Furniture"/>
    <x v="1"/>
    <s v="Office Star - Task Chair with Contemporary Loop Arms"/>
    <n v="436.70400000000001"/>
    <n v="6"/>
    <n v="21.8352"/>
    <x v="2"/>
    <x v="9"/>
  </r>
  <r>
    <x v="1703"/>
    <x v="600"/>
    <m/>
    <n v="41710"/>
    <x v="1"/>
    <s v="CM-12715"/>
    <s v="Craig Molinari"/>
    <x v="1"/>
    <s v="United States"/>
    <x v="15"/>
    <x v="13"/>
    <x v="1"/>
    <s v="FUR-CH-10004495"/>
    <s v="Furniture"/>
    <x v="1"/>
    <s v="Global Leather and Oak Executive Chair, Black"/>
    <n v="481.56799999999998"/>
    <n v="2"/>
    <n v="54.176400000000001"/>
    <x v="2"/>
    <x v="9"/>
  </r>
  <r>
    <x v="1704"/>
    <x v="675"/>
    <m/>
    <n v="42704"/>
    <x v="1"/>
    <s v="MS-17365"/>
    <s v="Maribeth Schnelling"/>
    <x v="0"/>
    <s v="United States"/>
    <x v="2"/>
    <x v="2"/>
    <x v="1"/>
    <s v="FUR-BO-10002213"/>
    <s v="Furniture"/>
    <x v="0"/>
    <s v="DMI Eclipse Executive Suite Bookcases"/>
    <n v="3406.6640000000002"/>
    <n v="8"/>
    <n v="160.31360000000001"/>
    <x v="4"/>
    <x v="0"/>
  </r>
  <r>
    <x v="1704"/>
    <x v="675"/>
    <m/>
    <n v="42704"/>
    <x v="1"/>
    <s v="MS-17365"/>
    <s v="Maribeth Schnelling"/>
    <x v="0"/>
    <s v="United States"/>
    <x v="2"/>
    <x v="2"/>
    <x v="1"/>
    <s v="FUR-FU-10002937"/>
    <s v="Furniture"/>
    <x v="3"/>
    <s v="GE 48&quot; Fluorescent Tube, Cool White Energy Saver, 34 Watts, 30/Box"/>
    <n v="595.38"/>
    <n v="6"/>
    <n v="297.69"/>
    <x v="4"/>
    <x v="0"/>
  </r>
  <r>
    <x v="1705"/>
    <x v="875"/>
    <m/>
    <n v="41911"/>
    <x v="1"/>
    <s v="AS-10090"/>
    <s v="Adam Shillingsburg"/>
    <x v="0"/>
    <s v="United States"/>
    <x v="13"/>
    <x v="7"/>
    <x v="2"/>
    <s v="FUR-FU-10001876"/>
    <s v="Furniture"/>
    <x v="3"/>
    <s v="Computer Room Manger, 14&quot;"/>
    <n v="97.44"/>
    <n v="3"/>
    <n v="35.078400000000002"/>
    <x v="1"/>
    <x v="4"/>
  </r>
  <r>
    <x v="1705"/>
    <x v="875"/>
    <m/>
    <n v="41911"/>
    <x v="1"/>
    <s v="AS-10090"/>
    <s v="Adam Shillingsburg"/>
    <x v="0"/>
    <s v="United States"/>
    <x v="13"/>
    <x v="7"/>
    <x v="2"/>
    <s v="FUR-CH-10004983"/>
    <s v="Furniture"/>
    <x v="1"/>
    <s v="Office Star - Mid Back Dual function Ergonomic High Back Chair with 2-Way Adjustable Arms"/>
    <n v="579.52800000000002"/>
    <n v="4"/>
    <n v="83.709599999999995"/>
    <x v="1"/>
    <x v="4"/>
  </r>
  <r>
    <x v="1706"/>
    <x v="716"/>
    <m/>
    <n v="43059"/>
    <x v="1"/>
    <s v="LC-16885"/>
    <s v="Lena Creighton"/>
    <x v="0"/>
    <s v="United States"/>
    <x v="2"/>
    <x v="2"/>
    <x v="1"/>
    <s v="FUR-FU-10003268"/>
    <s v="Furniture"/>
    <x v="3"/>
    <s v="Eldon Radial Chair Mat for Low to Medium Pile Carpets"/>
    <n v="119.94"/>
    <n v="3"/>
    <n v="23.988"/>
    <x v="4"/>
    <x v="0"/>
  </r>
  <r>
    <x v="1706"/>
    <x v="716"/>
    <m/>
    <n v="43059"/>
    <x v="1"/>
    <s v="LC-16885"/>
    <s v="Lena Creighton"/>
    <x v="0"/>
    <s v="United States"/>
    <x v="2"/>
    <x v="2"/>
    <x v="1"/>
    <s v="FUR-FU-10001847"/>
    <s v="Furniture"/>
    <x v="3"/>
    <s v="Eldon Image Series Black Desk Accessories"/>
    <n v="12.42"/>
    <n v="3"/>
    <n v="4.4711999999999996"/>
    <x v="4"/>
    <x v="0"/>
  </r>
  <r>
    <x v="1707"/>
    <x v="349"/>
    <m/>
    <n v="42500"/>
    <x v="1"/>
    <s v="GM-14500"/>
    <s v="Gene McClure"/>
    <x v="0"/>
    <s v="United States"/>
    <x v="175"/>
    <x v="2"/>
    <x v="1"/>
    <s v="FUR-FU-10001617"/>
    <s v="Furniture"/>
    <x v="3"/>
    <s v="Executive Impressions 8-1/2&quot; Career Panel/Partition Cubicle Clock"/>
    <n v="41.6"/>
    <n v="4"/>
    <n v="14.144"/>
    <x v="4"/>
    <x v="7"/>
  </r>
  <r>
    <x v="1708"/>
    <x v="838"/>
    <m/>
    <n v="43087"/>
    <x v="1"/>
    <s v="EP-13915"/>
    <s v="Emily Phan"/>
    <x v="0"/>
    <s v="United States"/>
    <x v="28"/>
    <x v="2"/>
    <x v="1"/>
    <s v="FUR-FU-10001473"/>
    <s v="Furniture"/>
    <x v="3"/>
    <s v="Eldon Executive Woodline II Desk Accessories, Mahogany"/>
    <n v="201.04"/>
    <n v="8"/>
    <n v="54.280799999999999"/>
    <x v="2"/>
    <x v="5"/>
  </r>
  <r>
    <x v="1709"/>
    <x v="18"/>
    <m/>
    <n v="42325"/>
    <x v="1"/>
    <s v="PO-18850"/>
    <s v="Patrick O'Brill"/>
    <x v="0"/>
    <s v="United States"/>
    <x v="6"/>
    <x v="5"/>
    <x v="3"/>
    <s v="FUR-BO-10001811"/>
    <s v="Furniture"/>
    <x v="0"/>
    <s v="Atlantic Metals Mobile 5-Shelf Bookcases, Custom Colors"/>
    <n v="613.99919999999997"/>
    <n v="3"/>
    <n v="-18.058800000000002"/>
    <x v="4"/>
    <x v="0"/>
  </r>
  <r>
    <x v="1710"/>
    <x v="237"/>
    <m/>
    <n v="42440"/>
    <x v="3"/>
    <s v="BT-11485"/>
    <s v="Brad Thomas"/>
    <x v="2"/>
    <s v="United States"/>
    <x v="3"/>
    <x v="3"/>
    <x v="2"/>
    <s v="FUR-FU-10001037"/>
    <s v="Furniture"/>
    <x v="3"/>
    <s v="DAX Charcoal/Nickel-Tone Document Frame, 5 x 7"/>
    <n v="30.335999999999999"/>
    <n v="4"/>
    <n v="9.48"/>
    <x v="7"/>
    <x v="9"/>
  </r>
  <r>
    <x v="1711"/>
    <x v="59"/>
    <m/>
    <n v="42670"/>
    <x v="1"/>
    <s v="CS-11950"/>
    <s v="Carlos Soltero"/>
    <x v="0"/>
    <s v="United States"/>
    <x v="2"/>
    <x v="2"/>
    <x v="1"/>
    <s v="FUR-CH-10004626"/>
    <s v="Furniture"/>
    <x v="1"/>
    <s v="Office Star Flex Back Scooter Chair with Aluminum Finish Frame"/>
    <n v="242.136"/>
    <n v="3"/>
    <n v="12.1068"/>
    <x v="6"/>
    <x v="1"/>
  </r>
  <r>
    <x v="1711"/>
    <x v="59"/>
    <m/>
    <n v="42670"/>
    <x v="1"/>
    <s v="CS-11950"/>
    <s v="Carlos Soltero"/>
    <x v="0"/>
    <s v="United States"/>
    <x v="2"/>
    <x v="2"/>
    <x v="1"/>
    <s v="FUR-FU-10003731"/>
    <s v="Furniture"/>
    <x v="3"/>
    <s v="Eldon Expressions Wood and Plastic Desk Accessories, Oak"/>
    <n v="19.96"/>
    <n v="2"/>
    <n v="5.5888"/>
    <x v="6"/>
    <x v="1"/>
  </r>
  <r>
    <x v="1712"/>
    <x v="726"/>
    <m/>
    <n v="41953"/>
    <x v="1"/>
    <s v="MD-17350"/>
    <s v="Maribeth Dona"/>
    <x v="0"/>
    <s v="United States"/>
    <x v="3"/>
    <x v="3"/>
    <x v="2"/>
    <s v="FUR-FU-10001468"/>
    <s v="Furniture"/>
    <x v="3"/>
    <s v="Tenex Antistatic Computer Chair Mats"/>
    <n v="273.56799999999998"/>
    <n v="2"/>
    <n v="-34.195999999999998"/>
    <x v="2"/>
    <x v="0"/>
  </r>
  <r>
    <x v="1713"/>
    <x v="710"/>
    <m/>
    <n v="42639"/>
    <x v="1"/>
    <s v="CS-12250"/>
    <s v="Chris Selesnick"/>
    <x v="1"/>
    <s v="United States"/>
    <x v="356"/>
    <x v="16"/>
    <x v="3"/>
    <s v="FUR-FU-10002445"/>
    <s v="Furniture"/>
    <x v="3"/>
    <s v="DAX Two-Tone Rosewood/Black Document Frame, Desktop, 5 x 7"/>
    <n v="18.96"/>
    <n v="2"/>
    <n v="7.5839999999999996"/>
    <x v="4"/>
    <x v="4"/>
  </r>
  <r>
    <x v="1714"/>
    <x v="285"/>
    <m/>
    <n v="42420"/>
    <x v="1"/>
    <s v="JF-15565"/>
    <s v="Jill Fjeld"/>
    <x v="0"/>
    <s v="United States"/>
    <x v="13"/>
    <x v="7"/>
    <x v="2"/>
    <s v="FUR-CH-10001802"/>
    <s v="Furniture"/>
    <x v="1"/>
    <s v="Hon Every-Day Chair Series Swivel Task Chairs"/>
    <n v="326.64600000000002"/>
    <n v="3"/>
    <n v="39.923400000000001"/>
    <x v="4"/>
    <x v="11"/>
  </r>
  <r>
    <x v="1715"/>
    <x v="663"/>
    <m/>
    <n v="41876"/>
    <x v="1"/>
    <s v="NC-18535"/>
    <s v="Nick Crebassa"/>
    <x v="1"/>
    <s v="United States"/>
    <x v="247"/>
    <x v="25"/>
    <x v="0"/>
    <s v="FUR-CH-10001797"/>
    <s v="Furniture"/>
    <x v="1"/>
    <s v="Safco Chair Connectors, 6/Carton"/>
    <n v="500.24"/>
    <n v="13"/>
    <n v="145.06960000000001"/>
    <x v="2"/>
    <x v="10"/>
  </r>
  <r>
    <x v="1716"/>
    <x v="428"/>
    <m/>
    <n v="42320"/>
    <x v="1"/>
    <s v="QJ-19255"/>
    <s v="Quincy Jones"/>
    <x v="1"/>
    <s v="United States"/>
    <x v="259"/>
    <x v="43"/>
    <x v="2"/>
    <s v="FUR-BO-10004834"/>
    <s v="Furniture"/>
    <x v="0"/>
    <s v="Riverside Palais Royal Lawyers Bookcase, Royale Cherry Finish"/>
    <n v="4404.8999999999996"/>
    <n v="5"/>
    <n v="1013.127"/>
    <x v="4"/>
    <x v="0"/>
  </r>
  <r>
    <x v="1717"/>
    <x v="241"/>
    <m/>
    <n v="43063"/>
    <x v="3"/>
    <s v="BP-11290"/>
    <s v="Beth Paige"/>
    <x v="0"/>
    <s v="United States"/>
    <x v="2"/>
    <x v="2"/>
    <x v="1"/>
    <s v="FUR-TA-10000617"/>
    <s v="Furniture"/>
    <x v="2"/>
    <s v="Hon Practical Foundations 30 x 60 Training Table, Light Gray/Charcoal"/>
    <n v="364.08"/>
    <n v="2"/>
    <n v="9.1020000000000003"/>
    <x v="7"/>
    <x v="0"/>
  </r>
  <r>
    <x v="1717"/>
    <x v="241"/>
    <m/>
    <n v="43063"/>
    <x v="3"/>
    <s v="BP-11290"/>
    <s v="Beth Paige"/>
    <x v="0"/>
    <s v="United States"/>
    <x v="2"/>
    <x v="2"/>
    <x v="1"/>
    <s v="FUR-TA-10001676"/>
    <s v="Furniture"/>
    <x v="2"/>
    <s v="Hon 61000 Series Interactive Training Tables"/>
    <n v="71.087999999999994"/>
    <n v="2"/>
    <n v="-1.7771999999999999"/>
    <x v="7"/>
    <x v="0"/>
  </r>
  <r>
    <x v="1718"/>
    <x v="163"/>
    <m/>
    <n v="41958"/>
    <x v="1"/>
    <s v="BH-11710"/>
    <s v="Brosina Hoffman"/>
    <x v="0"/>
    <s v="United States"/>
    <x v="9"/>
    <x v="8"/>
    <x v="3"/>
    <s v="FUR-FU-10000175"/>
    <s v="Furniture"/>
    <x v="3"/>
    <s v="DAX Wood Document Frame."/>
    <n v="10.984"/>
    <n v="2"/>
    <n v="-7.9634"/>
    <x v="4"/>
    <x v="0"/>
  </r>
  <r>
    <x v="1718"/>
    <x v="163"/>
    <m/>
    <n v="41958"/>
    <x v="1"/>
    <s v="BH-11710"/>
    <s v="Brosina Hoffman"/>
    <x v="0"/>
    <s v="United States"/>
    <x v="9"/>
    <x v="8"/>
    <x v="3"/>
    <s v="FUR-CH-10003379"/>
    <s v="Furniture"/>
    <x v="1"/>
    <s v="Global Commerce Series High-Back Swivel/Tilt Chairs"/>
    <n v="797.94399999999996"/>
    <n v="4"/>
    <n v="-56.996000000000002"/>
    <x v="4"/>
    <x v="0"/>
  </r>
  <r>
    <x v="1719"/>
    <x v="582"/>
    <m/>
    <n v="42823"/>
    <x v="0"/>
    <s v="LC-16870"/>
    <s v="Lena Cacioppo"/>
    <x v="0"/>
    <s v="United States"/>
    <x v="52"/>
    <x v="25"/>
    <x v="0"/>
    <s v="FUR-TA-10002533"/>
    <s v="Furniture"/>
    <x v="2"/>
    <s v="BPI Conference Tables"/>
    <n v="292.10000000000002"/>
    <n v="2"/>
    <n v="58.42"/>
    <x v="3"/>
    <x v="9"/>
  </r>
  <r>
    <x v="1720"/>
    <x v="359"/>
    <m/>
    <n v="42679"/>
    <x v="1"/>
    <s v="SF-20965"/>
    <s v="Sylvia Foulston"/>
    <x v="1"/>
    <s v="United States"/>
    <x v="28"/>
    <x v="2"/>
    <x v="1"/>
    <s v="FUR-CH-10001854"/>
    <s v="Furniture"/>
    <x v="1"/>
    <s v="Office Star - Professional Matrix Back Chair with 2-to-1 Synchro Tilt and Mesh Fabric Seat"/>
    <n v="1403.92"/>
    <n v="5"/>
    <n v="70.195999999999998"/>
    <x v="2"/>
    <x v="1"/>
  </r>
  <r>
    <x v="1721"/>
    <x v="243"/>
    <m/>
    <n v="42704"/>
    <x v="1"/>
    <s v="SC-20050"/>
    <s v="Sample Company A"/>
    <x v="2"/>
    <s v="United States"/>
    <x v="173"/>
    <x v="1"/>
    <x v="0"/>
    <s v="FUR-BO-10001619"/>
    <s v="Furniture"/>
    <x v="0"/>
    <s v="O'Sullivan Cherrywood Estates Traditional Bookcase"/>
    <n v="339.92"/>
    <n v="5"/>
    <n v="8.4979999999999993"/>
    <x v="6"/>
    <x v="0"/>
  </r>
  <r>
    <x v="1722"/>
    <x v="503"/>
    <m/>
    <n v="41850"/>
    <x v="1"/>
    <s v="LF-17185"/>
    <s v="Luke Foster"/>
    <x v="0"/>
    <s v="United States"/>
    <x v="21"/>
    <x v="5"/>
    <x v="3"/>
    <s v="FUR-FU-10004666"/>
    <s v="Furniture"/>
    <x v="3"/>
    <s v="DAX Clear Channel Poster Frame"/>
    <n v="17.495999999999999"/>
    <n v="3"/>
    <n v="-10.0602"/>
    <x v="4"/>
    <x v="3"/>
  </r>
  <r>
    <x v="1723"/>
    <x v="151"/>
    <m/>
    <n v="42157"/>
    <x v="0"/>
    <s v="EM-13825"/>
    <s v="Elizabeth Moffitt"/>
    <x v="1"/>
    <s v="United States"/>
    <x v="309"/>
    <x v="18"/>
    <x v="2"/>
    <s v="FUR-FU-10001847"/>
    <s v="Furniture"/>
    <x v="3"/>
    <s v="Eldon Image Series Black Desk Accessories"/>
    <n v="8.2799999999999994"/>
    <n v="2"/>
    <n v="2.9807999999999999"/>
    <x v="3"/>
    <x v="7"/>
  </r>
  <r>
    <x v="1724"/>
    <x v="726"/>
    <m/>
    <n v="41948"/>
    <x v="3"/>
    <s v="BG-11035"/>
    <s v="Barry Gonzalez"/>
    <x v="0"/>
    <s v="United States"/>
    <x v="247"/>
    <x v="25"/>
    <x v="0"/>
    <s v="FUR-CH-10004754"/>
    <s v="Furniture"/>
    <x v="1"/>
    <s v="Global Stack Chair with Arms, Black"/>
    <n v="149.9"/>
    <n v="5"/>
    <n v="40.472999999999999"/>
    <x v="7"/>
    <x v="0"/>
  </r>
  <r>
    <x v="1725"/>
    <x v="582"/>
    <m/>
    <n v="42826"/>
    <x v="1"/>
    <s v="CJ-12010"/>
    <s v="Caroline Jumper"/>
    <x v="0"/>
    <s v="United States"/>
    <x v="6"/>
    <x v="5"/>
    <x v="3"/>
    <s v="FUR-BO-10001811"/>
    <s v="Furniture"/>
    <x v="0"/>
    <s v="Atlantic Metals Mobile 5-Shelf Bookcases, Custom Colors"/>
    <n v="1023.332"/>
    <n v="5"/>
    <n v="-30.097999999999999"/>
    <x v="2"/>
    <x v="9"/>
  </r>
  <r>
    <x v="1725"/>
    <x v="582"/>
    <m/>
    <n v="42826"/>
    <x v="1"/>
    <s v="CJ-12010"/>
    <s v="Caroline Jumper"/>
    <x v="0"/>
    <s v="United States"/>
    <x v="6"/>
    <x v="5"/>
    <x v="3"/>
    <s v="FUR-CH-10004063"/>
    <s v="Furniture"/>
    <x v="1"/>
    <s v="Global Deluxe High-Back Manager's Chair"/>
    <n v="600.55799999999999"/>
    <n v="3"/>
    <n v="-8.5793999999999997"/>
    <x v="2"/>
    <x v="9"/>
  </r>
  <r>
    <x v="1725"/>
    <x v="582"/>
    <m/>
    <n v="42826"/>
    <x v="1"/>
    <s v="CJ-12010"/>
    <s v="Caroline Jumper"/>
    <x v="0"/>
    <s v="United States"/>
    <x v="6"/>
    <x v="5"/>
    <x v="3"/>
    <s v="FUR-CH-10001714"/>
    <s v="Furniture"/>
    <x v="1"/>
    <s v="Global Leather &amp; Oak Executive Chair, Burgundy"/>
    <n v="211.24600000000001"/>
    <n v="2"/>
    <n v="-66.391599999999997"/>
    <x v="2"/>
    <x v="9"/>
  </r>
  <r>
    <x v="1726"/>
    <x v="876"/>
    <m/>
    <n v="41782"/>
    <x v="0"/>
    <s v="KH-16360"/>
    <s v="Katherine Hughes"/>
    <x v="0"/>
    <s v="United States"/>
    <x v="6"/>
    <x v="5"/>
    <x v="3"/>
    <s v="FUR-CH-10003396"/>
    <s v="Furniture"/>
    <x v="1"/>
    <s v="Global Deluxe Steno Chair"/>
    <n v="107.77200000000001"/>
    <n v="2"/>
    <n v="-29.252400000000002"/>
    <x v="3"/>
    <x v="7"/>
  </r>
  <r>
    <x v="1727"/>
    <x v="877"/>
    <m/>
    <n v="42205"/>
    <x v="0"/>
    <s v="PJ-19015"/>
    <s v="Pauline Johnson"/>
    <x v="0"/>
    <s v="United States"/>
    <x v="13"/>
    <x v="7"/>
    <x v="2"/>
    <s v="FUR-FU-10002364"/>
    <s v="Furniture"/>
    <x v="3"/>
    <s v="Eldon Expressions Wood Desk Accessories, Oak"/>
    <n v="7.38"/>
    <n v="1"/>
    <n v="2.1402000000000001"/>
    <x v="3"/>
    <x v="3"/>
  </r>
  <r>
    <x v="1728"/>
    <x v="59"/>
    <m/>
    <n v="42669"/>
    <x v="1"/>
    <s v="AP-10720"/>
    <s v="Anne Pryor"/>
    <x v="2"/>
    <s v="United States"/>
    <x v="1"/>
    <x v="1"/>
    <x v="0"/>
    <s v="FUR-FU-10002878"/>
    <s v="Furniture"/>
    <x v="3"/>
    <s v="Seth Thomas 14&quot; Day/Date Wall Clock"/>
    <n v="45.567999999999998"/>
    <n v="2"/>
    <n v="9.6831999999999994"/>
    <x v="2"/>
    <x v="1"/>
  </r>
  <r>
    <x v="1729"/>
    <x v="534"/>
    <m/>
    <n v="42948"/>
    <x v="0"/>
    <s v="JW-15955"/>
    <s v="Joni Wasserman"/>
    <x v="0"/>
    <s v="United States"/>
    <x v="168"/>
    <x v="30"/>
    <x v="0"/>
    <s v="FUR-CH-10001146"/>
    <s v="Furniture"/>
    <x v="1"/>
    <s v="Global Value Mid-Back Manager's Chair, Gray"/>
    <n v="194.84800000000001"/>
    <n v="4"/>
    <n v="12.178000000000001"/>
    <x v="2"/>
    <x v="3"/>
  </r>
  <r>
    <x v="1730"/>
    <x v="878"/>
    <m/>
    <n v="42167"/>
    <x v="1"/>
    <s v="AG-10495"/>
    <s v="Andrew Gjertsen"/>
    <x v="1"/>
    <s v="United States"/>
    <x v="66"/>
    <x v="1"/>
    <x v="0"/>
    <s v="FUR-FU-10001185"/>
    <s v="Furniture"/>
    <x v="3"/>
    <s v="Advantus Employee of the Month Certificate Frame, 11 x 13-1/2"/>
    <n v="173.208"/>
    <n v="7"/>
    <n v="45.467100000000002"/>
    <x v="4"/>
    <x v="2"/>
  </r>
  <r>
    <x v="1731"/>
    <x v="879"/>
    <m/>
    <n v="41870"/>
    <x v="1"/>
    <s v="BD-11605"/>
    <s v="Brian Dahlen"/>
    <x v="0"/>
    <s v="United States"/>
    <x v="28"/>
    <x v="2"/>
    <x v="1"/>
    <s v="FUR-CH-10003833"/>
    <s v="Furniture"/>
    <x v="1"/>
    <s v="Novimex Fabric Task Chair"/>
    <n v="195.136"/>
    <n v="4"/>
    <n v="-12.196"/>
    <x v="4"/>
    <x v="10"/>
  </r>
  <r>
    <x v="1732"/>
    <x v="3"/>
    <m/>
    <n v="42939"/>
    <x v="1"/>
    <s v="NF-18385"/>
    <s v="Natalie Fritzler"/>
    <x v="0"/>
    <s v="United States"/>
    <x v="127"/>
    <x v="30"/>
    <x v="0"/>
    <s v="FUR-CH-10004218"/>
    <s v="Furniture"/>
    <x v="1"/>
    <s v="Global Fabric Manager's Chair, Dark Gray"/>
    <n v="242.352"/>
    <n v="3"/>
    <n v="15.147"/>
    <x v="1"/>
    <x v="3"/>
  </r>
  <r>
    <x v="1733"/>
    <x v="439"/>
    <m/>
    <n v="41991"/>
    <x v="0"/>
    <s v="SC-20305"/>
    <s v="Sean Christensen"/>
    <x v="0"/>
    <s v="United States"/>
    <x v="365"/>
    <x v="5"/>
    <x v="3"/>
    <s v="FUR-FU-10001706"/>
    <s v="Furniture"/>
    <x v="3"/>
    <s v="Longer-Life Soft White Bulbs"/>
    <n v="8.6240000000000006"/>
    <n v="7"/>
    <n v="-2.5872000000000002"/>
    <x v="3"/>
    <x v="5"/>
  </r>
  <r>
    <x v="1734"/>
    <x v="792"/>
    <m/>
    <n v="42655"/>
    <x v="2"/>
    <s v="WB-21850"/>
    <s v="William Brown"/>
    <x v="0"/>
    <s v="United States"/>
    <x v="101"/>
    <x v="5"/>
    <x v="3"/>
    <s v="FUR-FU-10004963"/>
    <s v="Furniture"/>
    <x v="3"/>
    <s v="Eldon 400 Class Desk Accessories, Black Carbon"/>
    <n v="14"/>
    <n v="4"/>
    <n v="-6.3"/>
    <x v="3"/>
    <x v="1"/>
  </r>
  <r>
    <x v="1735"/>
    <x v="228"/>
    <m/>
    <n v="42644"/>
    <x v="1"/>
    <s v="DL-12865"/>
    <s v="Dan Lawera"/>
    <x v="0"/>
    <s v="United States"/>
    <x v="62"/>
    <x v="2"/>
    <x v="1"/>
    <s v="FUR-CH-10000665"/>
    <s v="Furniture"/>
    <x v="1"/>
    <s v="Global Airflow Leather Mesh Back Chair, Black"/>
    <n v="483.13600000000002"/>
    <n v="4"/>
    <n v="60.392000000000003"/>
    <x v="6"/>
    <x v="4"/>
  </r>
  <r>
    <x v="1736"/>
    <x v="270"/>
    <m/>
    <n v="41796"/>
    <x v="2"/>
    <s v="RE-19450"/>
    <s v="Richard Eichhorn"/>
    <x v="0"/>
    <s v="United States"/>
    <x v="42"/>
    <x v="8"/>
    <x v="3"/>
    <s v="FUR-FU-10001475"/>
    <s v="Furniture"/>
    <x v="3"/>
    <s v="Contract Clock, 14&quot;, Brown"/>
    <n v="61.543999999999997"/>
    <n v="7"/>
    <n v="-40.003599999999999"/>
    <x v="0"/>
    <x v="2"/>
  </r>
  <r>
    <x v="1737"/>
    <x v="113"/>
    <m/>
    <n v="42982"/>
    <x v="0"/>
    <s v="MH-17290"/>
    <s v="Marc Harrigan"/>
    <x v="2"/>
    <s v="United States"/>
    <x v="2"/>
    <x v="2"/>
    <x v="1"/>
    <s v="FUR-FU-10004188"/>
    <s v="Furniture"/>
    <x v="3"/>
    <s v="Luxo Professional Combination Clamp-On Lamps"/>
    <n v="511.5"/>
    <n v="5"/>
    <n v="132.99"/>
    <x v="3"/>
    <x v="4"/>
  </r>
  <r>
    <x v="1738"/>
    <x v="630"/>
    <m/>
    <n v="42496"/>
    <x v="1"/>
    <s v="EH-13765"/>
    <s v="Edward Hooks"/>
    <x v="1"/>
    <s v="United States"/>
    <x v="13"/>
    <x v="7"/>
    <x v="2"/>
    <s v="FUR-FU-10000732"/>
    <s v="Furniture"/>
    <x v="3"/>
    <s v="Eldon 200 Class Desk Accessories"/>
    <n v="12.56"/>
    <n v="2"/>
    <n v="4.0191999999999997"/>
    <x v="4"/>
    <x v="7"/>
  </r>
  <r>
    <x v="1738"/>
    <x v="630"/>
    <m/>
    <n v="42496"/>
    <x v="1"/>
    <s v="EH-13765"/>
    <s v="Edward Hooks"/>
    <x v="1"/>
    <s v="United States"/>
    <x v="13"/>
    <x v="7"/>
    <x v="2"/>
    <s v="FUR-FU-10002253"/>
    <s v="Furniture"/>
    <x v="3"/>
    <s v="Howard Miller 13&quot; Diameter Pewter Finish Round Wall Clock"/>
    <n v="214.7"/>
    <n v="5"/>
    <n v="83.733000000000004"/>
    <x v="4"/>
    <x v="7"/>
  </r>
  <r>
    <x v="1739"/>
    <x v="744"/>
    <m/>
    <n v="42909"/>
    <x v="1"/>
    <s v="GA-14515"/>
    <s v="George Ashbrook"/>
    <x v="0"/>
    <s v="United States"/>
    <x v="28"/>
    <x v="2"/>
    <x v="1"/>
    <s v="FUR-FU-10002396"/>
    <s v="Furniture"/>
    <x v="3"/>
    <s v="DAX Copper Panel Document Frame, 5 x 7 Size"/>
    <n v="50.32"/>
    <n v="4"/>
    <n v="21.134399999999999"/>
    <x v="4"/>
    <x v="2"/>
  </r>
  <r>
    <x v="1740"/>
    <x v="880"/>
    <m/>
    <n v="42093"/>
    <x v="1"/>
    <s v="EB-13840"/>
    <s v="Ellis Ballard"/>
    <x v="1"/>
    <s v="United States"/>
    <x v="15"/>
    <x v="13"/>
    <x v="1"/>
    <s v="FUR-TA-10001889"/>
    <s v="Furniture"/>
    <x v="2"/>
    <s v="Bush Advantage Collection Racetrack Conference Table"/>
    <n v="3393.68"/>
    <n v="8"/>
    <n v="610.86239999999998"/>
    <x v="4"/>
    <x v="9"/>
  </r>
  <r>
    <x v="1741"/>
    <x v="881"/>
    <m/>
    <n v="42755"/>
    <x v="1"/>
    <s v="HR-14770"/>
    <s v="Hallie Redmond"/>
    <x v="2"/>
    <s v="United States"/>
    <x v="52"/>
    <x v="6"/>
    <x v="3"/>
    <s v="FUR-FU-10001037"/>
    <s v="Furniture"/>
    <x v="3"/>
    <s v="DAX Charcoal/Nickel-Tone Document Frame, 5 x 7"/>
    <n v="18.96"/>
    <n v="2"/>
    <n v="8.532"/>
    <x v="6"/>
    <x v="8"/>
  </r>
  <r>
    <x v="1742"/>
    <x v="770"/>
    <m/>
    <n v="41946"/>
    <x v="2"/>
    <s v="EA-14035"/>
    <s v="Erin Ashbrook"/>
    <x v="1"/>
    <s v="United States"/>
    <x v="366"/>
    <x v="15"/>
    <x v="2"/>
    <s v="FUR-FU-10002253"/>
    <s v="Furniture"/>
    <x v="3"/>
    <s v="Howard Miller 13&quot; Diameter Pewter Finish Round Wall Clock"/>
    <n v="68.703999999999994"/>
    <n v="2"/>
    <n v="16.3172"/>
    <x v="3"/>
    <x v="0"/>
  </r>
  <r>
    <x v="1743"/>
    <x v="650"/>
    <m/>
    <n v="42607"/>
    <x v="1"/>
    <s v="JK-15370"/>
    <s v="Jay Kimmel"/>
    <x v="0"/>
    <s v="United States"/>
    <x v="13"/>
    <x v="7"/>
    <x v="2"/>
    <s v="FUR-CH-10002961"/>
    <s v="Furniture"/>
    <x v="1"/>
    <s v="Leather Task Chair, Black"/>
    <n v="573.17399999999998"/>
    <n v="7"/>
    <n v="63.686"/>
    <x v="4"/>
    <x v="10"/>
  </r>
  <r>
    <x v="1744"/>
    <x v="81"/>
    <m/>
    <n v="42579"/>
    <x v="0"/>
    <s v="SH-19975"/>
    <s v="Sally Hughsby"/>
    <x v="1"/>
    <s v="United States"/>
    <x v="79"/>
    <x v="16"/>
    <x v="3"/>
    <s v="FUR-CH-10004626"/>
    <s v="Furniture"/>
    <x v="1"/>
    <s v="Office Star Flex Back Scooter Chair with Aluminum Finish Frame"/>
    <n v="403.56"/>
    <n v="4"/>
    <n v="96.854399999999998"/>
    <x v="0"/>
    <x v="3"/>
  </r>
  <r>
    <x v="1744"/>
    <x v="81"/>
    <m/>
    <n v="42579"/>
    <x v="0"/>
    <s v="SH-19975"/>
    <s v="Sally Hughsby"/>
    <x v="1"/>
    <s v="United States"/>
    <x v="79"/>
    <x v="16"/>
    <x v="3"/>
    <s v="FUR-FU-10001756"/>
    <s v="Furniture"/>
    <x v="3"/>
    <s v="Eldon Expressions Desk Accessory, Wood Photo Frame, Mahogany"/>
    <n v="95.2"/>
    <n v="5"/>
    <n v="27.608000000000001"/>
    <x v="0"/>
    <x v="3"/>
  </r>
  <r>
    <x v="1745"/>
    <x v="882"/>
    <m/>
    <n v="42531"/>
    <x v="1"/>
    <s v="LP-17095"/>
    <s v="Liz Preis"/>
    <x v="0"/>
    <s v="United States"/>
    <x v="130"/>
    <x v="15"/>
    <x v="2"/>
    <s v="FUR-FU-10004306"/>
    <s v="Furniture"/>
    <x v="3"/>
    <s v="Electrix Halogen Magnifier Lamp"/>
    <n v="466.32"/>
    <n v="3"/>
    <n v="34.973999999999997"/>
    <x v="4"/>
    <x v="2"/>
  </r>
  <r>
    <x v="1745"/>
    <x v="882"/>
    <m/>
    <n v="42531"/>
    <x v="1"/>
    <s v="LP-17095"/>
    <s v="Liz Preis"/>
    <x v="0"/>
    <s v="United States"/>
    <x v="130"/>
    <x v="15"/>
    <x v="2"/>
    <s v="FUR-FU-10004845"/>
    <s v="Furniture"/>
    <x v="3"/>
    <s v="Deflect-o EconoMat Nonstudded, No Bevel Mat"/>
    <n v="82.64"/>
    <n v="2"/>
    <n v="0"/>
    <x v="4"/>
    <x v="2"/>
  </r>
  <r>
    <x v="1746"/>
    <x v="786"/>
    <m/>
    <n v="41732"/>
    <x v="1"/>
    <s v="MP-18175"/>
    <s v="Mike Pelletier"/>
    <x v="2"/>
    <s v="United States"/>
    <x v="76"/>
    <x v="15"/>
    <x v="2"/>
    <s v="FUR-TA-10000198"/>
    <s v="Furniture"/>
    <x v="2"/>
    <s v="Chromcraft Bull-Nose Wood Oval Conference Tables &amp; Bases"/>
    <n v="330.58800000000002"/>
    <n v="1"/>
    <n v="-143.25479999999999"/>
    <x v="6"/>
    <x v="9"/>
  </r>
  <r>
    <x v="1747"/>
    <x v="67"/>
    <m/>
    <n v="42972"/>
    <x v="1"/>
    <s v="SC-20845"/>
    <s v="Sung Chung"/>
    <x v="0"/>
    <s v="United States"/>
    <x v="74"/>
    <x v="12"/>
    <x v="1"/>
    <s v="FUR-FU-10001037"/>
    <s v="Furniture"/>
    <x v="3"/>
    <s v="DAX Charcoal/Nickel-Tone Document Frame, 5 x 7"/>
    <n v="22.751999999999999"/>
    <n v="3"/>
    <n v="7.11"/>
    <x v="4"/>
    <x v="10"/>
  </r>
  <r>
    <x v="1748"/>
    <x v="352"/>
    <m/>
    <n v="41961"/>
    <x v="1"/>
    <s v="DP-13000"/>
    <s v="Darren Powers"/>
    <x v="0"/>
    <s v="United States"/>
    <x v="118"/>
    <x v="5"/>
    <x v="3"/>
    <s v="FUR-FU-10004587"/>
    <s v="Furniture"/>
    <x v="3"/>
    <s v="GE General Use Halogen Bulbs, 100 Watts, 1 Bulb per Pack"/>
    <n v="25.128"/>
    <n v="3"/>
    <n v="-6.9101999999999997"/>
    <x v="6"/>
    <x v="0"/>
  </r>
  <r>
    <x v="1749"/>
    <x v="615"/>
    <m/>
    <n v="42262"/>
    <x v="2"/>
    <s v="KD-16615"/>
    <s v="Ken Dana"/>
    <x v="1"/>
    <s v="United States"/>
    <x v="261"/>
    <x v="2"/>
    <x v="1"/>
    <s v="FUR-FU-10004973"/>
    <s v="Furniture"/>
    <x v="3"/>
    <s v="Flat Face Poster Frame"/>
    <n v="131.88"/>
    <n v="7"/>
    <n v="55.389600000000002"/>
    <x v="3"/>
    <x v="4"/>
  </r>
  <r>
    <x v="1749"/>
    <x v="615"/>
    <m/>
    <n v="42262"/>
    <x v="2"/>
    <s v="KD-16615"/>
    <s v="Ken Dana"/>
    <x v="1"/>
    <s v="United States"/>
    <x v="261"/>
    <x v="2"/>
    <x v="1"/>
    <s v="FUR-CH-10000155"/>
    <s v="Furniture"/>
    <x v="1"/>
    <s v="Global Comet Stacking Armless Chair"/>
    <n v="717.72"/>
    <n v="3"/>
    <n v="71.772000000000006"/>
    <x v="3"/>
    <x v="4"/>
  </r>
  <r>
    <x v="1749"/>
    <x v="615"/>
    <m/>
    <n v="42262"/>
    <x v="2"/>
    <s v="KD-16615"/>
    <s v="Ken Dana"/>
    <x v="1"/>
    <s v="United States"/>
    <x v="261"/>
    <x v="2"/>
    <x v="1"/>
    <s v="FUR-FU-10002379"/>
    <s v="Furniture"/>
    <x v="3"/>
    <s v="Eldon Econocleat Chair Mats for Low Pile Carpets"/>
    <n v="207.35"/>
    <n v="5"/>
    <n v="24.882000000000001"/>
    <x v="3"/>
    <x v="4"/>
  </r>
  <r>
    <x v="1749"/>
    <x v="615"/>
    <m/>
    <n v="42262"/>
    <x v="2"/>
    <s v="KD-16615"/>
    <s v="Ken Dana"/>
    <x v="1"/>
    <s v="United States"/>
    <x v="261"/>
    <x v="2"/>
    <x v="1"/>
    <s v="FUR-FU-10004018"/>
    <s v="Furniture"/>
    <x v="3"/>
    <s v="Tensor Computer Mounted Lamp"/>
    <n v="44.67"/>
    <n v="3"/>
    <n v="12.0609"/>
    <x v="3"/>
    <x v="4"/>
  </r>
  <r>
    <x v="1750"/>
    <x v="883"/>
    <m/>
    <n v="42289"/>
    <x v="2"/>
    <s v="KN-16390"/>
    <s v="Katherine Nockton"/>
    <x v="1"/>
    <s v="United States"/>
    <x v="367"/>
    <x v="2"/>
    <x v="1"/>
    <s v="FUR-CH-10001714"/>
    <s v="Furniture"/>
    <x v="1"/>
    <s v="Global Leather &amp; Oak Executive Chair, Burgundy"/>
    <n v="362.13600000000002"/>
    <n v="3"/>
    <n v="-54.320399999999999"/>
    <x v="3"/>
    <x v="1"/>
  </r>
  <r>
    <x v="1751"/>
    <x v="884"/>
    <m/>
    <n v="42766"/>
    <x v="0"/>
    <s v="TM-21010"/>
    <s v="Tamara Manning"/>
    <x v="0"/>
    <s v="United States"/>
    <x v="149"/>
    <x v="26"/>
    <x v="3"/>
    <s v="FUR-FU-10000010"/>
    <s v="Furniture"/>
    <x v="3"/>
    <s v="DAX Value U-Channel Document Frames, Easel Back"/>
    <n v="14.91"/>
    <n v="3"/>
    <n v="4.6220999999999997"/>
    <x v="3"/>
    <x v="8"/>
  </r>
  <r>
    <x v="1752"/>
    <x v="775"/>
    <m/>
    <n v="42448"/>
    <x v="1"/>
    <s v="MY-18295"/>
    <s v="Muhammed Yedwab"/>
    <x v="1"/>
    <s v="United States"/>
    <x v="368"/>
    <x v="5"/>
    <x v="3"/>
    <s v="FUR-CH-10000863"/>
    <s v="Furniture"/>
    <x v="1"/>
    <s v="Novimex Swivel Fabric Task Chair"/>
    <n v="528.42999999999995"/>
    <n v="5"/>
    <n v="-143.43100000000001"/>
    <x v="4"/>
    <x v="9"/>
  </r>
  <r>
    <x v="1753"/>
    <x v="631"/>
    <m/>
    <n v="42617"/>
    <x v="3"/>
    <s v="IM-15055"/>
    <s v="Ionia McGrath"/>
    <x v="0"/>
    <s v="United States"/>
    <x v="28"/>
    <x v="2"/>
    <x v="1"/>
    <s v="FUR-FU-10000260"/>
    <s v="Furniture"/>
    <x v="3"/>
    <s v="6&quot; Cubicle Wall Clock, Black"/>
    <n v="24.27"/>
    <n v="3"/>
    <n v="8.7371999999999996"/>
    <x v="7"/>
    <x v="4"/>
  </r>
  <r>
    <x v="1754"/>
    <x v="18"/>
    <m/>
    <n v="42325"/>
    <x v="1"/>
    <s v="KH-16510"/>
    <s v="Keith Herrera"/>
    <x v="0"/>
    <s v="United States"/>
    <x v="369"/>
    <x v="2"/>
    <x v="1"/>
    <s v="FUR-BO-10004357"/>
    <s v="Furniture"/>
    <x v="0"/>
    <s v="O'Sullivan Living Dimensions 3-Shelf Bookcases"/>
    <n v="683.33199999999999"/>
    <n v="4"/>
    <n v="-40.195999999999998"/>
    <x v="4"/>
    <x v="0"/>
  </r>
  <r>
    <x v="1755"/>
    <x v="885"/>
    <m/>
    <n v="42527"/>
    <x v="0"/>
    <s v="CP-12340"/>
    <s v="Christine Phan"/>
    <x v="1"/>
    <s v="United States"/>
    <x v="2"/>
    <x v="2"/>
    <x v="1"/>
    <s v="FUR-TA-10001676"/>
    <s v="Furniture"/>
    <x v="2"/>
    <s v="Hon 61000 Series Interactive Training Tables"/>
    <n v="71.087999999999994"/>
    <n v="2"/>
    <n v="-1.7771999999999999"/>
    <x v="0"/>
    <x v="2"/>
  </r>
  <r>
    <x v="1756"/>
    <x v="574"/>
    <m/>
    <n v="42721"/>
    <x v="1"/>
    <s v="NS-18640"/>
    <s v="Noel Staavos"/>
    <x v="1"/>
    <s v="United States"/>
    <x v="13"/>
    <x v="7"/>
    <x v="2"/>
    <s v="FUR-FU-10004864"/>
    <s v="Furniture"/>
    <x v="3"/>
    <s v="Eldon 500 Class Desk Accessories"/>
    <n v="60.35"/>
    <n v="5"/>
    <n v="19.915500000000002"/>
    <x v="2"/>
    <x v="5"/>
  </r>
  <r>
    <x v="1757"/>
    <x v="886"/>
    <m/>
    <n v="42889"/>
    <x v="0"/>
    <s v="HW-14935"/>
    <s v="Helen Wasserman"/>
    <x v="1"/>
    <s v="United States"/>
    <x v="370"/>
    <x v="6"/>
    <x v="3"/>
    <s v="FUR-CH-10003746"/>
    <s v="Furniture"/>
    <x v="1"/>
    <s v="Hon 4070 Series Pagoda Round Back Stacking Chairs"/>
    <n v="1925.88"/>
    <n v="6"/>
    <n v="539.24639999999999"/>
    <x v="3"/>
    <x v="2"/>
  </r>
  <r>
    <x v="1758"/>
    <x v="646"/>
    <m/>
    <n v="42354"/>
    <x v="0"/>
    <s v="DB-12970"/>
    <s v="Darren Budd"/>
    <x v="1"/>
    <s v="United States"/>
    <x v="2"/>
    <x v="2"/>
    <x v="1"/>
    <s v="FUR-TA-10002622"/>
    <s v="Furniture"/>
    <x v="2"/>
    <s v="Bush Andora Conference Table, Maple/Graphite Gray Finish"/>
    <n v="273.56799999999998"/>
    <n v="2"/>
    <n v="10.258800000000001"/>
    <x v="3"/>
    <x v="5"/>
  </r>
  <r>
    <x v="1759"/>
    <x v="887"/>
    <m/>
    <n v="42085"/>
    <x v="2"/>
    <s v="CM-12655"/>
    <s v="Corinna Mitchell"/>
    <x v="2"/>
    <s v="United States"/>
    <x v="6"/>
    <x v="5"/>
    <x v="3"/>
    <s v="FUR-BO-10004218"/>
    <s v="Furniture"/>
    <x v="0"/>
    <s v="Bush Heritage Pine Collection 5-Shelf Bookcase, Albany Pine Finish, *Special Order"/>
    <n v="383.46559999999999"/>
    <n v="4"/>
    <n v="-67.670400000000001"/>
    <x v="0"/>
    <x v="9"/>
  </r>
  <r>
    <x v="1760"/>
    <x v="28"/>
    <m/>
    <n v="42714"/>
    <x v="0"/>
    <s v="HE-14800"/>
    <s v="Harold Engle"/>
    <x v="1"/>
    <s v="United States"/>
    <x v="19"/>
    <x v="14"/>
    <x v="2"/>
    <s v="FUR-FU-10002671"/>
    <s v="Furniture"/>
    <x v="3"/>
    <s v="Electrix 20W Halogen Replacement Bulb for Zoom-In Desk Lamp"/>
    <n v="13.4"/>
    <n v="1"/>
    <n v="6.4320000000000004"/>
    <x v="2"/>
    <x v="5"/>
  </r>
  <r>
    <x v="1761"/>
    <x v="329"/>
    <m/>
    <n v="42256"/>
    <x v="0"/>
    <s v="SW-20455"/>
    <s v="Shaun Weien"/>
    <x v="0"/>
    <s v="United States"/>
    <x v="120"/>
    <x v="35"/>
    <x v="0"/>
    <s v="FUR-TA-10001039"/>
    <s v="Furniture"/>
    <x v="2"/>
    <s v="KI Adjustable-Height Table"/>
    <n v="85.98"/>
    <n v="1"/>
    <n v="22.354800000000001"/>
    <x v="0"/>
    <x v="4"/>
  </r>
  <r>
    <x v="1762"/>
    <x v="888"/>
    <m/>
    <n v="41662"/>
    <x v="0"/>
    <s v="TB-21400"/>
    <s v="Tom Boeckenhauer"/>
    <x v="0"/>
    <s v="United States"/>
    <x v="89"/>
    <x v="1"/>
    <x v="0"/>
    <s v="FUR-FU-10001889"/>
    <s v="Furniture"/>
    <x v="3"/>
    <s v="Ultra Door Pull Handle"/>
    <n v="25.248000000000001"/>
    <n v="3"/>
    <n v="4.1028000000000002"/>
    <x v="3"/>
    <x v="8"/>
  </r>
  <r>
    <x v="1763"/>
    <x v="194"/>
    <m/>
    <n v="42797"/>
    <x v="1"/>
    <s v="DB-13060"/>
    <s v="Dave Brooks"/>
    <x v="0"/>
    <s v="United States"/>
    <x v="46"/>
    <x v="2"/>
    <x v="1"/>
    <s v="FUR-FU-10000747"/>
    <s v="Furniture"/>
    <x v="3"/>
    <s v="Tenex B1-RE Series Chair Mats for Low Pile Carpets"/>
    <n v="91.96"/>
    <n v="2"/>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F48C3F-BB00-40B4-A3B7-69D80EBA280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B21:C25" firstHeaderRow="1" firstDataRow="1" firstDataCol="1"/>
  <pivotFields count="24">
    <pivotField dataField="1"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4">
    <i>
      <x/>
    </i>
    <i>
      <x v="1"/>
    </i>
    <i>
      <x v="2"/>
    </i>
    <i>
      <x v="3"/>
    </i>
  </rowItems>
  <colItems count="1">
    <i/>
  </colItems>
  <dataFields count="1">
    <dataField name="Count of Order ID" fld="0" subtotal="count" baseField="0" baseItem="0"/>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0A8524-1FE9-4C1D-A83A-1EA75AB795B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F29:G37" firstHeaderRow="1" firstDataRow="1" firstDataCol="1"/>
  <pivotFields count="24">
    <pivotField dataField="1"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pivotField showAll="0" defaultSubtotal="0"/>
    <pivotField showAll="0" defaultSubtotal="0"/>
    <pivotField showAll="0" defaultSubtotal="0">
      <items count="6">
        <item x="0"/>
        <item x="1"/>
        <item x="2"/>
        <item x="3"/>
        <item x="4"/>
        <item x="5"/>
      </items>
    </pivotField>
  </pivotFields>
  <rowFields count="1">
    <field x="19"/>
  </rowFields>
  <rowItems count="8">
    <i>
      <x/>
    </i>
    <i>
      <x v="1"/>
    </i>
    <i>
      <x v="2"/>
    </i>
    <i>
      <x v="3"/>
    </i>
    <i>
      <x v="4"/>
    </i>
    <i>
      <x v="5"/>
    </i>
    <i>
      <x v="6"/>
    </i>
    <i>
      <x v="7"/>
    </i>
  </rowItems>
  <colItems count="1">
    <i/>
  </colItems>
  <dataFields count="1">
    <dataField name="Count of Order ID" fld="0" subtotal="count" showDataAs="percentOfTotal" baseField="19" baseItem="3" numFmtId="9"/>
  </dataFields>
  <formats count="1">
    <format dxfId="2">
      <pivotArea outline="0" collapsedLevelsAreSubtotals="1" fieldPosition="0"/>
    </format>
  </formats>
  <chartFormats count="3">
    <chartFormat chart="6" format="1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73A1E1-F1CC-414B-8C39-49FA0132ADA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H45:I55" firstHeaderRow="1" firstDataRow="1" firstDataCol="1"/>
  <pivotFields count="24">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pivotField showAll="0"/>
    <pivotField showAll="0"/>
    <pivotField showAll="0"/>
    <pivotField showAll="0"/>
    <pivotField axis="axisRow" showAll="0" measureFilter="1" sortType="ascending">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autoSortScope>
        <pivotArea dataOnly="0" outline="0" fieldPosition="0">
          <references count="1">
            <reference field="4294967294" count="1" selected="0">
              <x v="0"/>
            </reference>
          </references>
        </pivotArea>
      </autoSortScope>
    </pivotField>
    <pivotField showAll="0"/>
    <pivotField showAll="0">
      <items count="5">
        <item h="1" x="3"/>
        <item h="1" x="2"/>
        <item h="1" x="0"/>
        <item x="1"/>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9"/>
  </rowFields>
  <rowItems count="10">
    <i>
      <x v="323"/>
    </i>
    <i>
      <x v="54"/>
    </i>
    <i>
      <x v="87"/>
    </i>
    <i>
      <x v="306"/>
    </i>
    <i>
      <x v="146"/>
    </i>
    <i>
      <x v="307"/>
    </i>
    <i>
      <x v="264"/>
    </i>
    <i>
      <x v="316"/>
    </i>
    <i>
      <x v="184"/>
    </i>
    <i>
      <x v="232"/>
    </i>
  </rowItems>
  <colItems count="1">
    <i/>
  </colItems>
  <dataFields count="1">
    <dataField name="Sum of Sales" fld="16" baseField="0" baseItem="0" numFmtId="165"/>
  </dataFields>
  <formats count="1">
    <format dxfId="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1B9012-F8F2-479A-B1C4-F97C0DADE58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F21:G25" firstHeaderRow="1" firstDataRow="1" firstDataCol="1"/>
  <pivotFields count="24">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x v="3"/>
    </i>
  </rowItems>
  <colItems count="1">
    <i/>
  </colItems>
  <dataFields count="1">
    <dataField name="Sum of Sales" fld="16" baseField="0" baseItem="0"/>
  </dataFields>
  <formats count="1">
    <format dxfId="4">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D1C5BD-1994-4AED-BBC8-F405500908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8" firstHeaderRow="0" firstDataRow="1" firstDataCol="1"/>
  <pivotFields count="24">
    <pivotField showAll="0"/>
    <pivotField axis="axisRow"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1"/>
  </rowFields>
  <rowItems count="5">
    <i>
      <x v="1"/>
    </i>
    <i>
      <x v="2"/>
    </i>
    <i>
      <x v="3"/>
    </i>
    <i>
      <x v="4"/>
    </i>
    <i t="grand">
      <x/>
    </i>
  </rowItems>
  <colFields count="1">
    <field x="-2"/>
  </colFields>
  <colItems count="3">
    <i>
      <x/>
    </i>
    <i i="1">
      <x v="1"/>
    </i>
    <i i="2">
      <x v="2"/>
    </i>
  </colItems>
  <dataFields count="3">
    <dataField name="Sum of Sales" fld="16" baseField="0" baseItem="0"/>
    <dataField name="Sum of Quantity" fld="17" baseField="0" baseItem="0"/>
    <dataField name="Sum of Profit" fld="18" baseField="0" baseItem="0"/>
  </dataFields>
  <formats count="15">
    <format dxfId="19">
      <pivotArea field="23" grandRow="1" outline="0" collapsedLevelsAreSubtotals="1" axis="axisRow" fieldPosition="0">
        <references count="1">
          <reference field="4294967294" count="1" selected="0">
            <x v="0"/>
          </reference>
        </references>
      </pivotArea>
    </format>
    <format dxfId="18">
      <pivotArea field="23" grandRow="1" outline="0" collapsedLevelsAreSubtotals="1" axis="axisRow" fieldPosition="0">
        <references count="1">
          <reference field="4294967294" count="1" selected="0">
            <x v="2"/>
          </reference>
        </references>
      </pivotArea>
    </format>
    <format dxfId="17">
      <pivotArea field="23" grandRow="1" outline="0" collapsedLevelsAreSubtotals="1" axis="axisRow" fieldPosition="0">
        <references count="1">
          <reference field="4294967294" count="1" selected="0">
            <x v="1"/>
          </reference>
        </references>
      </pivotArea>
    </format>
    <format dxfId="16">
      <pivotArea collapsedLevelsAreSubtotals="1" fieldPosition="0">
        <references count="2">
          <reference field="4294967294" count="1" selected="0">
            <x v="0"/>
          </reference>
          <reference field="23" count="1">
            <x v="1"/>
          </reference>
        </references>
      </pivotArea>
    </format>
    <format dxfId="15">
      <pivotArea collapsedLevelsAreSubtotals="1" fieldPosition="0">
        <references count="2">
          <reference field="4294967294" count="1" selected="0">
            <x v="1"/>
          </reference>
          <reference field="23" count="1">
            <x v="1"/>
          </reference>
        </references>
      </pivotArea>
    </format>
    <format dxfId="14">
      <pivotArea collapsedLevelsAreSubtotals="1" fieldPosition="0">
        <references count="2">
          <reference field="4294967294" count="1" selected="0">
            <x v="2"/>
          </reference>
          <reference field="23" count="1">
            <x v="1"/>
          </reference>
        </references>
      </pivotArea>
    </format>
    <format dxfId="13">
      <pivotArea collapsedLevelsAreSubtotals="1" fieldPosition="0">
        <references count="2">
          <reference field="4294967294" count="1" selected="0">
            <x v="0"/>
          </reference>
          <reference field="23" count="1">
            <x v="2"/>
          </reference>
        </references>
      </pivotArea>
    </format>
    <format dxfId="12">
      <pivotArea collapsedLevelsAreSubtotals="1" fieldPosition="0">
        <references count="2">
          <reference field="4294967294" count="1" selected="0">
            <x v="0"/>
          </reference>
          <reference field="23" count="1">
            <x v="3"/>
          </reference>
        </references>
      </pivotArea>
    </format>
    <format dxfId="11">
      <pivotArea collapsedLevelsAreSubtotals="1" fieldPosition="0">
        <references count="2">
          <reference field="4294967294" count="1" selected="0">
            <x v="0"/>
          </reference>
          <reference field="23" count="1">
            <x v="4"/>
          </reference>
        </references>
      </pivotArea>
    </format>
    <format dxfId="10">
      <pivotArea collapsedLevelsAreSubtotals="1" fieldPosition="0">
        <references count="2">
          <reference field="4294967294" count="1" selected="0">
            <x v="1"/>
          </reference>
          <reference field="23" count="1">
            <x v="2"/>
          </reference>
        </references>
      </pivotArea>
    </format>
    <format dxfId="9">
      <pivotArea collapsedLevelsAreSubtotals="1" fieldPosition="0">
        <references count="2">
          <reference field="4294967294" count="1" selected="0">
            <x v="1"/>
          </reference>
          <reference field="23" count="1">
            <x v="3"/>
          </reference>
        </references>
      </pivotArea>
    </format>
    <format dxfId="8">
      <pivotArea collapsedLevelsAreSubtotals="1" fieldPosition="0">
        <references count="2">
          <reference field="4294967294" count="1" selected="0">
            <x v="1"/>
          </reference>
          <reference field="23" count="1">
            <x v="4"/>
          </reference>
        </references>
      </pivotArea>
    </format>
    <format dxfId="7">
      <pivotArea collapsedLevelsAreSubtotals="1" fieldPosition="0">
        <references count="2">
          <reference field="4294967294" count="1" selected="0">
            <x v="2"/>
          </reference>
          <reference field="23" count="1">
            <x v="2"/>
          </reference>
        </references>
      </pivotArea>
    </format>
    <format dxfId="6">
      <pivotArea collapsedLevelsAreSubtotals="1" fieldPosition="0">
        <references count="2">
          <reference field="4294967294" count="1" selected="0">
            <x v="2"/>
          </reference>
          <reference field="23" count="1">
            <x v="3"/>
          </reference>
        </references>
      </pivotArea>
    </format>
    <format dxfId="5">
      <pivotArea collapsedLevelsAreSubtotals="1" fieldPosition="0">
        <references count="2">
          <reference field="4294967294" count="1" selected="0">
            <x v="2"/>
          </reference>
          <reference field="23"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BA5C2B-C811-482E-A5B2-ED46732030D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29:C41" firstHeaderRow="1" firstDataRow="1" firstDataCol="1"/>
  <pivotFields count="24">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axis="axisRow" showAll="0">
      <items count="13">
        <item x="8"/>
        <item x="11"/>
        <item x="9"/>
        <item x="6"/>
        <item x="7"/>
        <item x="2"/>
        <item x="3"/>
        <item x="10"/>
        <item x="4"/>
        <item x="1"/>
        <item x="0"/>
        <item x="5"/>
        <item t="default"/>
      </items>
    </pivotField>
    <pivotField showAll="0" defaultSubtotal="0"/>
    <pivotField showAll="0" defaultSubtotal="0"/>
    <pivotField showAll="0" defaultSubtotal="0">
      <items count="6">
        <item x="0"/>
        <item x="1"/>
        <item x="2"/>
        <item x="3"/>
        <item x="4"/>
        <item x="5"/>
      </items>
    </pivotField>
  </pivotFields>
  <rowFields count="1">
    <field x="20"/>
  </rowFields>
  <rowItems count="12">
    <i>
      <x/>
    </i>
    <i>
      <x v="1"/>
    </i>
    <i>
      <x v="2"/>
    </i>
    <i>
      <x v="3"/>
    </i>
    <i>
      <x v="4"/>
    </i>
    <i>
      <x v="5"/>
    </i>
    <i>
      <x v="6"/>
    </i>
    <i>
      <x v="7"/>
    </i>
    <i>
      <x v="8"/>
    </i>
    <i>
      <x v="9"/>
    </i>
    <i>
      <x v="10"/>
    </i>
    <i>
      <x v="11"/>
    </i>
  </rowItems>
  <colItems count="1">
    <i/>
  </colItems>
  <dataFields count="1">
    <dataField name="Sum of Sales" fld="16" baseField="0" baseItem="0" numFmtId="165"/>
  </dataFields>
  <formats count="1">
    <format dxfId="20">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12FD2E-8371-4ECC-948F-A5CED7E4B89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B45:C93" firstHeaderRow="1" firstDataRow="1" firstDataCol="1"/>
  <pivotFields count="24">
    <pivotField showAll="0">
      <items count="1765">
        <item x="1105"/>
        <item x="1155"/>
        <item x="1594"/>
        <item x="1338"/>
        <item x="1206"/>
        <item x="903"/>
        <item x="277"/>
        <item x="680"/>
        <item x="418"/>
        <item x="1057"/>
        <item x="639"/>
        <item x="1688"/>
        <item x="1437"/>
        <item x="1620"/>
        <item x="946"/>
        <item x="934"/>
        <item x="92"/>
        <item x="691"/>
        <item x="1083"/>
        <item x="1042"/>
        <item x="29"/>
        <item x="401"/>
        <item x="123"/>
        <item x="1703"/>
        <item x="914"/>
        <item x="957"/>
        <item x="1008"/>
        <item x="1356"/>
        <item x="1543"/>
        <item x="677"/>
        <item x="830"/>
        <item x="589"/>
        <item x="361"/>
        <item x="132"/>
        <item x="791"/>
        <item x="1118"/>
        <item x="847"/>
        <item x="567"/>
        <item x="828"/>
        <item x="1167"/>
        <item x="1175"/>
        <item x="534"/>
        <item x="790"/>
        <item x="1459"/>
        <item x="479"/>
        <item x="27"/>
        <item x="800"/>
        <item x="346"/>
        <item x="1762"/>
        <item x="718"/>
        <item x="895"/>
        <item x="48"/>
        <item x="1081"/>
        <item x="120"/>
        <item x="1110"/>
        <item x="1733"/>
        <item x="1627"/>
        <item x="848"/>
        <item x="1404"/>
        <item x="935"/>
        <item x="918"/>
        <item x="1150"/>
        <item x="1333"/>
        <item x="1742"/>
        <item x="1712"/>
        <item x="1039"/>
        <item x="1715"/>
        <item x="1602"/>
        <item x="703"/>
        <item x="909"/>
        <item x="604"/>
        <item x="167"/>
        <item x="2"/>
        <item x="1293"/>
        <item x="1665"/>
        <item x="885"/>
        <item x="972"/>
        <item x="712"/>
        <item x="330"/>
        <item x="322"/>
        <item x="125"/>
        <item x="1256"/>
        <item x="1048"/>
        <item x="1264"/>
        <item x="31"/>
        <item x="1542"/>
        <item x="831"/>
        <item x="556"/>
        <item x="1232"/>
        <item x="1563"/>
        <item x="310"/>
        <item x="654"/>
        <item x="250"/>
        <item x="1454"/>
        <item x="53"/>
        <item x="898"/>
        <item x="1305"/>
        <item x="1251"/>
        <item x="708"/>
        <item x="1748"/>
        <item x="292"/>
        <item x="721"/>
        <item x="368"/>
        <item x="625"/>
        <item x="1053"/>
        <item x="1218"/>
        <item x="128"/>
        <item x="881"/>
        <item x="626"/>
        <item x="1701"/>
        <item x="1568"/>
        <item x="1235"/>
        <item x="1012"/>
        <item x="1378"/>
        <item x="1326"/>
        <item x="1631"/>
        <item x="760"/>
        <item x="1658"/>
        <item x="473"/>
        <item x="977"/>
        <item x="678"/>
        <item x="990"/>
        <item x="213"/>
        <item x="289"/>
        <item x="1726"/>
        <item x="460"/>
        <item x="870"/>
        <item x="980"/>
        <item x="1146"/>
        <item x="1412"/>
        <item x="57"/>
        <item x="1319"/>
        <item x="121"/>
        <item x="1690"/>
        <item x="1164"/>
        <item x="1520"/>
        <item x="467"/>
        <item x="1400"/>
        <item x="364"/>
        <item x="1078"/>
        <item x="536"/>
        <item x="101"/>
        <item x="991"/>
        <item x="42"/>
        <item x="953"/>
        <item x="314"/>
        <item x="1230"/>
        <item x="697"/>
        <item x="1359"/>
        <item x="34"/>
        <item x="155"/>
        <item x="595"/>
        <item x="882"/>
        <item x="657"/>
        <item x="297"/>
        <item x="566"/>
        <item x="200"/>
        <item x="442"/>
        <item x="945"/>
        <item x="1283"/>
        <item x="1317"/>
        <item x="1601"/>
        <item x="539"/>
        <item x="824"/>
        <item x="30"/>
        <item x="794"/>
        <item x="906"/>
        <item x="145"/>
        <item x="378"/>
        <item x="1046"/>
        <item x="336"/>
        <item x="514"/>
        <item x="1532"/>
        <item x="295"/>
        <item x="475"/>
        <item x="1408"/>
        <item x="1375"/>
        <item x="558"/>
        <item x="443"/>
        <item x="1184"/>
        <item x="1622"/>
        <item x="1199"/>
        <item x="80"/>
        <item x="1419"/>
        <item x="476"/>
        <item x="737"/>
        <item x="97"/>
        <item x="1001"/>
        <item x="367"/>
        <item x="921"/>
        <item x="951"/>
        <item x="1541"/>
        <item x="198"/>
        <item x="462"/>
        <item x="1205"/>
        <item x="510"/>
        <item x="431"/>
        <item x="999"/>
        <item x="151"/>
        <item x="483"/>
        <item x="1137"/>
        <item x="1140"/>
        <item x="102"/>
        <item x="273"/>
        <item x="838"/>
        <item x="1174"/>
        <item x="1240"/>
        <item x="784"/>
        <item x="425"/>
        <item x="1700"/>
        <item x="257"/>
        <item x="1522"/>
        <item x="1357"/>
        <item x="143"/>
        <item x="1667"/>
        <item x="869"/>
        <item x="666"/>
        <item x="232"/>
        <item x="1159"/>
        <item x="1655"/>
        <item x="494"/>
        <item x="982"/>
        <item x="715"/>
        <item x="254"/>
        <item x="1043"/>
        <item x="485"/>
        <item x="1705"/>
        <item x="112"/>
        <item x="284"/>
        <item x="863"/>
        <item x="1579"/>
        <item x="859"/>
        <item x="519"/>
        <item x="400"/>
        <item x="733"/>
        <item x="487"/>
        <item x="579"/>
        <item x="174"/>
        <item x="643"/>
        <item x="839"/>
        <item x="192"/>
        <item x="588"/>
        <item x="376"/>
        <item x="1659"/>
        <item x="640"/>
        <item x="771"/>
        <item x="862"/>
        <item x="1571"/>
        <item x="887"/>
        <item x="1636"/>
        <item x="1471"/>
        <item x="1348"/>
        <item x="759"/>
        <item x="530"/>
        <item x="1292"/>
        <item x="169"/>
        <item x="1076"/>
        <item x="1281"/>
        <item x="179"/>
        <item x="1736"/>
        <item x="1220"/>
        <item x="433"/>
        <item x="578"/>
        <item x="348"/>
        <item x="973"/>
        <item x="54"/>
        <item x="1127"/>
        <item x="1154"/>
        <item x="1013"/>
        <item x="911"/>
        <item x="630"/>
        <item x="272"/>
        <item x="1130"/>
        <item x="765"/>
        <item x="753"/>
        <item x="1318"/>
        <item x="1666"/>
        <item x="1111"/>
        <item x="1439"/>
        <item x="745"/>
        <item x="1469"/>
        <item x="1628"/>
        <item x="214"/>
        <item x="1722"/>
        <item x="803"/>
        <item x="1147"/>
        <item x="337"/>
        <item x="875"/>
        <item x="1303"/>
        <item x="147"/>
        <item x="1055"/>
        <item x="1673"/>
        <item x="1353"/>
        <item x="139"/>
        <item x="33"/>
        <item x="1502"/>
        <item x="673"/>
        <item x="1637"/>
        <item x="89"/>
        <item x="1142"/>
        <item x="1006"/>
        <item x="1546"/>
        <item x="874"/>
        <item x="796"/>
        <item x="985"/>
        <item x="840"/>
        <item x="499"/>
        <item x="1229"/>
        <item x="1754"/>
        <item x="411"/>
        <item x="919"/>
        <item x="727"/>
        <item x="710"/>
        <item x="754"/>
        <item x="834"/>
        <item x="1423"/>
        <item x="1381"/>
        <item x="4"/>
        <item x="1161"/>
        <item x="1354"/>
        <item x="668"/>
        <item x="1026"/>
        <item x="1529"/>
        <item x="177"/>
        <item x="1321"/>
        <item x="1228"/>
        <item x="334"/>
        <item x="1148"/>
        <item x="189"/>
        <item x="20"/>
        <item x="186"/>
        <item x="1486"/>
        <item x="1409"/>
        <item x="1395"/>
        <item x="1567"/>
        <item x="922"/>
        <item x="1654"/>
        <item x="415"/>
        <item x="1687"/>
        <item x="274"/>
        <item x="818"/>
        <item x="1227"/>
        <item x="1024"/>
        <item x="1097"/>
        <item x="165"/>
        <item x="1445"/>
        <item x="406"/>
        <item x="1291"/>
        <item x="1064"/>
        <item x="447"/>
        <item x="672"/>
        <item x="1344"/>
        <item x="199"/>
        <item x="1070"/>
        <item x="298"/>
        <item x="355"/>
        <item x="148"/>
        <item x="1451"/>
        <item x="605"/>
        <item x="902"/>
        <item x="8"/>
        <item x="482"/>
        <item x="223"/>
        <item x="138"/>
        <item x="1102"/>
        <item x="1702"/>
        <item x="464"/>
        <item x="1716"/>
        <item x="7"/>
        <item x="810"/>
        <item x="279"/>
        <item x="939"/>
        <item x="1192"/>
        <item x="801"/>
        <item x="693"/>
        <item x="932"/>
        <item x="992"/>
        <item x="1003"/>
        <item x="1415"/>
        <item x="1446"/>
        <item x="365"/>
        <item x="239"/>
        <item x="228"/>
        <item x="1213"/>
        <item x="596"/>
        <item x="1420"/>
        <item x="638"/>
        <item x="565"/>
        <item x="1023"/>
        <item x="477"/>
        <item x="775"/>
        <item x="1452"/>
        <item x="357"/>
        <item x="864"/>
        <item x="496"/>
        <item x="63"/>
        <item x="1727"/>
        <item x="1588"/>
        <item x="1179"/>
        <item x="543"/>
        <item x="722"/>
        <item x="178"/>
        <item x="1630"/>
        <item x="173"/>
        <item x="632"/>
        <item x="967"/>
        <item x="913"/>
        <item x="1290"/>
        <item x="1562"/>
        <item x="557"/>
        <item x="1513"/>
        <item x="797"/>
        <item x="249"/>
        <item x="1022"/>
        <item x="1152"/>
        <item x="1379"/>
        <item x="349"/>
        <item x="681"/>
        <item x="1559"/>
        <item x="1664"/>
        <item x="1246"/>
        <item x="646"/>
        <item x="1197"/>
        <item x="100"/>
        <item x="388"/>
        <item x="610"/>
        <item x="686"/>
        <item x="1709"/>
        <item x="1060"/>
        <item x="1223"/>
        <item x="814"/>
        <item x="608"/>
        <item x="308"/>
        <item x="1657"/>
        <item x="46"/>
        <item x="1358"/>
        <item x="278"/>
        <item x="1435"/>
        <item x="321"/>
        <item x="316"/>
        <item x="1534"/>
        <item x="391"/>
        <item x="1750"/>
        <item x="1413"/>
        <item x="685"/>
        <item x="649"/>
        <item x="1368"/>
        <item x="1093"/>
        <item x="362"/>
        <item x="1554"/>
        <item x="157"/>
        <item x="1095"/>
        <item x="373"/>
        <item x="91"/>
        <item x="1021"/>
        <item x="1685"/>
        <item x="130"/>
        <item x="324"/>
        <item x="1173"/>
        <item x="470"/>
        <item x="10"/>
        <item x="498"/>
        <item x="1684"/>
        <item x="732"/>
        <item x="876"/>
        <item x="1448"/>
        <item x="879"/>
        <item x="1347"/>
        <item x="1212"/>
        <item x="1380"/>
        <item x="532"/>
        <item x="849"/>
        <item x="719"/>
        <item x="1219"/>
        <item x="1315"/>
        <item x="387"/>
        <item x="104"/>
        <item x="490"/>
        <item x="306"/>
        <item x="1366"/>
        <item x="572"/>
        <item x="251"/>
        <item x="535"/>
        <item x="484"/>
        <item x="1460"/>
        <item x="260"/>
        <item x="1561"/>
        <item x="142"/>
        <item x="989"/>
        <item x="878"/>
        <item x="1165"/>
        <item x="1450"/>
        <item x="1758"/>
        <item x="1231"/>
        <item x="343"/>
        <item x="119"/>
        <item x="358"/>
        <item x="904"/>
        <item x="1340"/>
        <item x="399"/>
        <item x="291"/>
        <item x="286"/>
        <item x="1692"/>
        <item x="1386"/>
        <item x="51"/>
        <item x="135"/>
        <item x="1276"/>
        <item x="841"/>
        <item x="268"/>
        <item x="1560"/>
        <item x="1194"/>
        <item x="1310"/>
        <item x="587"/>
        <item x="427"/>
        <item x="36"/>
        <item x="111"/>
        <item x="808"/>
        <item x="453"/>
        <item x="571"/>
        <item x="1691"/>
        <item x="497"/>
        <item x="1280"/>
        <item x="1382"/>
        <item x="1604"/>
        <item x="404"/>
        <item x="1696"/>
        <item x="16"/>
        <item x="1126"/>
        <item x="1723"/>
        <item x="492"/>
        <item x="613"/>
        <item x="735"/>
        <item x="1099"/>
        <item x="651"/>
        <item x="1632"/>
        <item x="766"/>
        <item x="867"/>
        <item x="886"/>
        <item x="614"/>
        <item x="264"/>
        <item x="1178"/>
        <item x="171"/>
        <item x="728"/>
        <item x="1465"/>
        <item x="1201"/>
        <item x="137"/>
        <item x="762"/>
        <item x="1233"/>
        <item x="741"/>
        <item x="45"/>
        <item x="375"/>
        <item x="648"/>
        <item x="860"/>
        <item x="1183"/>
        <item x="684"/>
        <item x="1511"/>
        <item x="627"/>
        <item x="339"/>
        <item x="1369"/>
        <item x="1084"/>
        <item x="370"/>
        <item x="1603"/>
        <item x="1351"/>
        <item x="897"/>
        <item x="1091"/>
        <item x="606"/>
        <item x="709"/>
        <item x="1005"/>
        <item x="1730"/>
        <item x="172"/>
        <item x="917"/>
        <item x="1610"/>
        <item x="38"/>
        <item x="1611"/>
        <item x="1249"/>
        <item x="1525"/>
        <item x="1740"/>
        <item x="1663"/>
        <item x="369"/>
        <item x="1596"/>
        <item x="1668"/>
        <item x="1153"/>
        <item x="750"/>
        <item x="688"/>
        <item x="663"/>
        <item x="106"/>
        <item x="1759"/>
        <item x="1442"/>
        <item x="547"/>
        <item x="960"/>
        <item x="522"/>
        <item x="446"/>
        <item x="1195"/>
        <item x="37"/>
        <item x="263"/>
        <item x="1633"/>
        <item x="1103"/>
        <item x="311"/>
        <item x="1438"/>
        <item x="1131"/>
        <item x="1059"/>
        <item x="1268"/>
        <item x="1387"/>
        <item x="1309"/>
        <item x="1343"/>
        <item x="1514"/>
        <item x="1597"/>
        <item x="1576"/>
        <item x="1552"/>
        <item x="182"/>
        <item x="1041"/>
        <item x="21"/>
        <item x="1115"/>
        <item x="637"/>
        <item x="1262"/>
        <item x="1166"/>
        <item x="1676"/>
        <item x="1660"/>
        <item x="1299"/>
        <item x="1335"/>
        <item x="1424"/>
        <item x="1714"/>
        <item x="1222"/>
        <item x="1606"/>
        <item x="392"/>
        <item x="1242"/>
        <item x="1704"/>
        <item x="1328"/>
        <item x="193"/>
        <item x="629"/>
        <item x="1526"/>
        <item x="1608"/>
        <item x="706"/>
        <item x="988"/>
        <item x="64"/>
        <item x="1503"/>
        <item x="1196"/>
        <item x="77"/>
        <item x="1266"/>
        <item x="1302"/>
        <item x="309"/>
        <item x="26"/>
        <item x="47"/>
        <item x="1587"/>
        <item x="1301"/>
        <item x="890"/>
        <item x="9"/>
        <item x="197"/>
        <item x="344"/>
        <item x="347"/>
        <item x="1745"/>
        <item x="180"/>
        <item x="1558"/>
        <item x="95"/>
        <item x="1530"/>
        <item x="1116"/>
        <item x="203"/>
        <item x="1279"/>
        <item x="1481"/>
        <item x="924"/>
        <item x="1141"/>
        <item x="1550"/>
        <item x="28"/>
        <item x="1364"/>
        <item x="207"/>
        <item x="1295"/>
        <item x="1648"/>
        <item x="698"/>
        <item x="438"/>
        <item x="896"/>
        <item x="408"/>
        <item x="72"/>
        <item x="107"/>
        <item x="1453"/>
        <item x="819"/>
        <item x="1681"/>
        <item x="1432"/>
        <item x="152"/>
        <item x="662"/>
        <item x="1555"/>
        <item x="6"/>
        <item x="942"/>
        <item x="1062"/>
        <item x="421"/>
        <item x="1436"/>
        <item x="1492"/>
        <item x="1087"/>
        <item x="1002"/>
        <item x="1479"/>
        <item x="793"/>
        <item x="1362"/>
        <item x="1512"/>
        <item x="436"/>
        <item x="220"/>
        <item x="1713"/>
        <item x="907"/>
        <item x="788"/>
        <item x="696"/>
        <item x="835"/>
        <item x="805"/>
        <item x="763"/>
        <item x="1263"/>
        <item x="833"/>
        <item x="1545"/>
        <item x="789"/>
        <item x="844"/>
        <item x="1593"/>
        <item x="937"/>
        <item x="1019"/>
        <item x="269"/>
        <item x="952"/>
        <item x="1710"/>
        <item x="1743"/>
        <item x="899"/>
        <item x="1455"/>
        <item x="933"/>
        <item x="150"/>
        <item x="1275"/>
        <item x="1162"/>
        <item x="1721"/>
        <item x="1516"/>
        <item x="751"/>
        <item x="1204"/>
        <item x="1066"/>
        <item x="1075"/>
        <item x="736"/>
        <item x="444"/>
        <item x="1073"/>
        <item x="540"/>
        <item x="747"/>
        <item x="1015"/>
        <item x="1104"/>
        <item x="1496"/>
        <item x="1686"/>
        <item x="210"/>
        <item x="84"/>
        <item x="994"/>
        <item x="653"/>
        <item x="1734"/>
        <item x="1625"/>
        <item x="1671"/>
        <item x="1044"/>
        <item x="1120"/>
        <item x="1298"/>
        <item x="181"/>
        <item x="983"/>
        <item x="1029"/>
        <item x="506"/>
        <item x="1385"/>
        <item x="384"/>
        <item x="1613"/>
        <item x="889"/>
        <item x="1121"/>
        <item x="1689"/>
        <item x="1753"/>
        <item x="1304"/>
        <item x="1221"/>
        <item x="1697"/>
        <item x="807"/>
        <item x="603"/>
        <item x="1037"/>
        <item x="1429"/>
        <item x="245"/>
        <item x="1698"/>
        <item x="512"/>
        <item x="1488"/>
        <item x="1614"/>
        <item x="206"/>
        <item x="1061"/>
        <item x="624"/>
        <item x="1440"/>
        <item x="770"/>
        <item x="1285"/>
        <item x="1605"/>
        <item x="1515"/>
        <item x="1616"/>
        <item x="1274"/>
        <item x="821"/>
        <item x="1089"/>
        <item x="871"/>
        <item x="1031"/>
        <item x="1441"/>
        <item x="1583"/>
        <item x="1376"/>
        <item x="974"/>
        <item x="1181"/>
        <item x="963"/>
        <item x="705"/>
        <item x="1032"/>
        <item x="1728"/>
        <item x="247"/>
        <item x="505"/>
        <item x="93"/>
        <item x="359"/>
        <item x="1332"/>
        <item x="969"/>
        <item x="222"/>
        <item x="208"/>
        <item x="636"/>
        <item x="461"/>
        <item x="1267"/>
        <item x="1707"/>
        <item x="474"/>
        <item x="58"/>
        <item x="1339"/>
        <item x="574"/>
        <item x="1352"/>
        <item x="393"/>
        <item x="538"/>
        <item x="804"/>
        <item x="1463"/>
        <item x="817"/>
        <item x="845"/>
        <item x="1125"/>
        <item x="581"/>
        <item x="131"/>
        <item x="1557"/>
        <item x="381"/>
        <item x="225"/>
        <item x="1507"/>
        <item x="124"/>
        <item x="1007"/>
        <item x="49"/>
        <item x="1484"/>
        <item x="229"/>
        <item x="1020"/>
        <item x="52"/>
        <item x="160"/>
        <item x="1609"/>
        <item x="1085"/>
        <item x="734"/>
        <item x="816"/>
        <item x="1284"/>
        <item x="1443"/>
        <item x="212"/>
        <item x="1504"/>
        <item x="448"/>
        <item x="168"/>
        <item x="645"/>
        <item x="987"/>
        <item x="723"/>
        <item x="1236"/>
        <item x="25"/>
        <item x="1572"/>
        <item x="713"/>
        <item x="353"/>
        <item x="227"/>
        <item x="599"/>
        <item x="621"/>
        <item x="488"/>
        <item x="441"/>
        <item x="1399"/>
        <item x="1760"/>
        <item x="573"/>
        <item x="1720"/>
        <item x="435"/>
        <item x="108"/>
        <item x="776"/>
        <item x="335"/>
        <item x="293"/>
        <item x="1261"/>
        <item x="1077"/>
        <item x="1391"/>
        <item x="1683"/>
        <item x="67"/>
        <item x="1160"/>
        <item x="466"/>
        <item x="1677"/>
        <item x="1752"/>
        <item x="866"/>
        <item x="201"/>
        <item x="1289"/>
        <item x="312"/>
        <item x="1393"/>
        <item x="1278"/>
        <item x="660"/>
        <item x="564"/>
        <item x="1570"/>
        <item x="1551"/>
        <item x="658"/>
        <item x="1068"/>
        <item x="0"/>
        <item x="1028"/>
        <item x="256"/>
        <item x="635"/>
        <item x="81"/>
        <item x="1621"/>
        <item x="1272"/>
        <item x="1202"/>
        <item x="1472"/>
        <item x="517"/>
        <item x="943"/>
        <item x="382"/>
        <item x="930"/>
        <item x="1030"/>
        <item x="1065"/>
        <item x="507"/>
        <item x="221"/>
        <item x="43"/>
        <item x="1186"/>
        <item x="873"/>
        <item x="60"/>
        <item x="667"/>
        <item x="1389"/>
        <item x="217"/>
        <item x="664"/>
        <item x="912"/>
        <item x="426"/>
        <item x="671"/>
        <item x="699"/>
        <item x="1510"/>
        <item x="133"/>
        <item x="1086"/>
        <item x="288"/>
        <item x="1582"/>
        <item x="744"/>
        <item x="633"/>
        <item x="1225"/>
        <item x="188"/>
        <item x="1402"/>
        <item x="41"/>
        <item x="323"/>
        <item x="1738"/>
        <item x="827"/>
        <item x="877"/>
        <item x="1342"/>
        <item x="1414"/>
        <item x="1501"/>
        <item x="1649"/>
        <item x="414"/>
        <item x="1034"/>
        <item x="584"/>
        <item x="823"/>
        <item x="420"/>
        <item x="1617"/>
        <item x="518"/>
        <item x="1388"/>
        <item x="856"/>
        <item x="500"/>
        <item x="109"/>
        <item x="1711"/>
        <item x="692"/>
        <item x="1566"/>
        <item x="1051"/>
        <item x="1372"/>
        <item x="1193"/>
        <item x="1456"/>
        <item x="1325"/>
        <item x="591"/>
        <item x="1188"/>
        <item x="1482"/>
        <item x="665"/>
        <item x="852"/>
        <item x="1477"/>
        <item x="1109"/>
        <item x="1297"/>
        <item x="118"/>
        <item x="1049"/>
        <item x="1136"/>
        <item x="1226"/>
        <item x="1480"/>
        <item x="396"/>
        <item x="1260"/>
        <item x="283"/>
        <item x="1674"/>
        <item x="471"/>
        <item x="1755"/>
        <item x="154"/>
        <item x="1241"/>
        <item x="313"/>
        <item x="1182"/>
        <item x="459"/>
        <item x="1112"/>
        <item x="525"/>
        <item x="1635"/>
        <item x="1569"/>
        <item x="319"/>
        <item x="701"/>
        <item x="1394"/>
        <item x="1033"/>
        <item x="1573"/>
        <item x="1651"/>
        <item x="354"/>
        <item x="774"/>
        <item x="318"/>
        <item x="184"/>
        <item x="1462"/>
        <item x="1756"/>
        <item x="1360"/>
        <item x="1157"/>
        <item x="429"/>
        <item x="302"/>
        <item x="211"/>
        <item x="1615"/>
        <item x="1286"/>
        <item x="1071"/>
        <item x="742"/>
        <item x="1253"/>
        <item x="231"/>
        <item x="1189"/>
        <item x="1430"/>
        <item x="451"/>
        <item x="287"/>
        <item x="1079"/>
        <item x="950"/>
        <item x="756"/>
        <item x="1521"/>
        <item x="550"/>
        <item x="1564"/>
        <item x="1457"/>
        <item x="252"/>
        <item x="1100"/>
        <item x="755"/>
        <item x="158"/>
        <item x="439"/>
        <item x="1672"/>
        <item x="1458"/>
        <item x="607"/>
        <item x="1624"/>
        <item x="1330"/>
        <item x="1238"/>
        <item x="836"/>
        <item x="265"/>
        <item x="1565"/>
        <item x="301"/>
        <item x="134"/>
        <item x="1158"/>
        <item x="481"/>
        <item x="1367"/>
        <item x="1350"/>
        <item x="397"/>
        <item x="577"/>
        <item x="1580"/>
        <item x="1314"/>
        <item x="140"/>
        <item x="1600"/>
        <item x="340"/>
        <item x="783"/>
        <item x="920"/>
        <item x="900"/>
        <item x="1518"/>
        <item x="861"/>
        <item x="1444"/>
        <item x="1729"/>
        <item x="1054"/>
        <item x="1108"/>
        <item x="149"/>
        <item x="1180"/>
        <item x="1592"/>
        <item x="389"/>
        <item x="1300"/>
        <item x="450"/>
        <item x="724"/>
        <item x="491"/>
        <item x="465"/>
        <item x="285"/>
        <item x="923"/>
        <item x="122"/>
        <item x="1647"/>
        <item x="1416"/>
        <item x="1646"/>
        <item x="1483"/>
        <item x="1629"/>
        <item x="768"/>
        <item x="1652"/>
        <item x="153"/>
        <item x="1577"/>
        <item x="623"/>
        <item x="469"/>
        <item x="642"/>
        <item x="731"/>
        <item x="785"/>
        <item x="94"/>
        <item x="1370"/>
        <item x="641"/>
        <item x="981"/>
        <item x="1741"/>
        <item x="583"/>
        <item x="1653"/>
        <item x="644"/>
        <item x="88"/>
        <item x="655"/>
        <item x="1719"/>
        <item x="1014"/>
        <item x="1139"/>
        <item x="117"/>
        <item x="1010"/>
        <item x="1047"/>
        <item x="403"/>
        <item x="1313"/>
        <item x="215"/>
        <item x="248"/>
        <item x="966"/>
        <item x="1694"/>
        <item x="949"/>
        <item x="546"/>
        <item x="954"/>
        <item x="1547"/>
        <item x="204"/>
        <item x="997"/>
        <item x="65"/>
        <item x="1523"/>
        <item x="1017"/>
        <item x="1747"/>
        <item x="857"/>
        <item x="961"/>
        <item x="743"/>
        <item x="695"/>
        <item x="103"/>
        <item x="1506"/>
        <item x="1390"/>
        <item x="1490"/>
        <item x="175"/>
        <item x="99"/>
        <item x="96"/>
        <item x="559"/>
        <item x="329"/>
        <item x="333"/>
        <item x="1270"/>
        <item x="1540"/>
        <item x="585"/>
        <item x="773"/>
        <item x="1237"/>
        <item x="704"/>
        <item x="563"/>
        <item x="837"/>
        <item x="1090"/>
        <item x="1485"/>
        <item x="1410"/>
        <item x="360"/>
        <item x="1396"/>
        <item x="1323"/>
        <item x="1306"/>
        <item x="1763"/>
        <item x="1191"/>
        <item x="781"/>
        <item x="219"/>
        <item x="553"/>
        <item x="1417"/>
        <item x="1757"/>
        <item x="1098"/>
        <item x="1461"/>
        <item x="1644"/>
        <item x="271"/>
        <item x="410"/>
        <item x="1172"/>
        <item x="1584"/>
        <item x="850"/>
        <item x="1634"/>
        <item x="597"/>
        <item x="1708"/>
        <item x="1341"/>
        <item x="398"/>
        <item x="1156"/>
        <item x="445"/>
        <item x="729"/>
        <item x="299"/>
        <item x="528"/>
        <item x="454"/>
        <item x="270"/>
        <item x="1682"/>
        <item x="1187"/>
        <item x="717"/>
        <item x="908"/>
        <item x="544"/>
        <item x="1533"/>
        <item x="68"/>
        <item x="1495"/>
        <item x="1122"/>
        <item x="975"/>
        <item x="916"/>
        <item x="440"/>
        <item x="129"/>
        <item x="524"/>
        <item x="35"/>
        <item x="1535"/>
        <item x="1556"/>
        <item x="1539"/>
        <item x="984"/>
        <item x="730"/>
        <item x="1312"/>
        <item x="959"/>
        <item x="405"/>
        <item x="1599"/>
        <item x="1549"/>
        <item x="1392"/>
        <item x="326"/>
        <item x="520"/>
        <item x="892"/>
        <item x="1250"/>
        <item x="1258"/>
        <item x="1243"/>
        <item x="1208"/>
        <item x="758"/>
        <item x="1056"/>
        <item x="390"/>
        <item x="146"/>
        <item x="802"/>
        <item x="430"/>
        <item x="815"/>
        <item x="782"/>
        <item x="1675"/>
        <item x="948"/>
        <item x="716"/>
        <item x="910"/>
        <item x="163"/>
        <item x="562"/>
        <item x="928"/>
        <item x="555"/>
        <item x="580"/>
        <item x="457"/>
        <item x="1401"/>
        <item x="570"/>
        <item x="127"/>
        <item x="1476"/>
        <item x="281"/>
        <item x="1489"/>
        <item x="478"/>
        <item x="1425"/>
        <item x="1259"/>
        <item x="237"/>
        <item x="956"/>
        <item x="739"/>
        <item x="1464"/>
        <item x="700"/>
        <item x="527"/>
        <item x="1308"/>
        <item x="1473"/>
        <item x="86"/>
        <item x="1553"/>
        <item x="1468"/>
        <item x="561"/>
        <item x="141"/>
        <item x="1170"/>
        <item x="720"/>
        <item x="843"/>
        <item x="619"/>
        <item x="164"/>
        <item x="1269"/>
        <item x="1669"/>
        <item x="1265"/>
        <item x="529"/>
        <item x="1699"/>
        <item x="726"/>
        <item x="970"/>
        <item x="1717"/>
        <item x="1509"/>
        <item x="1591"/>
        <item x="929"/>
        <item x="1626"/>
        <item x="1145"/>
        <item x="795"/>
        <item x="1739"/>
        <item x="508"/>
        <item x="258"/>
        <item x="1365"/>
        <item x="822"/>
        <item x="262"/>
        <item x="533"/>
        <item x="515"/>
        <item x="434"/>
        <item x="432"/>
        <item x="15"/>
        <item x="1011"/>
        <item x="826"/>
        <item x="631"/>
        <item x="1487"/>
        <item x="195"/>
        <item x="1092"/>
        <item x="1138"/>
        <item x="82"/>
        <item x="1009"/>
        <item x="1234"/>
        <item x="1248"/>
        <item x="1096"/>
        <item x="1538"/>
        <item x="675"/>
        <item x="674"/>
        <item x="628"/>
        <item x="880"/>
        <item x="986"/>
        <item x="1500"/>
        <item x="1679"/>
        <item x="402"/>
        <item x="66"/>
        <item x="1203"/>
        <item x="331"/>
        <item x="1254"/>
        <item x="1224"/>
        <item x="1117"/>
        <item x="385"/>
        <item x="1113"/>
        <item x="829"/>
        <item x="858"/>
        <item x="1575"/>
        <item x="156"/>
        <item x="495"/>
        <item x="1074"/>
        <item x="521"/>
        <item x="851"/>
        <item x="998"/>
        <item x="144"/>
        <item x="1107"/>
        <item x="294"/>
        <item x="509"/>
        <item x="714"/>
        <item x="915"/>
        <item x="1725"/>
        <item x="216"/>
        <item x="59"/>
        <item x="455"/>
        <item x="87"/>
        <item x="202"/>
        <item x="1177"/>
        <item x="905"/>
        <item x="1088"/>
        <item x="1063"/>
        <item x="320"/>
        <item x="1519"/>
        <item x="888"/>
        <item x="19"/>
        <item x="1478"/>
        <item x="811"/>
        <item x="74"/>
        <item x="1607"/>
        <item x="670"/>
        <item x="689"/>
        <item x="616"/>
        <item x="609"/>
        <item x="1650"/>
        <item x="267"/>
        <item x="253"/>
        <item x="978"/>
        <item x="1316"/>
        <item x="955"/>
        <item x="70"/>
        <item x="280"/>
        <item x="552"/>
        <item x="1505"/>
        <item x="738"/>
        <item x="480"/>
        <item x="1491"/>
        <item x="1581"/>
        <item x="1045"/>
        <item x="1578"/>
        <item x="964"/>
        <item x="1345"/>
        <item x="1528"/>
        <item x="1082"/>
        <item x="1422"/>
        <item x="1363"/>
        <item x="166"/>
        <item x="618"/>
        <item x="183"/>
        <item x="305"/>
        <item x="1693"/>
        <item x="1612"/>
        <item x="55"/>
        <item x="1638"/>
        <item x="683"/>
        <item x="1123"/>
        <item x="647"/>
        <item x="846"/>
        <item x="73"/>
        <item x="79"/>
        <item x="634"/>
        <item x="1493"/>
        <item x="1447"/>
        <item x="69"/>
        <item x="523"/>
        <item x="424"/>
        <item x="1198"/>
        <item x="1586"/>
        <item x="1619"/>
        <item x="780"/>
        <item x="98"/>
        <item x="1680"/>
        <item x="394"/>
        <item x="71"/>
        <item x="1434"/>
        <item x="1706"/>
        <item x="504"/>
        <item x="407"/>
        <item x="968"/>
        <item x="345"/>
        <item x="1004"/>
        <item x="371"/>
        <item x="191"/>
        <item x="282"/>
        <item x="489"/>
        <item x="1590"/>
        <item x="1426"/>
        <item x="1585"/>
        <item x="772"/>
        <item x="1527"/>
        <item x="234"/>
        <item x="1428"/>
        <item x="1751"/>
        <item x="17"/>
        <item x="1018"/>
        <item x="1133"/>
        <item x="1508"/>
        <item x="342"/>
        <item x="891"/>
        <item x="1640"/>
        <item x="115"/>
        <item x="1114"/>
        <item x="594"/>
        <item x="1124"/>
        <item x="661"/>
        <item x="1171"/>
        <item x="356"/>
        <item x="764"/>
        <item x="1661"/>
        <item x="233"/>
        <item x="894"/>
        <item x="105"/>
        <item x="1656"/>
        <item x="855"/>
        <item x="746"/>
        <item x="1537"/>
        <item x="351"/>
        <item x="971"/>
        <item x="1200"/>
        <item x="568"/>
        <item x="958"/>
        <item x="1214"/>
        <item x="352"/>
        <item x="366"/>
        <item x="1374"/>
        <item x="656"/>
        <item x="261"/>
        <item x="1067"/>
        <item x="395"/>
        <item x="1245"/>
        <item x="787"/>
        <item x="338"/>
        <item x="372"/>
        <item x="1397"/>
        <item x="170"/>
        <item x="531"/>
        <item x="659"/>
        <item x="1294"/>
        <item x="813"/>
        <item x="779"/>
        <item x="611"/>
        <item x="307"/>
        <item x="545"/>
        <item x="757"/>
        <item x="1737"/>
        <item x="652"/>
        <item x="1277"/>
        <item x="526"/>
        <item x="593"/>
        <item x="740"/>
        <item x="799"/>
        <item x="679"/>
        <item x="75"/>
        <item x="537"/>
        <item x="501"/>
        <item x="1052"/>
        <item x="374"/>
        <item x="1724"/>
        <item x="1296"/>
        <item x="116"/>
        <item x="669"/>
        <item x="1746"/>
        <item x="493"/>
        <item x="1027"/>
        <item x="244"/>
        <item x="1038"/>
        <item x="947"/>
        <item x="1355"/>
        <item x="853"/>
        <item x="940"/>
        <item x="995"/>
        <item x="502"/>
        <item x="1494"/>
        <item x="1271"/>
        <item x="317"/>
        <item x="1288"/>
        <item x="1411"/>
        <item x="592"/>
        <item x="23"/>
        <item x="600"/>
        <item x="1334"/>
        <item x="1383"/>
        <item x="786"/>
        <item x="769"/>
        <item x="925"/>
        <item x="884"/>
        <item x="1718"/>
        <item x="159"/>
        <item x="486"/>
        <item x="413"/>
        <item x="1273"/>
        <item x="1346"/>
        <item x="14"/>
        <item x="196"/>
        <item x="1407"/>
        <item x="416"/>
        <item x="612"/>
        <item x="601"/>
        <item x="235"/>
        <item x="22"/>
        <item x="456"/>
        <item x="1474"/>
        <item x="725"/>
        <item x="276"/>
        <item x="1536"/>
        <item x="965"/>
        <item x="590"/>
        <item x="854"/>
        <item x="1731"/>
        <item x="1069"/>
        <item x="386"/>
        <item x="798"/>
        <item x="926"/>
        <item x="218"/>
        <item x="617"/>
        <item x="78"/>
        <item x="32"/>
        <item x="238"/>
        <item x="832"/>
        <item x="259"/>
        <item x="1"/>
        <item x="676"/>
        <item x="516"/>
        <item x="1475"/>
        <item x="901"/>
        <item x="767"/>
        <item x="303"/>
        <item x="1211"/>
        <item x="549"/>
        <item x="893"/>
        <item x="187"/>
        <item x="176"/>
        <item x="812"/>
        <item x="1403"/>
        <item x="1036"/>
        <item x="422"/>
        <item x="1589"/>
        <item x="1749"/>
        <item x="1176"/>
        <item x="205"/>
        <item x="650"/>
        <item x="1531"/>
        <item x="12"/>
        <item x="1320"/>
        <item x="1255"/>
        <item x="993"/>
        <item x="825"/>
        <item x="541"/>
        <item x="1106"/>
        <item x="472"/>
        <item x="161"/>
        <item x="602"/>
        <item x="1548"/>
        <item x="1544"/>
        <item x="39"/>
        <item x="777"/>
        <item x="620"/>
        <item x="412"/>
        <item x="711"/>
        <item x="5"/>
        <item x="1761"/>
        <item x="185"/>
        <item x="18"/>
        <item x="136"/>
        <item x="290"/>
        <item x="1678"/>
        <item x="1466"/>
        <item x="44"/>
        <item x="1421"/>
        <item x="996"/>
        <item x="1016"/>
        <item x="1641"/>
        <item x="11"/>
        <item x="1623"/>
        <item x="1151"/>
        <item x="1215"/>
        <item x="1405"/>
        <item x="1574"/>
        <item x="62"/>
        <item x="1207"/>
        <item x="240"/>
        <item x="328"/>
        <item x="1244"/>
        <item x="1336"/>
        <item x="1695"/>
        <item x="85"/>
        <item x="1080"/>
        <item x="752"/>
        <item x="944"/>
        <item x="241"/>
        <item x="417"/>
        <item x="194"/>
        <item x="423"/>
        <item x="1643"/>
        <item x="332"/>
        <item x="1035"/>
        <item x="1307"/>
        <item x="449"/>
        <item x="548"/>
        <item x="1744"/>
        <item x="458"/>
        <item x="702"/>
        <item x="1119"/>
        <item x="1373"/>
        <item x="1247"/>
        <item x="380"/>
        <item x="83"/>
        <item x="1210"/>
        <item x="246"/>
        <item x="976"/>
        <item x="1735"/>
        <item x="24"/>
        <item x="1209"/>
        <item x="452"/>
        <item x="1168"/>
        <item x="582"/>
        <item x="255"/>
        <item x="1143"/>
        <item x="419"/>
        <item x="748"/>
        <item x="575"/>
        <item x="226"/>
        <item x="437"/>
        <item x="1101"/>
        <item x="56"/>
        <item x="1595"/>
        <item x="694"/>
        <item x="190"/>
        <item x="979"/>
        <item x="468"/>
        <item x="941"/>
        <item x="1190"/>
        <item x="551"/>
        <item x="569"/>
        <item x="842"/>
        <item x="622"/>
        <item x="126"/>
        <item x="377"/>
        <item x="1598"/>
        <item x="865"/>
        <item x="296"/>
        <item x="1135"/>
        <item x="1618"/>
        <item x="110"/>
        <item x="76"/>
        <item x="707"/>
        <item x="513"/>
        <item x="542"/>
        <item x="243"/>
        <item x="586"/>
        <item x="503"/>
        <item x="687"/>
        <item x="1498"/>
        <item x="1337"/>
        <item x="511"/>
        <item x="1398"/>
        <item x="927"/>
        <item x="40"/>
        <item x="1185"/>
        <item x="275"/>
        <item x="792"/>
        <item x="1470"/>
        <item x="1406"/>
        <item x="1327"/>
        <item x="1431"/>
        <item x="113"/>
        <item x="1149"/>
        <item x="1517"/>
        <item x="1642"/>
        <item x="598"/>
        <item x="1377"/>
        <item x="1670"/>
        <item x="1662"/>
        <item x="162"/>
        <item x="463"/>
        <item x="363"/>
        <item x="615"/>
        <item x="341"/>
        <item x="1331"/>
        <item x="1129"/>
        <item x="1217"/>
        <item x="1144"/>
        <item x="1128"/>
        <item x="242"/>
        <item x="1282"/>
        <item x="13"/>
        <item x="209"/>
        <item x="1497"/>
        <item x="1371"/>
        <item x="1524"/>
        <item x="114"/>
        <item x="1132"/>
        <item x="409"/>
        <item x="327"/>
        <item x="230"/>
        <item x="1384"/>
        <item x="1169"/>
        <item x="749"/>
        <item x="300"/>
        <item x="778"/>
        <item x="1287"/>
        <item x="936"/>
        <item x="224"/>
        <item x="1361"/>
        <item x="90"/>
        <item x="1645"/>
        <item x="872"/>
        <item x="682"/>
        <item x="1499"/>
        <item x="576"/>
        <item x="1072"/>
        <item x="1418"/>
        <item x="820"/>
        <item x="883"/>
        <item x="1134"/>
        <item x="61"/>
        <item x="1329"/>
        <item x="1216"/>
        <item x="761"/>
        <item x="938"/>
        <item x="383"/>
        <item x="868"/>
        <item x="379"/>
        <item x="1252"/>
        <item x="809"/>
        <item x="1094"/>
        <item x="690"/>
        <item x="350"/>
        <item x="428"/>
        <item x="1000"/>
        <item x="554"/>
        <item x="1433"/>
        <item x="962"/>
        <item x="50"/>
        <item x="1058"/>
        <item x="1732"/>
        <item x="1025"/>
        <item x="236"/>
        <item x="1449"/>
        <item x="3"/>
        <item x="325"/>
        <item x="1349"/>
        <item x="560"/>
        <item x="266"/>
        <item x="1322"/>
        <item x="315"/>
        <item x="1324"/>
        <item x="931"/>
        <item x="1050"/>
        <item x="1311"/>
        <item x="806"/>
        <item x="304"/>
        <item x="1239"/>
        <item x="1639"/>
        <item x="1467"/>
        <item x="1163"/>
        <item x="1427"/>
        <item x="1257"/>
        <item x="1040"/>
        <item t="default"/>
      </items>
    </pivotField>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defaultSubtotal="0"/>
    <pivotField showAll="0" defaultSubtotal="0"/>
    <pivotField showAll="0" defaultSubtotal="0">
      <items count="6">
        <item x="0"/>
        <item x="1"/>
        <item x="2"/>
        <item x="3"/>
        <item x="4"/>
        <item x="5"/>
      </items>
    </pivotField>
  </pivotFields>
  <rowFields count="1">
    <field x="1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16" baseField="0" baseItem="0" numFmtId="165"/>
  </dataFields>
  <formats count="1">
    <format dxfId="21">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40CE309-B181-4B16-99F3-EA7AC43FCB8F}" sourceName="Segment">
  <pivotTables>
    <pivotTable tabId="2" name="PivotTable8"/>
    <pivotTable tabId="2" name="PivotTable1"/>
    <pivotTable tabId="2" name="PivotTable2"/>
    <pivotTable tabId="2" name="PivotTable3"/>
    <pivotTable tabId="2" name="PivotTable6"/>
    <pivotTable tabId="2" name="PivotTable7"/>
  </pivotTables>
  <data>
    <tabular pivotCacheId="78625203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D80238-8548-45B4-A2DD-0A1E31B4FE3C}" sourceName="Region">
  <pivotTables>
    <pivotTable tabId="2" name="PivotTable6"/>
    <pivotTable tabId="2" name="PivotTable1"/>
    <pivotTable tabId="2" name="PivotTable2"/>
    <pivotTable tabId="2" name="PivotTable3"/>
    <pivotTable tabId="2" name="PivotTable7"/>
    <pivotTable tabId="2" name="PivotTable8"/>
  </pivotTables>
  <data>
    <tabular pivotCacheId="786252032">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7BA5631-612A-45E1-80AF-61752DFDC9E6}" cache="Slicer_Segment" caption="Segment" columnCount="3" showCaption="0" style="SlicerStyleLight2 2" rowHeight="432000"/>
  <slicer name="Region" xr10:uid="{4BC146FD-F4AA-4648-91B6-D7965EEAEB4D}" cache="Slicer_Region" caption="Region" columnCount="4" showCaption="0" style="SlicerStyleLight2 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F19E32-F6E3-4352-ACB9-46A303801937}" name="data" displayName="data" ref="A1:U2122" totalsRowShown="0" headerRowDxfId="44" dataDxfId="43">
  <autoFilter ref="A1:U2122" xr:uid="{26F19E32-F6E3-4352-ACB9-46A303801937}"/>
  <tableColumns count="21">
    <tableColumn id="1" xr3:uid="{941F3B3A-9F02-412B-ADA1-C9198D11A665}" name="Order ID" dataDxfId="42"/>
    <tableColumn id="2" xr3:uid="{4FD815FD-5AB6-4962-B60B-6BC949E82B03}" name="Order Date" dataDxfId="41"/>
    <tableColumn id="22" xr3:uid="{D6F1AB36-3588-4BFB-8B8C-71B658CF546D}" name="Year" dataDxfId="40">
      <calculatedColumnFormula>TEXT(data[[#This Row],[Order Date]],"YYYY")</calculatedColumnFormula>
    </tableColumn>
    <tableColumn id="3" xr3:uid="{4823CFE3-2A31-42B1-AE06-2D2CE8B7A15C}" name="Ship Date" dataDxfId="39"/>
    <tableColumn id="4" xr3:uid="{E58D2AFB-5C9C-49CF-AC3B-F0BC04EF5B07}" name="Ship Mode" dataDxfId="38"/>
    <tableColumn id="5" xr3:uid="{A638636A-2B6A-42F6-B4E4-D157D6C41A26}" name="Customer ID" dataDxfId="37"/>
    <tableColumn id="6" xr3:uid="{1635989E-4FB3-4D77-A082-113B8F740C97}" name="Customer Name" dataDxfId="36"/>
    <tableColumn id="7" xr3:uid="{22581FC9-2EF1-4F91-91D2-368C9524A716}" name="Segment" dataDxfId="35"/>
    <tableColumn id="8" xr3:uid="{678053E8-3AA2-432A-A56C-2A11AA1BA78F}" name="Country" dataDxfId="34"/>
    <tableColumn id="9" xr3:uid="{12AE825C-6E6D-48B1-A294-6C7607697E6D}" name="City" dataDxfId="33"/>
    <tableColumn id="10" xr3:uid="{BC956924-73B7-430C-8D4C-24CE8FA58365}" name="State" dataDxfId="32"/>
    <tableColumn id="11" xr3:uid="{547B4FC6-17A2-487A-A1B3-562CFC7D9D97}" name="Region" dataDxfId="31"/>
    <tableColumn id="12" xr3:uid="{D5FA0EA2-8D5B-4DED-83B1-58A7E3523BBA}" name="Product ID" dataDxfId="30"/>
    <tableColumn id="13" xr3:uid="{D84F9371-128A-4D5C-9C8B-CAF11CF43F0A}" name="Category" dataDxfId="29"/>
    <tableColumn id="14" xr3:uid="{ED2A9E66-87C1-46C5-AA03-E4C8FF314464}" name="Sub-Category" dataDxfId="28"/>
    <tableColumn id="15" xr3:uid="{37AA3A62-6A32-4343-90AD-41CFD720BE6C}" name="Product Name" dataDxfId="27"/>
    <tableColumn id="16" xr3:uid="{A7947DA1-5016-4F43-9190-D82459C73B00}" name="Sales" dataDxfId="26"/>
    <tableColumn id="17" xr3:uid="{082EF78E-C53E-4B95-B0D2-C378F505AF86}" name="Quantity" dataDxfId="25"/>
    <tableColumn id="18" xr3:uid="{E7706FFB-2461-4292-9680-737A6ED1E2C2}" name="Profit" dataDxfId="24"/>
    <tableColumn id="19" xr3:uid="{2047E9C9-B5C0-450E-AC86-B30D99098A49}" name="Duration" dataDxfId="23"/>
    <tableColumn id="20" xr3:uid="{F109349B-B387-423F-B08A-00C674C1B078}" name="Month"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AFC888-8DAE-4963-8E59-F9702E3D308F}" name="Table2" displayName="Table2" ref="N45:O93" totalsRowShown="0" headerRowDxfId="1">
  <autoFilter ref="N45:O93" xr:uid="{47AFC888-8DAE-4963-8E59-F9702E3D308F}"/>
  <tableColumns count="2">
    <tableColumn id="1" xr3:uid="{0E1727C4-7B2E-4D0A-8CBD-0A36E6C1B09B}" name="State">
      <calculatedColumnFormula>B46</calculatedColumnFormula>
    </tableColumn>
    <tableColumn id="2" xr3:uid="{65A249F8-4005-4D86-869F-DB9C2C258779}" name="Sales" dataDxfId="0">
      <calculatedColumnFormula>GETPIVOTDATA("Sum of Sales",$B$46,"State",Table2[[#This Row],[State]])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122"/>
  <sheetViews>
    <sheetView topLeftCell="B1" workbookViewId="0">
      <selection activeCell="U2" sqref="U2"/>
    </sheetView>
  </sheetViews>
  <sheetFormatPr defaultColWidth="14.44140625" defaultRowHeight="15" customHeight="1" x14ac:dyDescent="0.3"/>
  <cols>
    <col min="1" max="1" width="14.6640625" bestFit="1" customWidth="1"/>
    <col min="2" max="3" width="12" customWidth="1"/>
    <col min="4" max="4" width="10.88671875" customWidth="1"/>
    <col min="5" max="5" width="12.77734375" bestFit="1" customWidth="1"/>
    <col min="6" max="6" width="13.21875" customWidth="1"/>
    <col min="7" max="7" width="20.44140625" bestFit="1" customWidth="1"/>
    <col min="8" max="8" width="11.33203125" bestFit="1" customWidth="1"/>
    <col min="9" max="9" width="11.88671875" bestFit="1" customWidth="1"/>
    <col min="10" max="10" width="15.21875" bestFit="1" customWidth="1"/>
    <col min="11" max="11" width="17.33203125" bestFit="1" customWidth="1"/>
    <col min="12" max="12" width="8.6640625" customWidth="1"/>
    <col min="13" max="13" width="16.21875" bestFit="1" customWidth="1"/>
    <col min="14" max="14" width="10.44140625" customWidth="1"/>
    <col min="15" max="15" width="14.33203125" customWidth="1"/>
    <col min="16" max="16" width="78.33203125" bestFit="1" customWidth="1"/>
    <col min="17" max="17" width="10" bestFit="1" customWidth="1"/>
    <col min="18" max="18" width="10.21875" customWidth="1"/>
    <col min="19" max="19" width="10.6640625" bestFit="1" customWidth="1"/>
    <col min="20" max="20" width="10.21875" customWidth="1"/>
    <col min="21" max="21" width="8.6640625" customWidth="1"/>
  </cols>
  <sheetData>
    <row r="1" spans="1:21" ht="14.25" customHeight="1" x14ac:dyDescent="0.3">
      <c r="A1" s="1" t="s">
        <v>0</v>
      </c>
      <c r="B1" s="1" t="s">
        <v>1</v>
      </c>
      <c r="C1" s="1" t="s">
        <v>4413</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ht="14.25" customHeight="1" x14ac:dyDescent="0.3">
      <c r="A2" s="2" t="s">
        <v>20</v>
      </c>
      <c r="B2" s="5">
        <v>42682</v>
      </c>
      <c r="C2" s="2" t="str">
        <f>TEXT(data[[#This Row],[Order Date]],"YYYY")</f>
        <v>2016</v>
      </c>
      <c r="D2" s="2">
        <v>42685</v>
      </c>
      <c r="E2" s="2" t="s">
        <v>21</v>
      </c>
      <c r="F2" s="2" t="s">
        <v>22</v>
      </c>
      <c r="G2" s="2" t="s">
        <v>23</v>
      </c>
      <c r="H2" s="2" t="s">
        <v>24</v>
      </c>
      <c r="I2" s="2" t="s">
        <v>25</v>
      </c>
      <c r="J2" s="2" t="s">
        <v>26</v>
      </c>
      <c r="K2" s="2" t="s">
        <v>27</v>
      </c>
      <c r="L2" s="2" t="s">
        <v>28</v>
      </c>
      <c r="M2" s="2" t="s">
        <v>29</v>
      </c>
      <c r="N2" s="2" t="s">
        <v>30</v>
      </c>
      <c r="O2" s="2" t="s">
        <v>31</v>
      </c>
      <c r="P2" s="2" t="s">
        <v>32</v>
      </c>
      <c r="Q2" s="2">
        <v>261.95999999999998</v>
      </c>
      <c r="R2" s="2">
        <v>2</v>
      </c>
      <c r="S2" s="2">
        <v>41.913600000000002</v>
      </c>
      <c r="T2" s="2" t="s">
        <v>33</v>
      </c>
      <c r="U2" s="2" t="s">
        <v>34</v>
      </c>
    </row>
    <row r="3" spans="1:21" ht="14.25" customHeight="1" x14ac:dyDescent="0.3">
      <c r="A3" s="2" t="s">
        <v>20</v>
      </c>
      <c r="B3" s="5">
        <v>42682</v>
      </c>
      <c r="C3" s="2" t="str">
        <f>TEXT(data[[#This Row],[Order Date]],"YYYY")</f>
        <v>2016</v>
      </c>
      <c r="D3" s="2">
        <v>42685</v>
      </c>
      <c r="E3" s="2" t="s">
        <v>21</v>
      </c>
      <c r="F3" s="2" t="s">
        <v>22</v>
      </c>
      <c r="G3" s="2" t="s">
        <v>23</v>
      </c>
      <c r="H3" s="2" t="s">
        <v>24</v>
      </c>
      <c r="I3" s="2" t="s">
        <v>25</v>
      </c>
      <c r="J3" s="2" t="s">
        <v>26</v>
      </c>
      <c r="K3" s="2" t="s">
        <v>27</v>
      </c>
      <c r="L3" s="2" t="s">
        <v>28</v>
      </c>
      <c r="M3" s="2" t="s">
        <v>35</v>
      </c>
      <c r="N3" s="2" t="s">
        <v>30</v>
      </c>
      <c r="O3" s="2" t="s">
        <v>36</v>
      </c>
      <c r="P3" s="2" t="s">
        <v>37</v>
      </c>
      <c r="Q3" s="2">
        <v>731.94</v>
      </c>
      <c r="R3" s="2">
        <v>3</v>
      </c>
      <c r="S3" s="2">
        <v>219.58199999999999</v>
      </c>
      <c r="T3" s="2" t="s">
        <v>33</v>
      </c>
      <c r="U3" s="2" t="s">
        <v>34</v>
      </c>
    </row>
    <row r="4" spans="1:21" ht="14.25" customHeight="1" x14ac:dyDescent="0.3">
      <c r="A4" s="2" t="s">
        <v>38</v>
      </c>
      <c r="B4" s="5">
        <v>42288</v>
      </c>
      <c r="C4" s="2" t="str">
        <f>TEXT(data[[#This Row],[Order Date]],"YYYY")</f>
        <v>2015</v>
      </c>
      <c r="D4" s="2">
        <v>42295</v>
      </c>
      <c r="E4" s="2" t="s">
        <v>39</v>
      </c>
      <c r="F4" s="2" t="s">
        <v>40</v>
      </c>
      <c r="G4" s="2" t="s">
        <v>41</v>
      </c>
      <c r="H4" s="2" t="s">
        <v>24</v>
      </c>
      <c r="I4" s="2" t="s">
        <v>25</v>
      </c>
      <c r="J4" s="2" t="s">
        <v>42</v>
      </c>
      <c r="K4" s="2" t="s">
        <v>43</v>
      </c>
      <c r="L4" s="2" t="s">
        <v>28</v>
      </c>
      <c r="M4" s="2" t="s">
        <v>44</v>
      </c>
      <c r="N4" s="2" t="s">
        <v>30</v>
      </c>
      <c r="O4" s="2" t="s">
        <v>45</v>
      </c>
      <c r="P4" s="2" t="s">
        <v>46</v>
      </c>
      <c r="Q4" s="2">
        <v>957.57749999999999</v>
      </c>
      <c r="R4" s="2">
        <v>5</v>
      </c>
      <c r="S4" s="2">
        <v>-383.03100000000001</v>
      </c>
      <c r="T4" s="2" t="s">
        <v>47</v>
      </c>
      <c r="U4" s="2" t="s">
        <v>48</v>
      </c>
    </row>
    <row r="5" spans="1:21" ht="14.25" customHeight="1" x14ac:dyDescent="0.3">
      <c r="A5" s="2" t="s">
        <v>49</v>
      </c>
      <c r="B5" s="5">
        <v>41799</v>
      </c>
      <c r="C5" s="2" t="str">
        <f>TEXT(data[[#This Row],[Order Date]],"YYYY")</f>
        <v>2014</v>
      </c>
      <c r="D5" s="2">
        <v>41804</v>
      </c>
      <c r="E5" s="2" t="s">
        <v>39</v>
      </c>
      <c r="F5" s="2" t="s">
        <v>50</v>
      </c>
      <c r="G5" s="2" t="s">
        <v>51</v>
      </c>
      <c r="H5" s="2" t="s">
        <v>24</v>
      </c>
      <c r="I5" s="2" t="s">
        <v>25</v>
      </c>
      <c r="J5" s="2" t="s">
        <v>52</v>
      </c>
      <c r="K5" s="2" t="s">
        <v>53</v>
      </c>
      <c r="L5" s="2" t="s">
        <v>54</v>
      </c>
      <c r="M5" s="2" t="s">
        <v>55</v>
      </c>
      <c r="N5" s="2" t="s">
        <v>30</v>
      </c>
      <c r="O5" s="2" t="s">
        <v>56</v>
      </c>
      <c r="P5" s="2" t="s">
        <v>57</v>
      </c>
      <c r="Q5" s="2">
        <v>48.86</v>
      </c>
      <c r="R5" s="2">
        <v>7</v>
      </c>
      <c r="S5" s="2">
        <v>14.1694</v>
      </c>
      <c r="T5" s="2" t="s">
        <v>58</v>
      </c>
      <c r="U5" s="2" t="s">
        <v>59</v>
      </c>
    </row>
    <row r="6" spans="1:21" ht="14.25" customHeight="1" x14ac:dyDescent="0.3">
      <c r="A6" s="2" t="s">
        <v>49</v>
      </c>
      <c r="B6" s="5">
        <v>41799</v>
      </c>
      <c r="C6" s="2" t="str">
        <f>TEXT(data[[#This Row],[Order Date]],"YYYY")</f>
        <v>2014</v>
      </c>
      <c r="D6" s="2">
        <v>41804</v>
      </c>
      <c r="E6" s="2" t="s">
        <v>39</v>
      </c>
      <c r="F6" s="2" t="s">
        <v>50</v>
      </c>
      <c r="G6" s="2" t="s">
        <v>51</v>
      </c>
      <c r="H6" s="2" t="s">
        <v>24</v>
      </c>
      <c r="I6" s="2" t="s">
        <v>25</v>
      </c>
      <c r="J6" s="2" t="s">
        <v>52</v>
      </c>
      <c r="K6" s="2" t="s">
        <v>53</v>
      </c>
      <c r="L6" s="2" t="s">
        <v>54</v>
      </c>
      <c r="M6" s="2" t="s">
        <v>60</v>
      </c>
      <c r="N6" s="2" t="s">
        <v>30</v>
      </c>
      <c r="O6" s="2" t="s">
        <v>45</v>
      </c>
      <c r="P6" s="2" t="s">
        <v>61</v>
      </c>
      <c r="Q6" s="2">
        <v>1706.184</v>
      </c>
      <c r="R6" s="2">
        <v>9</v>
      </c>
      <c r="S6" s="2">
        <v>85.309200000000004</v>
      </c>
      <c r="T6" s="2" t="s">
        <v>58</v>
      </c>
      <c r="U6" s="2" t="s">
        <v>59</v>
      </c>
    </row>
    <row r="7" spans="1:21" ht="14.25" customHeight="1" x14ac:dyDescent="0.3">
      <c r="A7" s="2" t="s">
        <v>62</v>
      </c>
      <c r="B7" s="5">
        <v>42932</v>
      </c>
      <c r="C7" s="2" t="str">
        <f>TEXT(data[[#This Row],[Order Date]],"YYYY")</f>
        <v>2017</v>
      </c>
      <c r="D7" s="2">
        <v>42934</v>
      </c>
      <c r="E7" s="2" t="s">
        <v>21</v>
      </c>
      <c r="F7" s="2" t="s">
        <v>63</v>
      </c>
      <c r="G7" s="2" t="s">
        <v>64</v>
      </c>
      <c r="H7" s="2" t="s">
        <v>24</v>
      </c>
      <c r="I7" s="2" t="s">
        <v>25</v>
      </c>
      <c r="J7" s="2" t="s">
        <v>65</v>
      </c>
      <c r="K7" s="2" t="s">
        <v>66</v>
      </c>
      <c r="L7" s="2" t="s">
        <v>67</v>
      </c>
      <c r="M7" s="2" t="s">
        <v>68</v>
      </c>
      <c r="N7" s="2" t="s">
        <v>30</v>
      </c>
      <c r="O7" s="2" t="s">
        <v>36</v>
      </c>
      <c r="P7" s="2" t="s">
        <v>69</v>
      </c>
      <c r="Q7" s="2">
        <v>71.372</v>
      </c>
      <c r="R7" s="2">
        <v>2</v>
      </c>
      <c r="S7" s="2">
        <v>-1.0196000000000001</v>
      </c>
      <c r="T7" s="2" t="s">
        <v>70</v>
      </c>
      <c r="U7" s="2" t="s">
        <v>71</v>
      </c>
    </row>
    <row r="8" spans="1:21" ht="14.25" customHeight="1" x14ac:dyDescent="0.3">
      <c r="A8" s="2" t="s">
        <v>72</v>
      </c>
      <c r="B8" s="5">
        <v>42272</v>
      </c>
      <c r="C8" s="2" t="str">
        <f>TEXT(data[[#This Row],[Order Date]],"YYYY")</f>
        <v>2015</v>
      </c>
      <c r="D8" s="2">
        <v>42277</v>
      </c>
      <c r="E8" s="2" t="s">
        <v>39</v>
      </c>
      <c r="F8" s="2" t="s">
        <v>73</v>
      </c>
      <c r="G8" s="2" t="s">
        <v>74</v>
      </c>
      <c r="H8" s="2" t="s">
        <v>24</v>
      </c>
      <c r="I8" s="2" t="s">
        <v>25</v>
      </c>
      <c r="J8" s="2" t="s">
        <v>75</v>
      </c>
      <c r="K8" s="2" t="s">
        <v>76</v>
      </c>
      <c r="L8" s="2" t="s">
        <v>54</v>
      </c>
      <c r="M8" s="2" t="s">
        <v>44</v>
      </c>
      <c r="N8" s="2" t="s">
        <v>30</v>
      </c>
      <c r="O8" s="2" t="s">
        <v>45</v>
      </c>
      <c r="P8" s="2" t="s">
        <v>46</v>
      </c>
      <c r="Q8" s="2">
        <v>1044.6300000000001</v>
      </c>
      <c r="R8" s="2">
        <v>3</v>
      </c>
      <c r="S8" s="2">
        <v>240.26490000000001</v>
      </c>
      <c r="T8" s="2" t="s">
        <v>58</v>
      </c>
      <c r="U8" s="2" t="s">
        <v>77</v>
      </c>
    </row>
    <row r="9" spans="1:21" ht="14.25" customHeight="1" x14ac:dyDescent="0.3">
      <c r="A9" s="2" t="s">
        <v>78</v>
      </c>
      <c r="B9" s="5">
        <v>42264</v>
      </c>
      <c r="C9" s="2" t="str">
        <f>TEXT(data[[#This Row],[Order Date]],"YYYY")</f>
        <v>2015</v>
      </c>
      <c r="D9" s="2">
        <v>42268</v>
      </c>
      <c r="E9" s="2" t="s">
        <v>39</v>
      </c>
      <c r="F9" s="2" t="s">
        <v>79</v>
      </c>
      <c r="G9" s="2" t="s">
        <v>80</v>
      </c>
      <c r="H9" s="2" t="s">
        <v>24</v>
      </c>
      <c r="I9" s="2" t="s">
        <v>25</v>
      </c>
      <c r="J9" s="2" t="s">
        <v>65</v>
      </c>
      <c r="K9" s="2" t="s">
        <v>66</v>
      </c>
      <c r="L9" s="2" t="s">
        <v>67</v>
      </c>
      <c r="M9" s="2" t="s">
        <v>81</v>
      </c>
      <c r="N9" s="2" t="s">
        <v>30</v>
      </c>
      <c r="O9" s="2" t="s">
        <v>31</v>
      </c>
      <c r="P9" s="2" t="s">
        <v>82</v>
      </c>
      <c r="Q9" s="2">
        <v>3083.43</v>
      </c>
      <c r="R9" s="2">
        <v>7</v>
      </c>
      <c r="S9" s="2">
        <v>-1665.0522000000001</v>
      </c>
      <c r="T9" s="2" t="s">
        <v>83</v>
      </c>
      <c r="U9" s="2" t="s">
        <v>77</v>
      </c>
    </row>
    <row r="10" spans="1:21" ht="14.25" customHeight="1" x14ac:dyDescent="0.3">
      <c r="A10" s="2" t="s">
        <v>78</v>
      </c>
      <c r="B10" s="5">
        <v>42264</v>
      </c>
      <c r="C10" s="2" t="str">
        <f>TEXT(data[[#This Row],[Order Date]],"YYYY")</f>
        <v>2015</v>
      </c>
      <c r="D10" s="2">
        <v>42268</v>
      </c>
      <c r="E10" s="2" t="s">
        <v>39</v>
      </c>
      <c r="F10" s="2" t="s">
        <v>79</v>
      </c>
      <c r="G10" s="2" t="s">
        <v>80</v>
      </c>
      <c r="H10" s="2" t="s">
        <v>24</v>
      </c>
      <c r="I10" s="2" t="s">
        <v>25</v>
      </c>
      <c r="J10" s="2" t="s">
        <v>65</v>
      </c>
      <c r="K10" s="2" t="s">
        <v>66</v>
      </c>
      <c r="L10" s="2" t="s">
        <v>67</v>
      </c>
      <c r="M10" s="2" t="s">
        <v>84</v>
      </c>
      <c r="N10" s="2" t="s">
        <v>30</v>
      </c>
      <c r="O10" s="2" t="s">
        <v>56</v>
      </c>
      <c r="P10" s="2" t="s">
        <v>85</v>
      </c>
      <c r="Q10" s="2">
        <v>124.2</v>
      </c>
      <c r="R10" s="2">
        <v>3</v>
      </c>
      <c r="S10" s="2">
        <v>15.525</v>
      </c>
      <c r="T10" s="2" t="s">
        <v>83</v>
      </c>
      <c r="U10" s="2" t="s">
        <v>77</v>
      </c>
    </row>
    <row r="11" spans="1:21" ht="14.25" customHeight="1" x14ac:dyDescent="0.3">
      <c r="A11" s="2" t="s">
        <v>86</v>
      </c>
      <c r="B11" s="5">
        <v>42712</v>
      </c>
      <c r="C11" s="2" t="str">
        <f>TEXT(data[[#This Row],[Order Date]],"YYYY")</f>
        <v>2016</v>
      </c>
      <c r="D11" s="2">
        <v>42714</v>
      </c>
      <c r="E11" s="2" t="s">
        <v>87</v>
      </c>
      <c r="F11" s="2" t="s">
        <v>88</v>
      </c>
      <c r="G11" s="2" t="s">
        <v>89</v>
      </c>
      <c r="H11" s="2" t="s">
        <v>90</v>
      </c>
      <c r="I11" s="2" t="s">
        <v>25</v>
      </c>
      <c r="J11" s="2" t="s">
        <v>91</v>
      </c>
      <c r="K11" s="2" t="s">
        <v>92</v>
      </c>
      <c r="L11" s="2" t="s">
        <v>93</v>
      </c>
      <c r="M11" s="2" t="s">
        <v>94</v>
      </c>
      <c r="N11" s="2" t="s">
        <v>30</v>
      </c>
      <c r="O11" s="2" t="s">
        <v>56</v>
      </c>
      <c r="P11" s="2" t="s">
        <v>95</v>
      </c>
      <c r="Q11" s="2">
        <v>190.92</v>
      </c>
      <c r="R11" s="2">
        <v>5</v>
      </c>
      <c r="S11" s="2">
        <v>-147.96299999999999</v>
      </c>
      <c r="T11" s="2" t="s">
        <v>70</v>
      </c>
      <c r="U11" s="2" t="s">
        <v>96</v>
      </c>
    </row>
    <row r="12" spans="1:21" ht="14.25" customHeight="1" x14ac:dyDescent="0.3">
      <c r="A12" s="2" t="s">
        <v>97</v>
      </c>
      <c r="B12" s="5">
        <v>42365</v>
      </c>
      <c r="C12" s="2" t="str">
        <f>TEXT(data[[#This Row],[Order Date]],"YYYY")</f>
        <v>2015</v>
      </c>
      <c r="D12" s="2">
        <v>42369</v>
      </c>
      <c r="E12" s="2" t="s">
        <v>39</v>
      </c>
      <c r="F12" s="2" t="s">
        <v>98</v>
      </c>
      <c r="G12" s="2" t="s">
        <v>99</v>
      </c>
      <c r="H12" s="2" t="s">
        <v>100</v>
      </c>
      <c r="I12" s="2" t="s">
        <v>25</v>
      </c>
      <c r="J12" s="2" t="s">
        <v>101</v>
      </c>
      <c r="K12" s="2" t="s">
        <v>92</v>
      </c>
      <c r="L12" s="2" t="s">
        <v>93</v>
      </c>
      <c r="M12" s="2" t="s">
        <v>102</v>
      </c>
      <c r="N12" s="2" t="s">
        <v>30</v>
      </c>
      <c r="O12" s="2" t="s">
        <v>31</v>
      </c>
      <c r="P12" s="2" t="s">
        <v>103</v>
      </c>
      <c r="Q12" s="2">
        <v>532.39919999999995</v>
      </c>
      <c r="R12" s="2">
        <v>3</v>
      </c>
      <c r="S12" s="2">
        <v>-46.976399999999998</v>
      </c>
      <c r="T12" s="2" t="s">
        <v>83</v>
      </c>
      <c r="U12" s="2" t="s">
        <v>96</v>
      </c>
    </row>
    <row r="13" spans="1:21" ht="14.25" customHeight="1" x14ac:dyDescent="0.3">
      <c r="A13" s="2" t="s">
        <v>97</v>
      </c>
      <c r="B13" s="5">
        <v>42365</v>
      </c>
      <c r="C13" s="2" t="str">
        <f>TEXT(data[[#This Row],[Order Date]],"YYYY")</f>
        <v>2015</v>
      </c>
      <c r="D13" s="2">
        <v>42369</v>
      </c>
      <c r="E13" s="2" t="s">
        <v>39</v>
      </c>
      <c r="F13" s="2" t="s">
        <v>98</v>
      </c>
      <c r="G13" s="2" t="s">
        <v>99</v>
      </c>
      <c r="H13" s="2" t="s">
        <v>100</v>
      </c>
      <c r="I13" s="2" t="s">
        <v>25</v>
      </c>
      <c r="J13" s="2" t="s">
        <v>101</v>
      </c>
      <c r="K13" s="2" t="s">
        <v>92</v>
      </c>
      <c r="L13" s="2" t="s">
        <v>93</v>
      </c>
      <c r="M13" s="2" t="s">
        <v>104</v>
      </c>
      <c r="N13" s="2" t="s">
        <v>30</v>
      </c>
      <c r="O13" s="2" t="s">
        <v>36</v>
      </c>
      <c r="P13" s="2" t="s">
        <v>105</v>
      </c>
      <c r="Q13" s="2">
        <v>212.05799999999999</v>
      </c>
      <c r="R13" s="2">
        <v>3</v>
      </c>
      <c r="S13" s="2">
        <v>-15.147</v>
      </c>
      <c r="T13" s="2" t="s">
        <v>83</v>
      </c>
      <c r="U13" s="2" t="s">
        <v>96</v>
      </c>
    </row>
    <row r="14" spans="1:21" ht="14.25" customHeight="1" x14ac:dyDescent="0.3">
      <c r="A14" s="2" t="s">
        <v>106</v>
      </c>
      <c r="B14" s="5">
        <v>42112</v>
      </c>
      <c r="C14" s="2" t="str">
        <f>TEXT(data[[#This Row],[Order Date]],"YYYY")</f>
        <v>2015</v>
      </c>
      <c r="D14" s="2">
        <v>42116</v>
      </c>
      <c r="E14" s="2" t="s">
        <v>39</v>
      </c>
      <c r="F14" s="2" t="s">
        <v>107</v>
      </c>
      <c r="G14" s="2" t="s">
        <v>108</v>
      </c>
      <c r="H14" s="2" t="s">
        <v>24</v>
      </c>
      <c r="I14" s="2" t="s">
        <v>25</v>
      </c>
      <c r="J14" s="2" t="s">
        <v>109</v>
      </c>
      <c r="K14" s="2" t="s">
        <v>110</v>
      </c>
      <c r="L14" s="2" t="s">
        <v>93</v>
      </c>
      <c r="M14" s="2" t="s">
        <v>111</v>
      </c>
      <c r="N14" s="2" t="s">
        <v>30</v>
      </c>
      <c r="O14" s="2" t="s">
        <v>56</v>
      </c>
      <c r="P14" s="2" t="s">
        <v>112</v>
      </c>
      <c r="Q14" s="2">
        <v>6.16</v>
      </c>
      <c r="R14" s="2">
        <v>2</v>
      </c>
      <c r="S14" s="2">
        <v>2.9567999999999999</v>
      </c>
      <c r="T14" s="2" t="s">
        <v>83</v>
      </c>
      <c r="U14" s="2" t="s">
        <v>113</v>
      </c>
    </row>
    <row r="15" spans="1:21" ht="14.25" customHeight="1" x14ac:dyDescent="0.3">
      <c r="A15" s="2" t="s">
        <v>106</v>
      </c>
      <c r="B15" s="5">
        <v>42112</v>
      </c>
      <c r="C15" s="2" t="str">
        <f>TEXT(data[[#This Row],[Order Date]],"YYYY")</f>
        <v>2015</v>
      </c>
      <c r="D15" s="2">
        <v>42116</v>
      </c>
      <c r="E15" s="2" t="s">
        <v>39</v>
      </c>
      <c r="F15" s="2" t="s">
        <v>107</v>
      </c>
      <c r="G15" s="2" t="s">
        <v>108</v>
      </c>
      <c r="H15" s="2" t="s">
        <v>24</v>
      </c>
      <c r="I15" s="2" t="s">
        <v>25</v>
      </c>
      <c r="J15" s="2" t="s">
        <v>109</v>
      </c>
      <c r="K15" s="2" t="s">
        <v>110</v>
      </c>
      <c r="L15" s="2" t="s">
        <v>93</v>
      </c>
      <c r="M15" s="2" t="s">
        <v>114</v>
      </c>
      <c r="N15" s="2" t="s">
        <v>30</v>
      </c>
      <c r="O15" s="2" t="s">
        <v>36</v>
      </c>
      <c r="P15" s="2" t="s">
        <v>115</v>
      </c>
      <c r="Q15" s="2">
        <v>89.99</v>
      </c>
      <c r="R15" s="2">
        <v>1</v>
      </c>
      <c r="S15" s="2">
        <v>17.098099999999999</v>
      </c>
      <c r="T15" s="2" t="s">
        <v>83</v>
      </c>
      <c r="U15" s="2" t="s">
        <v>113</v>
      </c>
    </row>
    <row r="16" spans="1:21" ht="14.25" customHeight="1" x14ac:dyDescent="0.3">
      <c r="A16" s="2" t="s">
        <v>116</v>
      </c>
      <c r="B16" s="5">
        <v>42538</v>
      </c>
      <c r="C16" s="2" t="str">
        <f>TEXT(data[[#This Row],[Order Date]],"YYYY")</f>
        <v>2016</v>
      </c>
      <c r="D16" s="2">
        <v>42539</v>
      </c>
      <c r="E16" s="2" t="s">
        <v>87</v>
      </c>
      <c r="F16" s="2" t="s">
        <v>117</v>
      </c>
      <c r="G16" s="2" t="s">
        <v>118</v>
      </c>
      <c r="H16" s="2" t="s">
        <v>24</v>
      </c>
      <c r="I16" s="2" t="s">
        <v>25</v>
      </c>
      <c r="J16" s="2" t="s">
        <v>119</v>
      </c>
      <c r="K16" s="2" t="s">
        <v>120</v>
      </c>
      <c r="L16" s="2" t="s">
        <v>67</v>
      </c>
      <c r="M16" s="2" t="s">
        <v>121</v>
      </c>
      <c r="N16" s="2" t="s">
        <v>30</v>
      </c>
      <c r="O16" s="2" t="s">
        <v>36</v>
      </c>
      <c r="P16" s="2" t="s">
        <v>122</v>
      </c>
      <c r="Q16" s="2">
        <v>319.41000000000003</v>
      </c>
      <c r="R16" s="2">
        <v>5</v>
      </c>
      <c r="S16" s="2">
        <v>7.0979999999999999</v>
      </c>
      <c r="T16" s="2" t="s">
        <v>123</v>
      </c>
      <c r="U16" s="2" t="s">
        <v>59</v>
      </c>
    </row>
    <row r="17" spans="1:21" ht="14.25" customHeight="1" x14ac:dyDescent="0.3">
      <c r="A17" s="2" t="s">
        <v>124</v>
      </c>
      <c r="B17" s="5">
        <v>42332</v>
      </c>
      <c r="C17" s="2" t="str">
        <f>TEXT(data[[#This Row],[Order Date]],"YYYY")</f>
        <v>2015</v>
      </c>
      <c r="D17" s="2">
        <v>42338</v>
      </c>
      <c r="E17" s="2" t="s">
        <v>39</v>
      </c>
      <c r="F17" s="2" t="s">
        <v>125</v>
      </c>
      <c r="G17" s="2" t="s">
        <v>126</v>
      </c>
      <c r="H17" s="2" t="s">
        <v>24</v>
      </c>
      <c r="I17" s="2" t="s">
        <v>25</v>
      </c>
      <c r="J17" s="2" t="s">
        <v>52</v>
      </c>
      <c r="K17" s="2" t="s">
        <v>53</v>
      </c>
      <c r="L17" s="2" t="s">
        <v>54</v>
      </c>
      <c r="M17" s="2" t="s">
        <v>127</v>
      </c>
      <c r="N17" s="2" t="s">
        <v>30</v>
      </c>
      <c r="O17" s="2" t="s">
        <v>56</v>
      </c>
      <c r="P17" s="2" t="s">
        <v>128</v>
      </c>
      <c r="Q17" s="2">
        <v>79.760000000000005</v>
      </c>
      <c r="R17" s="2">
        <v>4</v>
      </c>
      <c r="S17" s="2">
        <v>22.332799999999999</v>
      </c>
      <c r="T17" s="2" t="s">
        <v>129</v>
      </c>
      <c r="U17" s="2" t="s">
        <v>34</v>
      </c>
    </row>
    <row r="18" spans="1:21" ht="14.25" customHeight="1" x14ac:dyDescent="0.3">
      <c r="A18" s="2" t="s">
        <v>130</v>
      </c>
      <c r="B18" s="5">
        <v>42124</v>
      </c>
      <c r="C18" s="2" t="str">
        <f>TEXT(data[[#This Row],[Order Date]],"YYYY")</f>
        <v>2015</v>
      </c>
      <c r="D18" s="2">
        <v>42129</v>
      </c>
      <c r="E18" s="2" t="s">
        <v>39</v>
      </c>
      <c r="F18" s="2" t="s">
        <v>131</v>
      </c>
      <c r="G18" s="2" t="s">
        <v>132</v>
      </c>
      <c r="H18" s="2" t="s">
        <v>100</v>
      </c>
      <c r="I18" s="2" t="s">
        <v>25</v>
      </c>
      <c r="J18" s="2" t="s">
        <v>133</v>
      </c>
      <c r="K18" s="2" t="s">
        <v>134</v>
      </c>
      <c r="L18" s="2" t="s">
        <v>93</v>
      </c>
      <c r="M18" s="2" t="s">
        <v>135</v>
      </c>
      <c r="N18" s="2" t="s">
        <v>30</v>
      </c>
      <c r="O18" s="2" t="s">
        <v>36</v>
      </c>
      <c r="P18" s="2" t="s">
        <v>136</v>
      </c>
      <c r="Q18" s="2">
        <v>213.11500000000001</v>
      </c>
      <c r="R18" s="2">
        <v>5</v>
      </c>
      <c r="S18" s="2">
        <v>-15.2225</v>
      </c>
      <c r="T18" s="2" t="s">
        <v>58</v>
      </c>
      <c r="U18" s="2" t="s">
        <v>113</v>
      </c>
    </row>
    <row r="19" spans="1:21" ht="14.25" customHeight="1" x14ac:dyDescent="0.3">
      <c r="A19" s="2" t="s">
        <v>137</v>
      </c>
      <c r="B19" s="5">
        <v>42120</v>
      </c>
      <c r="C19" s="2" t="str">
        <f>TEXT(data[[#This Row],[Order Date]],"YYYY")</f>
        <v>2015</v>
      </c>
      <c r="D19" s="2">
        <v>42126</v>
      </c>
      <c r="E19" s="2" t="s">
        <v>39</v>
      </c>
      <c r="F19" s="2" t="s">
        <v>138</v>
      </c>
      <c r="G19" s="2" t="s">
        <v>139</v>
      </c>
      <c r="H19" s="2" t="s">
        <v>24</v>
      </c>
      <c r="I19" s="2" t="s">
        <v>25</v>
      </c>
      <c r="J19" s="2" t="s">
        <v>140</v>
      </c>
      <c r="K19" s="2" t="s">
        <v>141</v>
      </c>
      <c r="L19" s="2" t="s">
        <v>28</v>
      </c>
      <c r="M19" s="2" t="s">
        <v>142</v>
      </c>
      <c r="N19" s="2" t="s">
        <v>30</v>
      </c>
      <c r="O19" s="2" t="s">
        <v>36</v>
      </c>
      <c r="P19" s="2" t="s">
        <v>143</v>
      </c>
      <c r="Q19" s="2">
        <v>831.93600000000004</v>
      </c>
      <c r="R19" s="2">
        <v>8</v>
      </c>
      <c r="S19" s="2">
        <v>-114.3912</v>
      </c>
      <c r="T19" s="2" t="s">
        <v>129</v>
      </c>
      <c r="U19" s="2" t="s">
        <v>113</v>
      </c>
    </row>
    <row r="20" spans="1:21" ht="14.25" customHeight="1" x14ac:dyDescent="0.3">
      <c r="A20" s="2" t="s">
        <v>137</v>
      </c>
      <c r="B20" s="5">
        <v>42120</v>
      </c>
      <c r="C20" s="2" t="str">
        <f>TEXT(data[[#This Row],[Order Date]],"YYYY")</f>
        <v>2015</v>
      </c>
      <c r="D20" s="2">
        <v>42126</v>
      </c>
      <c r="E20" s="2" t="s">
        <v>39</v>
      </c>
      <c r="F20" s="2" t="s">
        <v>138</v>
      </c>
      <c r="G20" s="2" t="s">
        <v>139</v>
      </c>
      <c r="H20" s="2" t="s">
        <v>24</v>
      </c>
      <c r="I20" s="2" t="s">
        <v>25</v>
      </c>
      <c r="J20" s="2" t="s">
        <v>140</v>
      </c>
      <c r="K20" s="2" t="s">
        <v>141</v>
      </c>
      <c r="L20" s="2" t="s">
        <v>28</v>
      </c>
      <c r="M20" s="2" t="s">
        <v>144</v>
      </c>
      <c r="N20" s="2" t="s">
        <v>30</v>
      </c>
      <c r="O20" s="2" t="s">
        <v>56</v>
      </c>
      <c r="P20" s="2" t="s">
        <v>145</v>
      </c>
      <c r="Q20" s="2">
        <v>97.04</v>
      </c>
      <c r="R20" s="2">
        <v>2</v>
      </c>
      <c r="S20" s="2">
        <v>1.2130000000000001</v>
      </c>
      <c r="T20" s="2" t="s">
        <v>129</v>
      </c>
      <c r="U20" s="2" t="s">
        <v>113</v>
      </c>
    </row>
    <row r="21" spans="1:21" ht="14.25" customHeight="1" x14ac:dyDescent="0.3">
      <c r="A21" s="2" t="s">
        <v>146</v>
      </c>
      <c r="B21" s="5">
        <v>43078</v>
      </c>
      <c r="C21" s="2" t="str">
        <f>TEXT(data[[#This Row],[Order Date]],"YYYY")</f>
        <v>2017</v>
      </c>
      <c r="D21" s="2">
        <v>43080</v>
      </c>
      <c r="E21" s="2" t="s">
        <v>87</v>
      </c>
      <c r="F21" s="2" t="s">
        <v>147</v>
      </c>
      <c r="G21" s="2" t="s">
        <v>148</v>
      </c>
      <c r="H21" s="2" t="s">
        <v>90</v>
      </c>
      <c r="I21" s="2" t="s">
        <v>25</v>
      </c>
      <c r="J21" s="2" t="s">
        <v>101</v>
      </c>
      <c r="K21" s="2" t="s">
        <v>92</v>
      </c>
      <c r="L21" s="2" t="s">
        <v>93</v>
      </c>
      <c r="M21" s="2" t="s">
        <v>149</v>
      </c>
      <c r="N21" s="2" t="s">
        <v>30</v>
      </c>
      <c r="O21" s="2" t="s">
        <v>56</v>
      </c>
      <c r="P21" s="2" t="s">
        <v>150</v>
      </c>
      <c r="Q21" s="2">
        <v>9.7080000000000002</v>
      </c>
      <c r="R21" s="2">
        <v>3</v>
      </c>
      <c r="S21" s="2">
        <v>-5.8247999999999998</v>
      </c>
      <c r="T21" s="2" t="s">
        <v>70</v>
      </c>
      <c r="U21" s="2" t="s">
        <v>96</v>
      </c>
    </row>
    <row r="22" spans="1:21" ht="14.25" customHeight="1" x14ac:dyDescent="0.3">
      <c r="A22" s="2" t="s">
        <v>151</v>
      </c>
      <c r="B22" s="5">
        <v>41969</v>
      </c>
      <c r="C22" s="2" t="str">
        <f>TEXT(data[[#This Row],[Order Date]],"YYYY")</f>
        <v>2014</v>
      </c>
      <c r="D22" s="2">
        <v>41974</v>
      </c>
      <c r="E22" s="2" t="s">
        <v>21</v>
      </c>
      <c r="F22" s="2" t="s">
        <v>138</v>
      </c>
      <c r="G22" s="2" t="s">
        <v>139</v>
      </c>
      <c r="H22" s="2" t="s">
        <v>24</v>
      </c>
      <c r="I22" s="2" t="s">
        <v>25</v>
      </c>
      <c r="J22" s="2" t="s">
        <v>101</v>
      </c>
      <c r="K22" s="2" t="s">
        <v>92</v>
      </c>
      <c r="L22" s="2" t="s">
        <v>93</v>
      </c>
      <c r="M22" s="2" t="s">
        <v>152</v>
      </c>
      <c r="N22" s="2" t="s">
        <v>30</v>
      </c>
      <c r="O22" s="2" t="s">
        <v>56</v>
      </c>
      <c r="P22" s="2" t="s">
        <v>153</v>
      </c>
      <c r="Q22" s="2">
        <v>19.3</v>
      </c>
      <c r="R22" s="2">
        <v>5</v>
      </c>
      <c r="S22" s="2">
        <v>-14.475</v>
      </c>
      <c r="T22" s="2" t="s">
        <v>58</v>
      </c>
      <c r="U22" s="2" t="s">
        <v>34</v>
      </c>
    </row>
    <row r="23" spans="1:21" ht="14.25" customHeight="1" x14ac:dyDescent="0.3">
      <c r="A23" s="2" t="s">
        <v>154</v>
      </c>
      <c r="B23" s="5">
        <v>42883</v>
      </c>
      <c r="C23" s="2" t="str">
        <f>TEXT(data[[#This Row],[Order Date]],"YYYY")</f>
        <v>2017</v>
      </c>
      <c r="D23" s="2">
        <v>42885</v>
      </c>
      <c r="E23" s="2" t="s">
        <v>21</v>
      </c>
      <c r="F23" s="2" t="s">
        <v>155</v>
      </c>
      <c r="G23" s="2" t="s">
        <v>156</v>
      </c>
      <c r="H23" s="2" t="s">
        <v>24</v>
      </c>
      <c r="I23" s="2" t="s">
        <v>25</v>
      </c>
      <c r="J23" s="2" t="s">
        <v>157</v>
      </c>
      <c r="K23" s="2" t="s">
        <v>158</v>
      </c>
      <c r="L23" s="2" t="s">
        <v>28</v>
      </c>
      <c r="M23" s="2" t="s">
        <v>159</v>
      </c>
      <c r="N23" s="2" t="s">
        <v>30</v>
      </c>
      <c r="O23" s="2" t="s">
        <v>36</v>
      </c>
      <c r="P23" s="2" t="s">
        <v>160</v>
      </c>
      <c r="Q23" s="2">
        <v>301.95999999999998</v>
      </c>
      <c r="R23" s="2">
        <v>2</v>
      </c>
      <c r="S23" s="2">
        <v>33.215600000000002</v>
      </c>
      <c r="T23" s="2" t="s">
        <v>70</v>
      </c>
      <c r="U23" s="2" t="s">
        <v>161</v>
      </c>
    </row>
    <row r="24" spans="1:21" ht="14.25" customHeight="1" x14ac:dyDescent="0.3">
      <c r="A24" s="2" t="s">
        <v>162</v>
      </c>
      <c r="B24" s="5">
        <v>42035</v>
      </c>
      <c r="C24" s="2" t="str">
        <f>TEXT(data[[#This Row],[Order Date]],"YYYY")</f>
        <v>2015</v>
      </c>
      <c r="D24" s="2">
        <v>42040</v>
      </c>
      <c r="E24" s="2" t="s">
        <v>21</v>
      </c>
      <c r="F24" s="2" t="s">
        <v>163</v>
      </c>
      <c r="G24" s="2" t="s">
        <v>164</v>
      </c>
      <c r="H24" s="2" t="s">
        <v>24</v>
      </c>
      <c r="I24" s="2" t="s">
        <v>25</v>
      </c>
      <c r="J24" s="2" t="s">
        <v>165</v>
      </c>
      <c r="K24" s="2" t="s">
        <v>166</v>
      </c>
      <c r="L24" s="2" t="s">
        <v>93</v>
      </c>
      <c r="M24" s="2" t="s">
        <v>167</v>
      </c>
      <c r="N24" s="2" t="s">
        <v>30</v>
      </c>
      <c r="O24" s="2" t="s">
        <v>56</v>
      </c>
      <c r="P24" s="2" t="s">
        <v>168</v>
      </c>
      <c r="Q24" s="2">
        <v>53.34</v>
      </c>
      <c r="R24" s="2">
        <v>3</v>
      </c>
      <c r="S24" s="2">
        <v>16.535399999999999</v>
      </c>
      <c r="T24" s="2" t="s">
        <v>58</v>
      </c>
      <c r="U24" s="2" t="s">
        <v>169</v>
      </c>
    </row>
    <row r="25" spans="1:21" ht="14.25" customHeight="1" x14ac:dyDescent="0.3">
      <c r="A25" s="2" t="s">
        <v>170</v>
      </c>
      <c r="B25" s="5">
        <v>43048</v>
      </c>
      <c r="C25" s="2" t="str">
        <f>TEXT(data[[#This Row],[Order Date]],"YYYY")</f>
        <v>2017</v>
      </c>
      <c r="D25" s="2">
        <v>43050</v>
      </c>
      <c r="E25" s="2" t="s">
        <v>21</v>
      </c>
      <c r="F25" s="2" t="s">
        <v>171</v>
      </c>
      <c r="G25" s="2" t="s">
        <v>172</v>
      </c>
      <c r="H25" s="2" t="s">
        <v>100</v>
      </c>
      <c r="I25" s="2" t="s">
        <v>25</v>
      </c>
      <c r="J25" s="2" t="s">
        <v>173</v>
      </c>
      <c r="K25" s="2" t="s">
        <v>120</v>
      </c>
      <c r="L25" s="2" t="s">
        <v>67</v>
      </c>
      <c r="M25" s="2" t="s">
        <v>174</v>
      </c>
      <c r="N25" s="2" t="s">
        <v>30</v>
      </c>
      <c r="O25" s="2" t="s">
        <v>56</v>
      </c>
      <c r="P25" s="2" t="s">
        <v>175</v>
      </c>
      <c r="Q25" s="2">
        <v>96.53</v>
      </c>
      <c r="R25" s="2">
        <v>7</v>
      </c>
      <c r="S25" s="2">
        <v>40.5426</v>
      </c>
      <c r="T25" s="2" t="s">
        <v>70</v>
      </c>
      <c r="U25" s="2" t="s">
        <v>34</v>
      </c>
    </row>
    <row r="26" spans="1:21" ht="14.25" customHeight="1" x14ac:dyDescent="0.3">
      <c r="A26" s="2" t="s">
        <v>176</v>
      </c>
      <c r="B26" s="5">
        <v>42321</v>
      </c>
      <c r="C26" s="2" t="str">
        <f>TEXT(data[[#This Row],[Order Date]],"YYYY")</f>
        <v>2015</v>
      </c>
      <c r="D26" s="2">
        <v>42325</v>
      </c>
      <c r="E26" s="2" t="s">
        <v>39</v>
      </c>
      <c r="F26" s="2" t="s">
        <v>177</v>
      </c>
      <c r="G26" s="2" t="s">
        <v>178</v>
      </c>
      <c r="H26" s="2" t="s">
        <v>24</v>
      </c>
      <c r="I26" s="2" t="s">
        <v>25</v>
      </c>
      <c r="J26" s="2" t="s">
        <v>179</v>
      </c>
      <c r="K26" s="2" t="s">
        <v>180</v>
      </c>
      <c r="L26" s="2" t="s">
        <v>54</v>
      </c>
      <c r="M26" s="2" t="s">
        <v>181</v>
      </c>
      <c r="N26" s="2" t="s">
        <v>30</v>
      </c>
      <c r="O26" s="2" t="s">
        <v>56</v>
      </c>
      <c r="P26" s="2" t="s">
        <v>182</v>
      </c>
      <c r="Q26" s="2">
        <v>102.36</v>
      </c>
      <c r="R26" s="2">
        <v>3</v>
      </c>
      <c r="S26" s="2">
        <v>-3.8384999999999998</v>
      </c>
      <c r="T26" s="2" t="s">
        <v>83</v>
      </c>
      <c r="U26" s="2" t="s">
        <v>34</v>
      </c>
    </row>
    <row r="27" spans="1:21" ht="14.25" customHeight="1" x14ac:dyDescent="0.3">
      <c r="A27" s="2" t="s">
        <v>183</v>
      </c>
      <c r="B27" s="5">
        <v>43094</v>
      </c>
      <c r="C27" s="2" t="str">
        <f>TEXT(data[[#This Row],[Order Date]],"YYYY")</f>
        <v>2017</v>
      </c>
      <c r="D27" s="2">
        <v>43099</v>
      </c>
      <c r="E27" s="2" t="s">
        <v>39</v>
      </c>
      <c r="F27" s="2" t="s">
        <v>184</v>
      </c>
      <c r="G27" s="2" t="s">
        <v>185</v>
      </c>
      <c r="H27" s="2" t="s">
        <v>90</v>
      </c>
      <c r="I27" s="2" t="s">
        <v>25</v>
      </c>
      <c r="J27" s="2" t="s">
        <v>173</v>
      </c>
      <c r="K27" s="2" t="s">
        <v>120</v>
      </c>
      <c r="L27" s="2" t="s">
        <v>67</v>
      </c>
      <c r="M27" s="2" t="s">
        <v>186</v>
      </c>
      <c r="N27" s="2" t="s">
        <v>30</v>
      </c>
      <c r="O27" s="2" t="s">
        <v>56</v>
      </c>
      <c r="P27" s="2" t="s">
        <v>187</v>
      </c>
      <c r="Q27" s="2">
        <v>41.96</v>
      </c>
      <c r="R27" s="2">
        <v>2</v>
      </c>
      <c r="S27" s="2">
        <v>10.909599999999999</v>
      </c>
      <c r="T27" s="2" t="s">
        <v>58</v>
      </c>
      <c r="U27" s="2" t="s">
        <v>96</v>
      </c>
    </row>
    <row r="28" spans="1:21" ht="14.25" customHeight="1" x14ac:dyDescent="0.3">
      <c r="A28" s="2" t="s">
        <v>188</v>
      </c>
      <c r="B28" s="5">
        <v>42065</v>
      </c>
      <c r="C28" s="2" t="str">
        <f>TEXT(data[[#This Row],[Order Date]],"YYYY")</f>
        <v>2015</v>
      </c>
      <c r="D28" s="2">
        <v>42069</v>
      </c>
      <c r="E28" s="2" t="s">
        <v>39</v>
      </c>
      <c r="F28" s="2" t="s">
        <v>189</v>
      </c>
      <c r="G28" s="2" t="s">
        <v>190</v>
      </c>
      <c r="H28" s="2" t="s">
        <v>24</v>
      </c>
      <c r="I28" s="2" t="s">
        <v>25</v>
      </c>
      <c r="J28" s="2" t="s">
        <v>191</v>
      </c>
      <c r="K28" s="2" t="s">
        <v>192</v>
      </c>
      <c r="L28" s="2" t="s">
        <v>54</v>
      </c>
      <c r="M28" s="2" t="s">
        <v>193</v>
      </c>
      <c r="N28" s="2" t="s">
        <v>30</v>
      </c>
      <c r="O28" s="2" t="s">
        <v>45</v>
      </c>
      <c r="P28" s="2" t="s">
        <v>194</v>
      </c>
      <c r="Q28" s="2">
        <v>787.53</v>
      </c>
      <c r="R28" s="2">
        <v>3</v>
      </c>
      <c r="S28" s="2">
        <v>165.38130000000001</v>
      </c>
      <c r="T28" s="2" t="s">
        <v>83</v>
      </c>
      <c r="U28" s="2" t="s">
        <v>195</v>
      </c>
    </row>
    <row r="29" spans="1:21" ht="14.25" customHeight="1" x14ac:dyDescent="0.3">
      <c r="A29" s="2" t="s">
        <v>196</v>
      </c>
      <c r="B29" s="5">
        <v>42533</v>
      </c>
      <c r="C29" s="2" t="str">
        <f>TEXT(data[[#This Row],[Order Date]],"YYYY")</f>
        <v>2016</v>
      </c>
      <c r="D29" s="2">
        <v>42536</v>
      </c>
      <c r="E29" s="2" t="s">
        <v>87</v>
      </c>
      <c r="F29" s="2" t="s">
        <v>197</v>
      </c>
      <c r="G29" s="2" t="s">
        <v>198</v>
      </c>
      <c r="H29" s="2" t="s">
        <v>24</v>
      </c>
      <c r="I29" s="2" t="s">
        <v>25</v>
      </c>
      <c r="J29" s="2" t="s">
        <v>199</v>
      </c>
      <c r="K29" s="2" t="s">
        <v>200</v>
      </c>
      <c r="L29" s="2" t="s">
        <v>67</v>
      </c>
      <c r="M29" s="2" t="s">
        <v>201</v>
      </c>
      <c r="N29" s="2" t="s">
        <v>30</v>
      </c>
      <c r="O29" s="2" t="s">
        <v>56</v>
      </c>
      <c r="P29" s="2" t="s">
        <v>202</v>
      </c>
      <c r="Q29" s="2">
        <v>47.04</v>
      </c>
      <c r="R29" s="2">
        <v>3</v>
      </c>
      <c r="S29" s="2">
        <v>18.345600000000001</v>
      </c>
      <c r="T29" s="2" t="s">
        <v>33</v>
      </c>
      <c r="U29" s="2" t="s">
        <v>59</v>
      </c>
    </row>
    <row r="30" spans="1:21" ht="14.25" customHeight="1" x14ac:dyDescent="0.3">
      <c r="A30" s="2" t="s">
        <v>203</v>
      </c>
      <c r="B30" s="5">
        <v>41999</v>
      </c>
      <c r="C30" s="2" t="str">
        <f>TEXT(data[[#This Row],[Order Date]],"YYYY")</f>
        <v>2014</v>
      </c>
      <c r="D30" s="2">
        <v>42001</v>
      </c>
      <c r="E30" s="2" t="s">
        <v>21</v>
      </c>
      <c r="F30" s="2" t="s">
        <v>204</v>
      </c>
      <c r="G30" s="2" t="s">
        <v>205</v>
      </c>
      <c r="H30" s="2" t="s">
        <v>100</v>
      </c>
      <c r="I30" s="2" t="s">
        <v>25</v>
      </c>
      <c r="J30" s="2" t="s">
        <v>101</v>
      </c>
      <c r="K30" s="2" t="s">
        <v>92</v>
      </c>
      <c r="L30" s="2" t="s">
        <v>93</v>
      </c>
      <c r="M30" s="2" t="s">
        <v>206</v>
      </c>
      <c r="N30" s="2" t="s">
        <v>30</v>
      </c>
      <c r="O30" s="2" t="s">
        <v>36</v>
      </c>
      <c r="P30" s="2" t="s">
        <v>207</v>
      </c>
      <c r="Q30" s="2">
        <v>600.55799999999999</v>
      </c>
      <c r="R30" s="2">
        <v>3</v>
      </c>
      <c r="S30" s="2">
        <v>-8.5793999999999997</v>
      </c>
      <c r="T30" s="2" t="s">
        <v>70</v>
      </c>
      <c r="U30" s="2" t="s">
        <v>96</v>
      </c>
    </row>
    <row r="31" spans="1:21" ht="14.25" customHeight="1" x14ac:dyDescent="0.3">
      <c r="A31" s="2" t="s">
        <v>208</v>
      </c>
      <c r="B31" s="5">
        <v>41902</v>
      </c>
      <c r="C31" s="2" t="str">
        <f>TEXT(data[[#This Row],[Order Date]],"YYYY")</f>
        <v>2014</v>
      </c>
      <c r="D31" s="2">
        <v>41907</v>
      </c>
      <c r="E31" s="2" t="s">
        <v>39</v>
      </c>
      <c r="F31" s="2" t="s">
        <v>209</v>
      </c>
      <c r="G31" s="2" t="s">
        <v>210</v>
      </c>
      <c r="H31" s="2" t="s">
        <v>24</v>
      </c>
      <c r="I31" s="2" t="s">
        <v>25</v>
      </c>
      <c r="J31" s="2" t="s">
        <v>211</v>
      </c>
      <c r="K31" s="2" t="s">
        <v>134</v>
      </c>
      <c r="L31" s="2" t="s">
        <v>93</v>
      </c>
      <c r="M31" s="2" t="s">
        <v>212</v>
      </c>
      <c r="N31" s="2" t="s">
        <v>30</v>
      </c>
      <c r="O31" s="2" t="s">
        <v>45</v>
      </c>
      <c r="P31" s="2" t="s">
        <v>213</v>
      </c>
      <c r="Q31" s="2">
        <v>617.70000000000005</v>
      </c>
      <c r="R31" s="2">
        <v>6</v>
      </c>
      <c r="S31" s="2">
        <v>-407.68200000000002</v>
      </c>
      <c r="T31" s="2" t="s">
        <v>58</v>
      </c>
      <c r="U31" s="2" t="s">
        <v>77</v>
      </c>
    </row>
    <row r="32" spans="1:21" ht="14.25" customHeight="1" x14ac:dyDescent="0.3">
      <c r="A32" s="2" t="s">
        <v>214</v>
      </c>
      <c r="B32" s="5">
        <v>42680</v>
      </c>
      <c r="C32" s="2" t="str">
        <f>TEXT(data[[#This Row],[Order Date]],"YYYY")</f>
        <v>2016</v>
      </c>
      <c r="D32" s="2">
        <v>42684</v>
      </c>
      <c r="E32" s="2" t="s">
        <v>21</v>
      </c>
      <c r="F32" s="2" t="s">
        <v>215</v>
      </c>
      <c r="G32" s="2" t="s">
        <v>216</v>
      </c>
      <c r="H32" s="2" t="s">
        <v>100</v>
      </c>
      <c r="I32" s="2" t="s">
        <v>25</v>
      </c>
      <c r="J32" s="2" t="s">
        <v>52</v>
      </c>
      <c r="K32" s="2" t="s">
        <v>53</v>
      </c>
      <c r="L32" s="2" t="s">
        <v>54</v>
      </c>
      <c r="M32" s="2" t="s">
        <v>135</v>
      </c>
      <c r="N32" s="2" t="s">
        <v>30</v>
      </c>
      <c r="O32" s="2" t="s">
        <v>36</v>
      </c>
      <c r="P32" s="2" t="s">
        <v>217</v>
      </c>
      <c r="Q32" s="2">
        <v>81.424000000000007</v>
      </c>
      <c r="R32" s="2">
        <v>2</v>
      </c>
      <c r="S32" s="2">
        <v>-9.1601999999999997</v>
      </c>
      <c r="T32" s="2" t="s">
        <v>83</v>
      </c>
      <c r="U32" s="2" t="s">
        <v>34</v>
      </c>
    </row>
    <row r="33" spans="1:21" ht="14.25" customHeight="1" x14ac:dyDescent="0.3">
      <c r="A33" s="2" t="s">
        <v>214</v>
      </c>
      <c r="B33" s="5">
        <v>42680</v>
      </c>
      <c r="C33" s="2" t="str">
        <f>TEXT(data[[#This Row],[Order Date]],"YYYY")</f>
        <v>2016</v>
      </c>
      <c r="D33" s="2">
        <v>42684</v>
      </c>
      <c r="E33" s="2" t="s">
        <v>21</v>
      </c>
      <c r="F33" s="2" t="s">
        <v>215</v>
      </c>
      <c r="G33" s="2" t="s">
        <v>216</v>
      </c>
      <c r="H33" s="2" t="s">
        <v>100</v>
      </c>
      <c r="I33" s="2" t="s">
        <v>25</v>
      </c>
      <c r="J33" s="2" t="s">
        <v>52</v>
      </c>
      <c r="K33" s="2" t="s">
        <v>53</v>
      </c>
      <c r="L33" s="2" t="s">
        <v>54</v>
      </c>
      <c r="M33" s="2" t="s">
        <v>218</v>
      </c>
      <c r="N33" s="2" t="s">
        <v>30</v>
      </c>
      <c r="O33" s="2" t="s">
        <v>56</v>
      </c>
      <c r="P33" s="2" t="s">
        <v>219</v>
      </c>
      <c r="Q33" s="2">
        <v>238.56</v>
      </c>
      <c r="R33" s="2">
        <v>3</v>
      </c>
      <c r="S33" s="2">
        <v>26.241599999999998</v>
      </c>
      <c r="T33" s="2" t="s">
        <v>83</v>
      </c>
      <c r="U33" s="2" t="s">
        <v>34</v>
      </c>
    </row>
    <row r="34" spans="1:21" ht="14.25" customHeight="1" x14ac:dyDescent="0.3">
      <c r="A34" s="2" t="s">
        <v>220</v>
      </c>
      <c r="B34" s="5">
        <v>42656</v>
      </c>
      <c r="C34" s="2" t="str">
        <f>TEXT(data[[#This Row],[Order Date]],"YYYY")</f>
        <v>2016</v>
      </c>
      <c r="D34" s="2">
        <v>42662</v>
      </c>
      <c r="E34" s="2" t="s">
        <v>39</v>
      </c>
      <c r="F34" s="2" t="s">
        <v>221</v>
      </c>
      <c r="G34" s="2" t="s">
        <v>222</v>
      </c>
      <c r="H34" s="2" t="s">
        <v>24</v>
      </c>
      <c r="I34" s="2" t="s">
        <v>25</v>
      </c>
      <c r="J34" s="2" t="s">
        <v>223</v>
      </c>
      <c r="K34" s="2" t="s">
        <v>53</v>
      </c>
      <c r="L34" s="2" t="s">
        <v>54</v>
      </c>
      <c r="M34" s="2" t="s">
        <v>111</v>
      </c>
      <c r="N34" s="2" t="s">
        <v>30</v>
      </c>
      <c r="O34" s="2" t="s">
        <v>56</v>
      </c>
      <c r="P34" s="2" t="s">
        <v>112</v>
      </c>
      <c r="Q34" s="2">
        <v>43.12</v>
      </c>
      <c r="R34" s="2">
        <v>14</v>
      </c>
      <c r="S34" s="2">
        <v>20.697600000000001</v>
      </c>
      <c r="T34" s="2" t="s">
        <v>129</v>
      </c>
      <c r="U34" s="2" t="s">
        <v>48</v>
      </c>
    </row>
    <row r="35" spans="1:21" ht="14.25" customHeight="1" x14ac:dyDescent="0.3">
      <c r="A35" s="2" t="s">
        <v>224</v>
      </c>
      <c r="B35" s="5">
        <v>42618</v>
      </c>
      <c r="C35" s="2" t="str">
        <f>TEXT(data[[#This Row],[Order Date]],"YYYY")</f>
        <v>2016</v>
      </c>
      <c r="D35" s="2">
        <v>42620</v>
      </c>
      <c r="E35" s="2" t="s">
        <v>21</v>
      </c>
      <c r="F35" s="2" t="s">
        <v>225</v>
      </c>
      <c r="G35" s="2" t="s">
        <v>226</v>
      </c>
      <c r="H35" s="2" t="s">
        <v>90</v>
      </c>
      <c r="I35" s="2" t="s">
        <v>25</v>
      </c>
      <c r="J35" s="2" t="s">
        <v>65</v>
      </c>
      <c r="K35" s="2" t="s">
        <v>66</v>
      </c>
      <c r="L35" s="2" t="s">
        <v>67</v>
      </c>
      <c r="M35" s="2" t="s">
        <v>84</v>
      </c>
      <c r="N35" s="2" t="s">
        <v>30</v>
      </c>
      <c r="O35" s="2" t="s">
        <v>56</v>
      </c>
      <c r="P35" s="2" t="s">
        <v>85</v>
      </c>
      <c r="Q35" s="2">
        <v>82.8</v>
      </c>
      <c r="R35" s="2">
        <v>2</v>
      </c>
      <c r="S35" s="2">
        <v>10.35</v>
      </c>
      <c r="T35" s="2" t="s">
        <v>70</v>
      </c>
      <c r="U35" s="2" t="s">
        <v>77</v>
      </c>
    </row>
    <row r="36" spans="1:21" ht="14.25" customHeight="1" x14ac:dyDescent="0.3">
      <c r="A36" s="2" t="s">
        <v>227</v>
      </c>
      <c r="B36" s="5">
        <v>41934</v>
      </c>
      <c r="C36" s="2" t="str">
        <f>TEXT(data[[#This Row],[Order Date]],"YYYY")</f>
        <v>2014</v>
      </c>
      <c r="D36" s="2">
        <v>41940</v>
      </c>
      <c r="E36" s="2" t="s">
        <v>39</v>
      </c>
      <c r="F36" s="2" t="s">
        <v>228</v>
      </c>
      <c r="G36" s="2" t="s">
        <v>229</v>
      </c>
      <c r="H36" s="2" t="s">
        <v>100</v>
      </c>
      <c r="I36" s="2" t="s">
        <v>25</v>
      </c>
      <c r="J36" s="2" t="s">
        <v>230</v>
      </c>
      <c r="K36" s="2" t="s">
        <v>231</v>
      </c>
      <c r="L36" s="2" t="s">
        <v>67</v>
      </c>
      <c r="M36" s="2" t="s">
        <v>232</v>
      </c>
      <c r="N36" s="2" t="s">
        <v>30</v>
      </c>
      <c r="O36" s="2" t="s">
        <v>56</v>
      </c>
      <c r="P36" s="2" t="s">
        <v>233</v>
      </c>
      <c r="Q36" s="2">
        <v>93.888000000000005</v>
      </c>
      <c r="R36" s="2">
        <v>4</v>
      </c>
      <c r="S36" s="2">
        <v>12.909599999999999</v>
      </c>
      <c r="T36" s="2" t="s">
        <v>129</v>
      </c>
      <c r="U36" s="2" t="s">
        <v>48</v>
      </c>
    </row>
    <row r="37" spans="1:21" ht="14.25" customHeight="1" x14ac:dyDescent="0.3">
      <c r="A37" s="2" t="s">
        <v>234</v>
      </c>
      <c r="B37" s="5">
        <v>42709</v>
      </c>
      <c r="C37" s="2" t="str">
        <f>TEXT(data[[#This Row],[Order Date]],"YYYY")</f>
        <v>2016</v>
      </c>
      <c r="D37" s="2">
        <v>42713</v>
      </c>
      <c r="E37" s="2" t="s">
        <v>39</v>
      </c>
      <c r="F37" s="2" t="s">
        <v>235</v>
      </c>
      <c r="G37" s="2" t="s">
        <v>236</v>
      </c>
      <c r="H37" s="2" t="s">
        <v>90</v>
      </c>
      <c r="I37" s="2" t="s">
        <v>25</v>
      </c>
      <c r="J37" s="2" t="s">
        <v>237</v>
      </c>
      <c r="K37" s="2" t="s">
        <v>238</v>
      </c>
      <c r="L37" s="2" t="s">
        <v>93</v>
      </c>
      <c r="M37" s="2" t="s">
        <v>35</v>
      </c>
      <c r="N37" s="2" t="s">
        <v>30</v>
      </c>
      <c r="O37" s="2" t="s">
        <v>36</v>
      </c>
      <c r="P37" s="2" t="s">
        <v>37</v>
      </c>
      <c r="Q37" s="2">
        <v>1951.84</v>
      </c>
      <c r="R37" s="2">
        <v>8</v>
      </c>
      <c r="S37" s="2">
        <v>585.55200000000002</v>
      </c>
      <c r="T37" s="2" t="s">
        <v>83</v>
      </c>
      <c r="U37" s="2" t="s">
        <v>96</v>
      </c>
    </row>
    <row r="38" spans="1:21" ht="14.25" customHeight="1" x14ac:dyDescent="0.3">
      <c r="A38" s="2" t="s">
        <v>239</v>
      </c>
      <c r="B38" s="5">
        <v>41699</v>
      </c>
      <c r="C38" s="2" t="str">
        <f>TEXT(data[[#This Row],[Order Date]],"YYYY")</f>
        <v>2014</v>
      </c>
      <c r="D38" s="2">
        <v>41704</v>
      </c>
      <c r="E38" s="2" t="s">
        <v>21</v>
      </c>
      <c r="F38" s="2" t="s">
        <v>240</v>
      </c>
      <c r="G38" s="2" t="s">
        <v>241</v>
      </c>
      <c r="H38" s="2" t="s">
        <v>24</v>
      </c>
      <c r="I38" s="2" t="s">
        <v>25</v>
      </c>
      <c r="J38" s="2" t="s">
        <v>191</v>
      </c>
      <c r="K38" s="2" t="s">
        <v>192</v>
      </c>
      <c r="L38" s="2" t="s">
        <v>54</v>
      </c>
      <c r="M38" s="2" t="s">
        <v>206</v>
      </c>
      <c r="N38" s="2" t="s">
        <v>30</v>
      </c>
      <c r="O38" s="2" t="s">
        <v>36</v>
      </c>
      <c r="P38" s="2" t="s">
        <v>207</v>
      </c>
      <c r="Q38" s="2">
        <v>457.56799999999998</v>
      </c>
      <c r="R38" s="2">
        <v>2</v>
      </c>
      <c r="S38" s="2">
        <v>51.476399999999998</v>
      </c>
      <c r="T38" s="2" t="s">
        <v>58</v>
      </c>
      <c r="U38" s="2" t="s">
        <v>195</v>
      </c>
    </row>
    <row r="39" spans="1:21" ht="14.25" customHeight="1" x14ac:dyDescent="0.3">
      <c r="A39" s="2" t="s">
        <v>242</v>
      </c>
      <c r="B39" s="5">
        <v>41890</v>
      </c>
      <c r="C39" s="2" t="str">
        <f>TEXT(data[[#This Row],[Order Date]],"YYYY")</f>
        <v>2014</v>
      </c>
      <c r="D39" s="2">
        <v>41894</v>
      </c>
      <c r="E39" s="2" t="s">
        <v>39</v>
      </c>
      <c r="F39" s="2" t="s">
        <v>243</v>
      </c>
      <c r="G39" s="2" t="s">
        <v>244</v>
      </c>
      <c r="H39" s="2" t="s">
        <v>24</v>
      </c>
      <c r="I39" s="2" t="s">
        <v>25</v>
      </c>
      <c r="J39" s="2" t="s">
        <v>245</v>
      </c>
      <c r="K39" s="2" t="s">
        <v>92</v>
      </c>
      <c r="L39" s="2" t="s">
        <v>93</v>
      </c>
      <c r="M39" s="2" t="s">
        <v>246</v>
      </c>
      <c r="N39" s="2" t="s">
        <v>30</v>
      </c>
      <c r="O39" s="2" t="s">
        <v>36</v>
      </c>
      <c r="P39" s="2" t="s">
        <v>247</v>
      </c>
      <c r="Q39" s="2">
        <v>1740.06</v>
      </c>
      <c r="R39" s="2">
        <v>9</v>
      </c>
      <c r="S39" s="2">
        <v>-24.858000000000001</v>
      </c>
      <c r="T39" s="2" t="s">
        <v>83</v>
      </c>
      <c r="U39" s="2" t="s">
        <v>77</v>
      </c>
    </row>
    <row r="40" spans="1:21" ht="14.25" customHeight="1" x14ac:dyDescent="0.3">
      <c r="A40" s="2" t="s">
        <v>248</v>
      </c>
      <c r="B40" s="5">
        <v>41856</v>
      </c>
      <c r="C40" s="2" t="str">
        <f>TEXT(data[[#This Row],[Order Date]],"YYYY")</f>
        <v>2014</v>
      </c>
      <c r="D40" s="2">
        <v>41860</v>
      </c>
      <c r="E40" s="2" t="s">
        <v>39</v>
      </c>
      <c r="F40" s="2" t="s">
        <v>249</v>
      </c>
      <c r="G40" s="2" t="s">
        <v>250</v>
      </c>
      <c r="H40" s="2" t="s">
        <v>24</v>
      </c>
      <c r="I40" s="2" t="s">
        <v>25</v>
      </c>
      <c r="J40" s="2" t="s">
        <v>52</v>
      </c>
      <c r="K40" s="2" t="s">
        <v>53</v>
      </c>
      <c r="L40" s="2" t="s">
        <v>54</v>
      </c>
      <c r="M40" s="2" t="s">
        <v>251</v>
      </c>
      <c r="N40" s="2" t="s">
        <v>30</v>
      </c>
      <c r="O40" s="2" t="s">
        <v>36</v>
      </c>
      <c r="P40" s="2" t="s">
        <v>252</v>
      </c>
      <c r="Q40" s="2">
        <v>340.14400000000001</v>
      </c>
      <c r="R40" s="2">
        <v>7</v>
      </c>
      <c r="S40" s="2">
        <v>21.259</v>
      </c>
      <c r="T40" s="2" t="s">
        <v>83</v>
      </c>
      <c r="U40" s="2" t="s">
        <v>253</v>
      </c>
    </row>
    <row r="41" spans="1:21" ht="14.25" customHeight="1" x14ac:dyDescent="0.3">
      <c r="A41" s="2" t="s">
        <v>254</v>
      </c>
      <c r="B41" s="5">
        <v>42329</v>
      </c>
      <c r="C41" s="2" t="str">
        <f>TEXT(data[[#This Row],[Order Date]],"YYYY")</f>
        <v>2015</v>
      </c>
      <c r="D41" s="2">
        <v>42331</v>
      </c>
      <c r="E41" s="2" t="s">
        <v>21</v>
      </c>
      <c r="F41" s="2" t="s">
        <v>138</v>
      </c>
      <c r="G41" s="2" t="s">
        <v>139</v>
      </c>
      <c r="H41" s="2" t="s">
        <v>24</v>
      </c>
      <c r="I41" s="2" t="s">
        <v>25</v>
      </c>
      <c r="J41" s="2" t="s">
        <v>230</v>
      </c>
      <c r="K41" s="2" t="s">
        <v>231</v>
      </c>
      <c r="L41" s="2" t="s">
        <v>67</v>
      </c>
      <c r="M41" s="2" t="s">
        <v>255</v>
      </c>
      <c r="N41" s="2" t="s">
        <v>30</v>
      </c>
      <c r="O41" s="2" t="s">
        <v>36</v>
      </c>
      <c r="P41" s="2" t="s">
        <v>256</v>
      </c>
      <c r="Q41" s="2">
        <v>396.80200000000002</v>
      </c>
      <c r="R41" s="2">
        <v>7</v>
      </c>
      <c r="S41" s="2">
        <v>-11.337199999999999</v>
      </c>
      <c r="T41" s="2" t="s">
        <v>70</v>
      </c>
      <c r="U41" s="2" t="s">
        <v>34</v>
      </c>
    </row>
    <row r="42" spans="1:21" ht="14.25" customHeight="1" x14ac:dyDescent="0.3">
      <c r="A42" s="2" t="s">
        <v>257</v>
      </c>
      <c r="B42" s="5">
        <v>42289</v>
      </c>
      <c r="C42" s="2" t="str">
        <f>TEXT(data[[#This Row],[Order Date]],"YYYY")</f>
        <v>2015</v>
      </c>
      <c r="D42" s="2">
        <v>42291</v>
      </c>
      <c r="E42" s="2" t="s">
        <v>87</v>
      </c>
      <c r="F42" s="2" t="s">
        <v>258</v>
      </c>
      <c r="G42" s="2" t="s">
        <v>259</v>
      </c>
      <c r="H42" s="2" t="s">
        <v>100</v>
      </c>
      <c r="I42" s="2" t="s">
        <v>25</v>
      </c>
      <c r="J42" s="2" t="s">
        <v>173</v>
      </c>
      <c r="K42" s="2" t="s">
        <v>120</v>
      </c>
      <c r="L42" s="2" t="s">
        <v>67</v>
      </c>
      <c r="M42" s="2" t="s">
        <v>260</v>
      </c>
      <c r="N42" s="2" t="s">
        <v>30</v>
      </c>
      <c r="O42" s="2" t="s">
        <v>31</v>
      </c>
      <c r="P42" s="2" t="s">
        <v>261</v>
      </c>
      <c r="Q42" s="2">
        <v>899.13599999999997</v>
      </c>
      <c r="R42" s="2">
        <v>4</v>
      </c>
      <c r="S42" s="2">
        <v>112.392</v>
      </c>
      <c r="T42" s="2" t="s">
        <v>70</v>
      </c>
      <c r="U42" s="2" t="s">
        <v>48</v>
      </c>
    </row>
    <row r="43" spans="1:21" ht="14.25" customHeight="1" x14ac:dyDescent="0.3">
      <c r="A43" s="2" t="s">
        <v>257</v>
      </c>
      <c r="B43" s="5">
        <v>42289</v>
      </c>
      <c r="C43" s="2" t="str">
        <f>TEXT(data[[#This Row],[Order Date]],"YYYY")</f>
        <v>2015</v>
      </c>
      <c r="D43" s="2">
        <v>42291</v>
      </c>
      <c r="E43" s="2" t="s">
        <v>87</v>
      </c>
      <c r="F43" s="2" t="s">
        <v>258</v>
      </c>
      <c r="G43" s="2" t="s">
        <v>259</v>
      </c>
      <c r="H43" s="2" t="s">
        <v>100</v>
      </c>
      <c r="I43" s="2" t="s">
        <v>25</v>
      </c>
      <c r="J43" s="2" t="s">
        <v>173</v>
      </c>
      <c r="K43" s="2" t="s">
        <v>120</v>
      </c>
      <c r="L43" s="2" t="s">
        <v>67</v>
      </c>
      <c r="M43" s="2" t="s">
        <v>102</v>
      </c>
      <c r="N43" s="2" t="s">
        <v>30</v>
      </c>
      <c r="O43" s="2" t="s">
        <v>31</v>
      </c>
      <c r="P43" s="2" t="s">
        <v>103</v>
      </c>
      <c r="Q43" s="2">
        <v>626.35199999999998</v>
      </c>
      <c r="R43" s="2">
        <v>3</v>
      </c>
      <c r="S43" s="2">
        <v>46.976399999999998</v>
      </c>
      <c r="T43" s="2" t="s">
        <v>70</v>
      </c>
      <c r="U43" s="2" t="s">
        <v>48</v>
      </c>
    </row>
    <row r="44" spans="1:21" ht="14.25" customHeight="1" x14ac:dyDescent="0.3">
      <c r="A44" s="2" t="s">
        <v>262</v>
      </c>
      <c r="B44" s="5">
        <v>41854</v>
      </c>
      <c r="C44" s="2" t="str">
        <f>TEXT(data[[#This Row],[Order Date]],"YYYY")</f>
        <v>2014</v>
      </c>
      <c r="D44" s="2">
        <v>41856</v>
      </c>
      <c r="E44" s="2" t="s">
        <v>87</v>
      </c>
      <c r="F44" s="2" t="s">
        <v>263</v>
      </c>
      <c r="G44" s="2" t="s">
        <v>264</v>
      </c>
      <c r="H44" s="2" t="s">
        <v>24</v>
      </c>
      <c r="I44" s="2" t="s">
        <v>25</v>
      </c>
      <c r="J44" s="2" t="s">
        <v>265</v>
      </c>
      <c r="K44" s="2" t="s">
        <v>180</v>
      </c>
      <c r="L44" s="2" t="s">
        <v>54</v>
      </c>
      <c r="M44" s="2" t="s">
        <v>266</v>
      </c>
      <c r="N44" s="2" t="s">
        <v>30</v>
      </c>
      <c r="O44" s="2" t="s">
        <v>45</v>
      </c>
      <c r="P44" s="2" t="s">
        <v>267</v>
      </c>
      <c r="Q44" s="2">
        <v>218.75</v>
      </c>
      <c r="R44" s="2">
        <v>2</v>
      </c>
      <c r="S44" s="2">
        <v>-161.875</v>
      </c>
      <c r="T44" s="2" t="s">
        <v>70</v>
      </c>
      <c r="U44" s="2" t="s">
        <v>253</v>
      </c>
    </row>
    <row r="45" spans="1:21" ht="14.25" customHeight="1" x14ac:dyDescent="0.3">
      <c r="A45" s="2" t="s">
        <v>268</v>
      </c>
      <c r="B45" s="5">
        <v>42889</v>
      </c>
      <c r="C45" s="2" t="str">
        <f>TEXT(data[[#This Row],[Order Date]],"YYYY")</f>
        <v>2017</v>
      </c>
      <c r="D45" s="2">
        <v>42893</v>
      </c>
      <c r="E45" s="2" t="s">
        <v>39</v>
      </c>
      <c r="F45" s="2" t="s">
        <v>269</v>
      </c>
      <c r="G45" s="2" t="s">
        <v>270</v>
      </c>
      <c r="H45" s="2" t="s">
        <v>90</v>
      </c>
      <c r="I45" s="2" t="s">
        <v>25</v>
      </c>
      <c r="J45" s="2" t="s">
        <v>237</v>
      </c>
      <c r="K45" s="2" t="s">
        <v>141</v>
      </c>
      <c r="L45" s="2" t="s">
        <v>28</v>
      </c>
      <c r="M45" s="2" t="s">
        <v>271</v>
      </c>
      <c r="N45" s="2" t="s">
        <v>30</v>
      </c>
      <c r="O45" s="2" t="s">
        <v>56</v>
      </c>
      <c r="P45" s="2" t="s">
        <v>272</v>
      </c>
      <c r="Q45" s="2">
        <v>35.167999999999999</v>
      </c>
      <c r="R45" s="2">
        <v>7</v>
      </c>
      <c r="S45" s="2">
        <v>9.6712000000000007</v>
      </c>
      <c r="T45" s="2" t="s">
        <v>83</v>
      </c>
      <c r="U45" s="2" t="s">
        <v>59</v>
      </c>
    </row>
    <row r="46" spans="1:21" ht="14.25" customHeight="1" x14ac:dyDescent="0.3">
      <c r="A46" s="2" t="s">
        <v>273</v>
      </c>
      <c r="B46" s="5">
        <v>42006</v>
      </c>
      <c r="C46" s="2" t="str">
        <f>TEXT(data[[#This Row],[Order Date]],"YYYY")</f>
        <v>2015</v>
      </c>
      <c r="D46" s="2">
        <v>42013</v>
      </c>
      <c r="E46" s="2" t="s">
        <v>39</v>
      </c>
      <c r="F46" s="2" t="s">
        <v>274</v>
      </c>
      <c r="G46" s="2" t="s">
        <v>275</v>
      </c>
      <c r="H46" s="2" t="s">
        <v>90</v>
      </c>
      <c r="I46" s="2" t="s">
        <v>25</v>
      </c>
      <c r="J46" s="2" t="s">
        <v>276</v>
      </c>
      <c r="K46" s="2" t="s">
        <v>231</v>
      </c>
      <c r="L46" s="2" t="s">
        <v>67</v>
      </c>
      <c r="M46" s="2" t="s">
        <v>277</v>
      </c>
      <c r="N46" s="2" t="s">
        <v>30</v>
      </c>
      <c r="O46" s="2" t="s">
        <v>31</v>
      </c>
      <c r="P46" s="2" t="s">
        <v>278</v>
      </c>
      <c r="Q46" s="2">
        <v>452.45</v>
      </c>
      <c r="R46" s="2">
        <v>5</v>
      </c>
      <c r="S46" s="2">
        <v>-244.32300000000001</v>
      </c>
      <c r="T46" s="2" t="s">
        <v>47</v>
      </c>
      <c r="U46" s="2" t="s">
        <v>169</v>
      </c>
    </row>
    <row r="47" spans="1:21" ht="14.25" customHeight="1" x14ac:dyDescent="0.3">
      <c r="A47" s="2" t="s">
        <v>279</v>
      </c>
      <c r="B47" s="5">
        <v>42362</v>
      </c>
      <c r="C47" s="2" t="str">
        <f>TEXT(data[[#This Row],[Order Date]],"YYYY")</f>
        <v>2015</v>
      </c>
      <c r="D47" s="2">
        <v>42365</v>
      </c>
      <c r="E47" s="2" t="s">
        <v>87</v>
      </c>
      <c r="F47" s="2" t="s">
        <v>280</v>
      </c>
      <c r="G47" s="2" t="s">
        <v>281</v>
      </c>
      <c r="H47" s="2" t="s">
        <v>24</v>
      </c>
      <c r="I47" s="2" t="s">
        <v>25</v>
      </c>
      <c r="J47" s="2" t="s">
        <v>282</v>
      </c>
      <c r="K47" s="2" t="s">
        <v>231</v>
      </c>
      <c r="L47" s="2" t="s">
        <v>67</v>
      </c>
      <c r="M47" s="2" t="s">
        <v>283</v>
      </c>
      <c r="N47" s="2" t="s">
        <v>30</v>
      </c>
      <c r="O47" s="2" t="s">
        <v>56</v>
      </c>
      <c r="P47" s="2" t="s">
        <v>284</v>
      </c>
      <c r="Q47" s="2">
        <v>72.703999999999994</v>
      </c>
      <c r="R47" s="2">
        <v>4</v>
      </c>
      <c r="S47" s="2">
        <v>19.084800000000001</v>
      </c>
      <c r="T47" s="2" t="s">
        <v>33</v>
      </c>
      <c r="U47" s="2" t="s">
        <v>96</v>
      </c>
    </row>
    <row r="48" spans="1:21" ht="14.25" customHeight="1" x14ac:dyDescent="0.3">
      <c r="A48" s="2" t="s">
        <v>285</v>
      </c>
      <c r="B48" s="5">
        <v>42225</v>
      </c>
      <c r="C48" s="2" t="str">
        <f>TEXT(data[[#This Row],[Order Date]],"YYYY")</f>
        <v>2015</v>
      </c>
      <c r="D48" s="2">
        <v>42232</v>
      </c>
      <c r="E48" s="2" t="s">
        <v>39</v>
      </c>
      <c r="F48" s="2" t="s">
        <v>286</v>
      </c>
      <c r="G48" s="2" t="s">
        <v>287</v>
      </c>
      <c r="H48" s="2" t="s">
        <v>90</v>
      </c>
      <c r="I48" s="2" t="s">
        <v>25</v>
      </c>
      <c r="J48" s="2" t="s">
        <v>288</v>
      </c>
      <c r="K48" s="2" t="s">
        <v>289</v>
      </c>
      <c r="L48" s="2" t="s">
        <v>93</v>
      </c>
      <c r="M48" s="2" t="s">
        <v>290</v>
      </c>
      <c r="N48" s="2" t="s">
        <v>30</v>
      </c>
      <c r="O48" s="2" t="s">
        <v>45</v>
      </c>
      <c r="P48" s="2" t="s">
        <v>291</v>
      </c>
      <c r="Q48" s="2">
        <v>622.45000000000005</v>
      </c>
      <c r="R48" s="2">
        <v>5</v>
      </c>
      <c r="S48" s="2">
        <v>136.93899999999999</v>
      </c>
      <c r="T48" s="2" t="s">
        <v>47</v>
      </c>
      <c r="U48" s="2" t="s">
        <v>253</v>
      </c>
    </row>
    <row r="49" spans="1:21" ht="14.25" customHeight="1" x14ac:dyDescent="0.3">
      <c r="A49" s="2" t="s">
        <v>292</v>
      </c>
      <c r="B49" s="5">
        <v>42063</v>
      </c>
      <c r="C49" s="2" t="str">
        <f>TEXT(data[[#This Row],[Order Date]],"YYYY")</f>
        <v>2015</v>
      </c>
      <c r="D49" s="2">
        <v>42067</v>
      </c>
      <c r="E49" s="2" t="s">
        <v>39</v>
      </c>
      <c r="F49" s="2" t="s">
        <v>293</v>
      </c>
      <c r="G49" s="2" t="s">
        <v>294</v>
      </c>
      <c r="H49" s="2" t="s">
        <v>24</v>
      </c>
      <c r="I49" s="2" t="s">
        <v>25</v>
      </c>
      <c r="J49" s="2" t="s">
        <v>157</v>
      </c>
      <c r="K49" s="2" t="s">
        <v>141</v>
      </c>
      <c r="L49" s="2" t="s">
        <v>28</v>
      </c>
      <c r="M49" s="2" t="s">
        <v>295</v>
      </c>
      <c r="N49" s="2" t="s">
        <v>30</v>
      </c>
      <c r="O49" s="2" t="s">
        <v>36</v>
      </c>
      <c r="P49" s="2" t="s">
        <v>296</v>
      </c>
      <c r="Q49" s="2">
        <v>161.56800000000001</v>
      </c>
      <c r="R49" s="2">
        <v>2</v>
      </c>
      <c r="S49" s="2">
        <v>-28.2744</v>
      </c>
      <c r="T49" s="2" t="s">
        <v>83</v>
      </c>
      <c r="U49" s="2" t="s">
        <v>297</v>
      </c>
    </row>
    <row r="50" spans="1:21" ht="14.25" customHeight="1" x14ac:dyDescent="0.3">
      <c r="A50" s="2" t="s">
        <v>292</v>
      </c>
      <c r="B50" s="5">
        <v>42063</v>
      </c>
      <c r="C50" s="2" t="str">
        <f>TEXT(data[[#This Row],[Order Date]],"YYYY")</f>
        <v>2015</v>
      </c>
      <c r="D50" s="2">
        <v>42067</v>
      </c>
      <c r="E50" s="2" t="s">
        <v>39</v>
      </c>
      <c r="F50" s="2" t="s">
        <v>293</v>
      </c>
      <c r="G50" s="2" t="s">
        <v>294</v>
      </c>
      <c r="H50" s="2" t="s">
        <v>24</v>
      </c>
      <c r="I50" s="2" t="s">
        <v>25</v>
      </c>
      <c r="J50" s="2" t="s">
        <v>157</v>
      </c>
      <c r="K50" s="2" t="s">
        <v>141</v>
      </c>
      <c r="L50" s="2" t="s">
        <v>28</v>
      </c>
      <c r="M50" s="2" t="s">
        <v>298</v>
      </c>
      <c r="N50" s="2" t="s">
        <v>30</v>
      </c>
      <c r="O50" s="2" t="s">
        <v>36</v>
      </c>
      <c r="P50" s="2" t="s">
        <v>299</v>
      </c>
      <c r="Q50" s="2">
        <v>389.69600000000003</v>
      </c>
      <c r="R50" s="2">
        <v>8</v>
      </c>
      <c r="S50" s="2">
        <v>43.840800000000002</v>
      </c>
      <c r="T50" s="2" t="s">
        <v>83</v>
      </c>
      <c r="U50" s="2" t="s">
        <v>297</v>
      </c>
    </row>
    <row r="51" spans="1:21" ht="14.25" customHeight="1" x14ac:dyDescent="0.3">
      <c r="A51" s="2" t="s">
        <v>300</v>
      </c>
      <c r="B51" s="5">
        <v>42832</v>
      </c>
      <c r="C51" s="2" t="str">
        <f>TEXT(data[[#This Row],[Order Date]],"YYYY")</f>
        <v>2017</v>
      </c>
      <c r="D51" s="2">
        <v>42837</v>
      </c>
      <c r="E51" s="2" t="s">
        <v>39</v>
      </c>
      <c r="F51" s="2" t="s">
        <v>301</v>
      </c>
      <c r="G51" s="2" t="s">
        <v>302</v>
      </c>
      <c r="H51" s="2" t="s">
        <v>100</v>
      </c>
      <c r="I51" s="2" t="s">
        <v>25</v>
      </c>
      <c r="J51" s="2" t="s">
        <v>303</v>
      </c>
      <c r="K51" s="2" t="s">
        <v>43</v>
      </c>
      <c r="L51" s="2" t="s">
        <v>28</v>
      </c>
      <c r="M51" s="2" t="s">
        <v>304</v>
      </c>
      <c r="N51" s="2" t="s">
        <v>30</v>
      </c>
      <c r="O51" s="2" t="s">
        <v>45</v>
      </c>
      <c r="P51" s="2" t="s">
        <v>305</v>
      </c>
      <c r="Q51" s="2">
        <v>233.86</v>
      </c>
      <c r="R51" s="2">
        <v>2</v>
      </c>
      <c r="S51" s="2">
        <v>-102.048</v>
      </c>
      <c r="T51" s="2" t="s">
        <v>58</v>
      </c>
      <c r="U51" s="2" t="s">
        <v>113</v>
      </c>
    </row>
    <row r="52" spans="1:21" ht="14.25" customHeight="1" x14ac:dyDescent="0.3">
      <c r="A52" s="2" t="s">
        <v>300</v>
      </c>
      <c r="B52" s="5">
        <v>42832</v>
      </c>
      <c r="C52" s="2" t="str">
        <f>TEXT(data[[#This Row],[Order Date]],"YYYY")</f>
        <v>2017</v>
      </c>
      <c r="D52" s="2">
        <v>42837</v>
      </c>
      <c r="E52" s="2" t="s">
        <v>39</v>
      </c>
      <c r="F52" s="2" t="s">
        <v>301</v>
      </c>
      <c r="G52" s="2" t="s">
        <v>302</v>
      </c>
      <c r="H52" s="2" t="s">
        <v>100</v>
      </c>
      <c r="I52" s="2" t="s">
        <v>25</v>
      </c>
      <c r="J52" s="2" t="s">
        <v>303</v>
      </c>
      <c r="K52" s="2" t="s">
        <v>43</v>
      </c>
      <c r="L52" s="2" t="s">
        <v>28</v>
      </c>
      <c r="M52" s="2" t="s">
        <v>306</v>
      </c>
      <c r="N52" s="2" t="s">
        <v>30</v>
      </c>
      <c r="O52" s="2" t="s">
        <v>45</v>
      </c>
      <c r="P52" s="2" t="s">
        <v>307</v>
      </c>
      <c r="Q52" s="2">
        <v>620.61450000000002</v>
      </c>
      <c r="R52" s="2">
        <v>3</v>
      </c>
      <c r="S52" s="2">
        <v>-248.2458</v>
      </c>
      <c r="T52" s="2" t="s">
        <v>58</v>
      </c>
      <c r="U52" s="2" t="s">
        <v>113</v>
      </c>
    </row>
    <row r="53" spans="1:21" ht="14.25" customHeight="1" x14ac:dyDescent="0.3">
      <c r="A53" s="2" t="s">
        <v>300</v>
      </c>
      <c r="B53" s="5">
        <v>42832</v>
      </c>
      <c r="C53" s="2" t="str">
        <f>TEXT(data[[#This Row],[Order Date]],"YYYY")</f>
        <v>2017</v>
      </c>
      <c r="D53" s="2">
        <v>42837</v>
      </c>
      <c r="E53" s="2" t="s">
        <v>39</v>
      </c>
      <c r="F53" s="2" t="s">
        <v>301</v>
      </c>
      <c r="G53" s="2" t="s">
        <v>302</v>
      </c>
      <c r="H53" s="2" t="s">
        <v>100</v>
      </c>
      <c r="I53" s="2" t="s">
        <v>25</v>
      </c>
      <c r="J53" s="2" t="s">
        <v>303</v>
      </c>
      <c r="K53" s="2" t="s">
        <v>43</v>
      </c>
      <c r="L53" s="2" t="s">
        <v>28</v>
      </c>
      <c r="M53" s="2" t="s">
        <v>308</v>
      </c>
      <c r="N53" s="2" t="s">
        <v>30</v>
      </c>
      <c r="O53" s="2" t="s">
        <v>56</v>
      </c>
      <c r="P53" s="2" t="s">
        <v>309</v>
      </c>
      <c r="Q53" s="2">
        <v>258.072</v>
      </c>
      <c r="R53" s="2">
        <v>3</v>
      </c>
      <c r="S53" s="2">
        <v>0</v>
      </c>
      <c r="T53" s="2" t="s">
        <v>58</v>
      </c>
      <c r="U53" s="2" t="s">
        <v>113</v>
      </c>
    </row>
    <row r="54" spans="1:21" ht="14.25" customHeight="1" x14ac:dyDescent="0.3">
      <c r="A54" s="2" t="s">
        <v>310</v>
      </c>
      <c r="B54" s="5">
        <v>42525</v>
      </c>
      <c r="C54" s="2" t="str">
        <f>TEXT(data[[#This Row],[Order Date]],"YYYY")</f>
        <v>2016</v>
      </c>
      <c r="D54" s="2">
        <v>42530</v>
      </c>
      <c r="E54" s="2" t="s">
        <v>21</v>
      </c>
      <c r="F54" s="2" t="s">
        <v>311</v>
      </c>
      <c r="G54" s="2" t="s">
        <v>312</v>
      </c>
      <c r="H54" s="2" t="s">
        <v>24</v>
      </c>
      <c r="I54" s="2" t="s">
        <v>25</v>
      </c>
      <c r="J54" s="2" t="s">
        <v>133</v>
      </c>
      <c r="K54" s="2" t="s">
        <v>134</v>
      </c>
      <c r="L54" s="2" t="s">
        <v>93</v>
      </c>
      <c r="M54" s="2" t="s">
        <v>313</v>
      </c>
      <c r="N54" s="2" t="s">
        <v>30</v>
      </c>
      <c r="O54" s="2" t="s">
        <v>56</v>
      </c>
      <c r="P54" s="2" t="s">
        <v>314</v>
      </c>
      <c r="Q54" s="2">
        <v>419.68</v>
      </c>
      <c r="R54" s="2">
        <v>5</v>
      </c>
      <c r="S54" s="2">
        <v>-356.72800000000001</v>
      </c>
      <c r="T54" s="2" t="s">
        <v>58</v>
      </c>
      <c r="U54" s="2" t="s">
        <v>59</v>
      </c>
    </row>
    <row r="55" spans="1:21" ht="14.25" customHeight="1" x14ac:dyDescent="0.3">
      <c r="A55" s="2" t="s">
        <v>310</v>
      </c>
      <c r="B55" s="5">
        <v>42525</v>
      </c>
      <c r="C55" s="2" t="str">
        <f>TEXT(data[[#This Row],[Order Date]],"YYYY")</f>
        <v>2016</v>
      </c>
      <c r="D55" s="2">
        <v>42530</v>
      </c>
      <c r="E55" s="2" t="s">
        <v>21</v>
      </c>
      <c r="F55" s="2" t="s">
        <v>311</v>
      </c>
      <c r="G55" s="2" t="s">
        <v>312</v>
      </c>
      <c r="H55" s="2" t="s">
        <v>24</v>
      </c>
      <c r="I55" s="2" t="s">
        <v>25</v>
      </c>
      <c r="J55" s="2" t="s">
        <v>133</v>
      </c>
      <c r="K55" s="2" t="s">
        <v>134</v>
      </c>
      <c r="L55" s="2" t="s">
        <v>93</v>
      </c>
      <c r="M55" s="2" t="s">
        <v>315</v>
      </c>
      <c r="N55" s="2" t="s">
        <v>30</v>
      </c>
      <c r="O55" s="2" t="s">
        <v>56</v>
      </c>
      <c r="P55" s="2" t="s">
        <v>316</v>
      </c>
      <c r="Q55" s="2">
        <v>11.688000000000001</v>
      </c>
      <c r="R55" s="2">
        <v>3</v>
      </c>
      <c r="S55" s="2">
        <v>-4.6752000000000002</v>
      </c>
      <c r="T55" s="2" t="s">
        <v>58</v>
      </c>
      <c r="U55" s="2" t="s">
        <v>59</v>
      </c>
    </row>
    <row r="56" spans="1:21" ht="14.25" customHeight="1" x14ac:dyDescent="0.3">
      <c r="A56" s="2" t="s">
        <v>310</v>
      </c>
      <c r="B56" s="5">
        <v>42525</v>
      </c>
      <c r="C56" s="2" t="str">
        <f>TEXT(data[[#This Row],[Order Date]],"YYYY")</f>
        <v>2016</v>
      </c>
      <c r="D56" s="2">
        <v>42530</v>
      </c>
      <c r="E56" s="2" t="s">
        <v>21</v>
      </c>
      <c r="F56" s="2" t="s">
        <v>311</v>
      </c>
      <c r="G56" s="2" t="s">
        <v>312</v>
      </c>
      <c r="H56" s="2" t="s">
        <v>24</v>
      </c>
      <c r="I56" s="2" t="s">
        <v>25</v>
      </c>
      <c r="J56" s="2" t="s">
        <v>133</v>
      </c>
      <c r="K56" s="2" t="s">
        <v>134</v>
      </c>
      <c r="L56" s="2" t="s">
        <v>93</v>
      </c>
      <c r="M56" s="2" t="s">
        <v>317</v>
      </c>
      <c r="N56" s="2" t="s">
        <v>30</v>
      </c>
      <c r="O56" s="2" t="s">
        <v>45</v>
      </c>
      <c r="P56" s="2" t="s">
        <v>318</v>
      </c>
      <c r="Q56" s="2">
        <v>177.22499999999999</v>
      </c>
      <c r="R56" s="2">
        <v>5</v>
      </c>
      <c r="S56" s="2">
        <v>-120.51300000000001</v>
      </c>
      <c r="T56" s="2" t="s">
        <v>58</v>
      </c>
      <c r="U56" s="2" t="s">
        <v>59</v>
      </c>
    </row>
    <row r="57" spans="1:21" ht="14.25" customHeight="1" x14ac:dyDescent="0.3">
      <c r="A57" s="2" t="s">
        <v>310</v>
      </c>
      <c r="B57" s="5">
        <v>42525</v>
      </c>
      <c r="C57" s="2" t="str">
        <f>TEXT(data[[#This Row],[Order Date]],"YYYY")</f>
        <v>2016</v>
      </c>
      <c r="D57" s="2">
        <v>42530</v>
      </c>
      <c r="E57" s="2" t="s">
        <v>21</v>
      </c>
      <c r="F57" s="2" t="s">
        <v>311</v>
      </c>
      <c r="G57" s="2" t="s">
        <v>312</v>
      </c>
      <c r="H57" s="2" t="s">
        <v>24</v>
      </c>
      <c r="I57" s="2" t="s">
        <v>25</v>
      </c>
      <c r="J57" s="2" t="s">
        <v>133</v>
      </c>
      <c r="K57" s="2" t="s">
        <v>134</v>
      </c>
      <c r="L57" s="2" t="s">
        <v>93</v>
      </c>
      <c r="M57" s="2" t="s">
        <v>319</v>
      </c>
      <c r="N57" s="2" t="s">
        <v>30</v>
      </c>
      <c r="O57" s="2" t="s">
        <v>56</v>
      </c>
      <c r="P57" s="2" t="s">
        <v>320</v>
      </c>
      <c r="Q57" s="2">
        <v>4.0439999999999996</v>
      </c>
      <c r="R57" s="2">
        <v>3</v>
      </c>
      <c r="S57" s="2">
        <v>-2.8308</v>
      </c>
      <c r="T57" s="2" t="s">
        <v>58</v>
      </c>
      <c r="U57" s="2" t="s">
        <v>59</v>
      </c>
    </row>
    <row r="58" spans="1:21" ht="14.25" customHeight="1" x14ac:dyDescent="0.3">
      <c r="A58" s="2" t="s">
        <v>321</v>
      </c>
      <c r="B58" s="5">
        <v>41791</v>
      </c>
      <c r="C58" s="2" t="str">
        <f>TEXT(data[[#This Row],[Order Date]],"YYYY")</f>
        <v>2014</v>
      </c>
      <c r="D58" s="2">
        <v>41796</v>
      </c>
      <c r="E58" s="2" t="s">
        <v>21</v>
      </c>
      <c r="F58" s="2" t="s">
        <v>322</v>
      </c>
      <c r="G58" s="2" t="s">
        <v>323</v>
      </c>
      <c r="H58" s="2" t="s">
        <v>100</v>
      </c>
      <c r="I58" s="2" t="s">
        <v>25</v>
      </c>
      <c r="J58" s="2" t="s">
        <v>324</v>
      </c>
      <c r="K58" s="2" t="s">
        <v>166</v>
      </c>
      <c r="L58" s="2" t="s">
        <v>93</v>
      </c>
      <c r="M58" s="2" t="s">
        <v>206</v>
      </c>
      <c r="N58" s="2" t="s">
        <v>30</v>
      </c>
      <c r="O58" s="2" t="s">
        <v>36</v>
      </c>
      <c r="P58" s="2" t="s">
        <v>207</v>
      </c>
      <c r="Q58" s="2">
        <v>2001.86</v>
      </c>
      <c r="R58" s="2">
        <v>7</v>
      </c>
      <c r="S58" s="2">
        <v>580.5394</v>
      </c>
      <c r="T58" s="2" t="s">
        <v>58</v>
      </c>
      <c r="U58" s="2" t="s">
        <v>59</v>
      </c>
    </row>
    <row r="59" spans="1:21" ht="14.25" customHeight="1" x14ac:dyDescent="0.3">
      <c r="A59" s="2" t="s">
        <v>325</v>
      </c>
      <c r="B59" s="5">
        <v>42714</v>
      </c>
      <c r="C59" s="2" t="str">
        <f>TEXT(data[[#This Row],[Order Date]],"YYYY")</f>
        <v>2016</v>
      </c>
      <c r="D59" s="2">
        <v>42719</v>
      </c>
      <c r="E59" s="2" t="s">
        <v>21</v>
      </c>
      <c r="F59" s="2" t="s">
        <v>326</v>
      </c>
      <c r="G59" s="2" t="s">
        <v>327</v>
      </c>
      <c r="H59" s="2" t="s">
        <v>24</v>
      </c>
      <c r="I59" s="2" t="s">
        <v>25</v>
      </c>
      <c r="J59" s="2" t="s">
        <v>328</v>
      </c>
      <c r="K59" s="2" t="s">
        <v>53</v>
      </c>
      <c r="L59" s="2" t="s">
        <v>54</v>
      </c>
      <c r="M59" s="2" t="s">
        <v>329</v>
      </c>
      <c r="N59" s="2" t="s">
        <v>30</v>
      </c>
      <c r="O59" s="2" t="s">
        <v>36</v>
      </c>
      <c r="P59" s="2" t="s">
        <v>330</v>
      </c>
      <c r="Q59" s="2">
        <v>321.56799999999998</v>
      </c>
      <c r="R59" s="2">
        <v>2</v>
      </c>
      <c r="S59" s="2">
        <v>28.1372</v>
      </c>
      <c r="T59" s="2" t="s">
        <v>58</v>
      </c>
      <c r="U59" s="2" t="s">
        <v>96</v>
      </c>
    </row>
    <row r="60" spans="1:21" ht="14.25" customHeight="1" x14ac:dyDescent="0.3">
      <c r="A60" s="2" t="s">
        <v>331</v>
      </c>
      <c r="B60" s="5">
        <v>42336</v>
      </c>
      <c r="C60" s="2" t="str">
        <f>TEXT(data[[#This Row],[Order Date]],"YYYY")</f>
        <v>2015</v>
      </c>
      <c r="D60" s="2">
        <v>42342</v>
      </c>
      <c r="E60" s="2" t="s">
        <v>39</v>
      </c>
      <c r="F60" s="2" t="s">
        <v>332</v>
      </c>
      <c r="G60" s="2" t="s">
        <v>333</v>
      </c>
      <c r="H60" s="2" t="s">
        <v>90</v>
      </c>
      <c r="I60" s="2" t="s">
        <v>25</v>
      </c>
      <c r="J60" s="2" t="s">
        <v>133</v>
      </c>
      <c r="K60" s="2" t="s">
        <v>134</v>
      </c>
      <c r="L60" s="2" t="s">
        <v>93</v>
      </c>
      <c r="M60" s="2" t="s">
        <v>319</v>
      </c>
      <c r="N60" s="2" t="s">
        <v>30</v>
      </c>
      <c r="O60" s="2" t="s">
        <v>56</v>
      </c>
      <c r="P60" s="2" t="s">
        <v>320</v>
      </c>
      <c r="Q60" s="2">
        <v>12.132</v>
      </c>
      <c r="R60" s="2">
        <v>9</v>
      </c>
      <c r="S60" s="2">
        <v>-8.4923999999999999</v>
      </c>
      <c r="T60" s="2" t="s">
        <v>129</v>
      </c>
      <c r="U60" s="2" t="s">
        <v>34</v>
      </c>
    </row>
    <row r="61" spans="1:21" ht="14.25" customHeight="1" x14ac:dyDescent="0.3">
      <c r="A61" s="2" t="s">
        <v>334</v>
      </c>
      <c r="B61" s="5">
        <v>42215</v>
      </c>
      <c r="C61" s="2" t="str">
        <f>TEXT(data[[#This Row],[Order Date]],"YYYY")</f>
        <v>2015</v>
      </c>
      <c r="D61" s="2">
        <v>42216</v>
      </c>
      <c r="E61" s="2" t="s">
        <v>87</v>
      </c>
      <c r="F61" s="2" t="s">
        <v>335</v>
      </c>
      <c r="G61" s="2" t="s">
        <v>336</v>
      </c>
      <c r="H61" s="2" t="s">
        <v>24</v>
      </c>
      <c r="I61" s="2" t="s">
        <v>25</v>
      </c>
      <c r="J61" s="2" t="s">
        <v>328</v>
      </c>
      <c r="K61" s="2" t="s">
        <v>53</v>
      </c>
      <c r="L61" s="2" t="s">
        <v>54</v>
      </c>
      <c r="M61" s="2" t="s">
        <v>337</v>
      </c>
      <c r="N61" s="2" t="s">
        <v>30</v>
      </c>
      <c r="O61" s="2" t="s">
        <v>56</v>
      </c>
      <c r="P61" s="2" t="s">
        <v>338</v>
      </c>
      <c r="Q61" s="2">
        <v>5.28</v>
      </c>
      <c r="R61" s="2">
        <v>3</v>
      </c>
      <c r="S61" s="2">
        <v>2.3231999999999999</v>
      </c>
      <c r="T61" s="2" t="s">
        <v>123</v>
      </c>
      <c r="U61" s="2" t="s">
        <v>71</v>
      </c>
    </row>
    <row r="62" spans="1:21" ht="14.25" customHeight="1" x14ac:dyDescent="0.3">
      <c r="A62" s="2" t="s">
        <v>339</v>
      </c>
      <c r="B62" s="5">
        <v>42310</v>
      </c>
      <c r="C62" s="2" t="str">
        <f>TEXT(data[[#This Row],[Order Date]],"YYYY")</f>
        <v>2015</v>
      </c>
      <c r="D62" s="2">
        <v>42314</v>
      </c>
      <c r="E62" s="2" t="s">
        <v>39</v>
      </c>
      <c r="F62" s="2" t="s">
        <v>340</v>
      </c>
      <c r="G62" s="2" t="s">
        <v>341</v>
      </c>
      <c r="H62" s="2" t="s">
        <v>24</v>
      </c>
      <c r="I62" s="2" t="s">
        <v>25</v>
      </c>
      <c r="J62" s="2" t="s">
        <v>52</v>
      </c>
      <c r="K62" s="2" t="s">
        <v>53</v>
      </c>
      <c r="L62" s="2" t="s">
        <v>54</v>
      </c>
      <c r="M62" s="2" t="s">
        <v>342</v>
      </c>
      <c r="N62" s="2" t="s">
        <v>30</v>
      </c>
      <c r="O62" s="2" t="s">
        <v>45</v>
      </c>
      <c r="P62" s="2" t="s">
        <v>343</v>
      </c>
      <c r="Q62" s="2">
        <v>1038.8399999999999</v>
      </c>
      <c r="R62" s="2">
        <v>5</v>
      </c>
      <c r="S62" s="2">
        <v>51.942</v>
      </c>
      <c r="T62" s="2" t="s">
        <v>83</v>
      </c>
      <c r="U62" s="2" t="s">
        <v>34</v>
      </c>
    </row>
    <row r="63" spans="1:21" ht="14.25" customHeight="1" x14ac:dyDescent="0.3">
      <c r="A63" s="2" t="s">
        <v>344</v>
      </c>
      <c r="B63" s="5">
        <v>42694</v>
      </c>
      <c r="C63" s="2" t="str">
        <f>TEXT(data[[#This Row],[Order Date]],"YYYY")</f>
        <v>2016</v>
      </c>
      <c r="D63" s="2">
        <v>42698</v>
      </c>
      <c r="E63" s="2" t="s">
        <v>21</v>
      </c>
      <c r="F63" s="2" t="s">
        <v>345</v>
      </c>
      <c r="G63" s="2" t="s">
        <v>346</v>
      </c>
      <c r="H63" s="2" t="s">
        <v>100</v>
      </c>
      <c r="I63" s="2" t="s">
        <v>25</v>
      </c>
      <c r="J63" s="2" t="s">
        <v>347</v>
      </c>
      <c r="K63" s="2" t="s">
        <v>231</v>
      </c>
      <c r="L63" s="2" t="s">
        <v>67</v>
      </c>
      <c r="M63" s="2" t="s">
        <v>348</v>
      </c>
      <c r="N63" s="2" t="s">
        <v>30</v>
      </c>
      <c r="O63" s="2" t="s">
        <v>31</v>
      </c>
      <c r="P63" s="2" t="s">
        <v>349</v>
      </c>
      <c r="Q63" s="2">
        <v>86.97</v>
      </c>
      <c r="R63" s="2">
        <v>3</v>
      </c>
      <c r="S63" s="2">
        <v>-48.703200000000002</v>
      </c>
      <c r="T63" s="2" t="s">
        <v>83</v>
      </c>
      <c r="U63" s="2" t="s">
        <v>34</v>
      </c>
    </row>
    <row r="64" spans="1:21" ht="14.25" customHeight="1" x14ac:dyDescent="0.3">
      <c r="A64" s="2" t="s">
        <v>350</v>
      </c>
      <c r="B64" s="5">
        <v>41999</v>
      </c>
      <c r="C64" s="2" t="str">
        <f>TEXT(data[[#This Row],[Order Date]],"YYYY")</f>
        <v>2014</v>
      </c>
      <c r="D64" s="2">
        <v>42001</v>
      </c>
      <c r="E64" s="2" t="s">
        <v>87</v>
      </c>
      <c r="F64" s="2" t="s">
        <v>351</v>
      </c>
      <c r="G64" s="2" t="s">
        <v>352</v>
      </c>
      <c r="H64" s="2" t="s">
        <v>90</v>
      </c>
      <c r="I64" s="2" t="s">
        <v>25</v>
      </c>
      <c r="J64" s="2" t="s">
        <v>353</v>
      </c>
      <c r="K64" s="2" t="s">
        <v>180</v>
      </c>
      <c r="L64" s="2" t="s">
        <v>54</v>
      </c>
      <c r="M64" s="2" t="s">
        <v>354</v>
      </c>
      <c r="N64" s="2" t="s">
        <v>30</v>
      </c>
      <c r="O64" s="2" t="s">
        <v>56</v>
      </c>
      <c r="P64" s="2" t="s">
        <v>355</v>
      </c>
      <c r="Q64" s="2">
        <v>300.416</v>
      </c>
      <c r="R64" s="2">
        <v>8</v>
      </c>
      <c r="S64" s="2">
        <v>78.859200000000001</v>
      </c>
      <c r="T64" s="2" t="s">
        <v>70</v>
      </c>
      <c r="U64" s="2" t="s">
        <v>96</v>
      </c>
    </row>
    <row r="65" spans="1:21" ht="14.25" customHeight="1" x14ac:dyDescent="0.3">
      <c r="A65" s="2" t="s">
        <v>350</v>
      </c>
      <c r="B65" s="5">
        <v>41999</v>
      </c>
      <c r="C65" s="2" t="str">
        <f>TEXT(data[[#This Row],[Order Date]],"YYYY")</f>
        <v>2014</v>
      </c>
      <c r="D65" s="2">
        <v>42001</v>
      </c>
      <c r="E65" s="2" t="s">
        <v>87</v>
      </c>
      <c r="F65" s="2" t="s">
        <v>351</v>
      </c>
      <c r="G65" s="2" t="s">
        <v>352</v>
      </c>
      <c r="H65" s="2" t="s">
        <v>90</v>
      </c>
      <c r="I65" s="2" t="s">
        <v>25</v>
      </c>
      <c r="J65" s="2" t="s">
        <v>353</v>
      </c>
      <c r="K65" s="2" t="s">
        <v>180</v>
      </c>
      <c r="L65" s="2" t="s">
        <v>54</v>
      </c>
      <c r="M65" s="2" t="s">
        <v>356</v>
      </c>
      <c r="N65" s="2" t="s">
        <v>30</v>
      </c>
      <c r="O65" s="2" t="s">
        <v>36</v>
      </c>
      <c r="P65" s="2" t="s">
        <v>357</v>
      </c>
      <c r="Q65" s="2">
        <v>230.352</v>
      </c>
      <c r="R65" s="2">
        <v>3</v>
      </c>
      <c r="S65" s="2">
        <v>20.155799999999999</v>
      </c>
      <c r="T65" s="2" t="s">
        <v>70</v>
      </c>
      <c r="U65" s="2" t="s">
        <v>96</v>
      </c>
    </row>
    <row r="66" spans="1:21" ht="14.25" customHeight="1" x14ac:dyDescent="0.3">
      <c r="A66" s="2" t="s">
        <v>350</v>
      </c>
      <c r="B66" s="5">
        <v>41999</v>
      </c>
      <c r="C66" s="2" t="str">
        <f>TEXT(data[[#This Row],[Order Date]],"YYYY")</f>
        <v>2014</v>
      </c>
      <c r="D66" s="2">
        <v>42001</v>
      </c>
      <c r="E66" s="2" t="s">
        <v>87</v>
      </c>
      <c r="F66" s="2" t="s">
        <v>351</v>
      </c>
      <c r="G66" s="2" t="s">
        <v>352</v>
      </c>
      <c r="H66" s="2" t="s">
        <v>90</v>
      </c>
      <c r="I66" s="2" t="s">
        <v>25</v>
      </c>
      <c r="J66" s="2" t="s">
        <v>353</v>
      </c>
      <c r="K66" s="2" t="s">
        <v>180</v>
      </c>
      <c r="L66" s="2" t="s">
        <v>54</v>
      </c>
      <c r="M66" s="2" t="s">
        <v>358</v>
      </c>
      <c r="N66" s="2" t="s">
        <v>30</v>
      </c>
      <c r="O66" s="2" t="s">
        <v>56</v>
      </c>
      <c r="P66" s="2" t="s">
        <v>359</v>
      </c>
      <c r="Q66" s="2">
        <v>218.352</v>
      </c>
      <c r="R66" s="2">
        <v>3</v>
      </c>
      <c r="S66" s="2">
        <v>-24.564599999999999</v>
      </c>
      <c r="T66" s="2" t="s">
        <v>70</v>
      </c>
      <c r="U66" s="2" t="s">
        <v>96</v>
      </c>
    </row>
    <row r="67" spans="1:21" ht="14.25" customHeight="1" x14ac:dyDescent="0.3">
      <c r="A67" s="2" t="s">
        <v>360</v>
      </c>
      <c r="B67" s="5">
        <v>42671</v>
      </c>
      <c r="C67" s="2" t="str">
        <f>TEXT(data[[#This Row],[Order Date]],"YYYY")</f>
        <v>2016</v>
      </c>
      <c r="D67" s="2">
        <v>42677</v>
      </c>
      <c r="E67" s="2" t="s">
        <v>39</v>
      </c>
      <c r="F67" s="2" t="s">
        <v>225</v>
      </c>
      <c r="G67" s="2" t="s">
        <v>226</v>
      </c>
      <c r="H67" s="2" t="s">
        <v>90</v>
      </c>
      <c r="I67" s="2" t="s">
        <v>25</v>
      </c>
      <c r="J67" s="2" t="s">
        <v>361</v>
      </c>
      <c r="K67" s="2" t="s">
        <v>362</v>
      </c>
      <c r="L67" s="2" t="s">
        <v>67</v>
      </c>
      <c r="M67" s="2" t="s">
        <v>363</v>
      </c>
      <c r="N67" s="2" t="s">
        <v>30</v>
      </c>
      <c r="O67" s="2" t="s">
        <v>56</v>
      </c>
      <c r="P67" s="2" t="s">
        <v>364</v>
      </c>
      <c r="Q67" s="2">
        <v>77.599999999999994</v>
      </c>
      <c r="R67" s="2">
        <v>4</v>
      </c>
      <c r="S67" s="2">
        <v>38.024000000000001</v>
      </c>
      <c r="T67" s="2" t="s">
        <v>129</v>
      </c>
      <c r="U67" s="2" t="s">
        <v>48</v>
      </c>
    </row>
    <row r="68" spans="1:21" ht="14.25" customHeight="1" x14ac:dyDescent="0.3">
      <c r="A68" s="2" t="s">
        <v>365</v>
      </c>
      <c r="B68" s="5">
        <v>43058</v>
      </c>
      <c r="C68" s="2" t="str">
        <f>TEXT(data[[#This Row],[Order Date]],"YYYY")</f>
        <v>2017</v>
      </c>
      <c r="D68" s="2">
        <v>43062</v>
      </c>
      <c r="E68" s="2" t="s">
        <v>39</v>
      </c>
      <c r="F68" s="2" t="s">
        <v>366</v>
      </c>
      <c r="G68" s="2" t="s">
        <v>367</v>
      </c>
      <c r="H68" s="2" t="s">
        <v>24</v>
      </c>
      <c r="I68" s="2" t="s">
        <v>25</v>
      </c>
      <c r="J68" s="2" t="s">
        <v>133</v>
      </c>
      <c r="K68" s="2" t="s">
        <v>134</v>
      </c>
      <c r="L68" s="2" t="s">
        <v>93</v>
      </c>
      <c r="M68" s="2" t="s">
        <v>368</v>
      </c>
      <c r="N68" s="2" t="s">
        <v>30</v>
      </c>
      <c r="O68" s="2" t="s">
        <v>45</v>
      </c>
      <c r="P68" s="2" t="s">
        <v>369</v>
      </c>
      <c r="Q68" s="2">
        <v>219.07499999999999</v>
      </c>
      <c r="R68" s="2">
        <v>3</v>
      </c>
      <c r="S68" s="2">
        <v>-131.44499999999999</v>
      </c>
      <c r="T68" s="2" t="s">
        <v>83</v>
      </c>
      <c r="U68" s="2" t="s">
        <v>34</v>
      </c>
    </row>
    <row r="69" spans="1:21" ht="14.25" customHeight="1" x14ac:dyDescent="0.3">
      <c r="A69" s="2" t="s">
        <v>370</v>
      </c>
      <c r="B69" s="5">
        <v>42128</v>
      </c>
      <c r="C69" s="2" t="str">
        <f>TEXT(data[[#This Row],[Order Date]],"YYYY")</f>
        <v>2015</v>
      </c>
      <c r="D69" s="2">
        <v>42133</v>
      </c>
      <c r="E69" s="2" t="s">
        <v>21</v>
      </c>
      <c r="F69" s="2" t="s">
        <v>371</v>
      </c>
      <c r="G69" s="2" t="s">
        <v>372</v>
      </c>
      <c r="H69" s="2" t="s">
        <v>90</v>
      </c>
      <c r="I69" s="2" t="s">
        <v>25</v>
      </c>
      <c r="J69" s="2" t="s">
        <v>173</v>
      </c>
      <c r="K69" s="2" t="s">
        <v>120</v>
      </c>
      <c r="L69" s="2" t="s">
        <v>67</v>
      </c>
      <c r="M69" s="2" t="s">
        <v>373</v>
      </c>
      <c r="N69" s="2" t="s">
        <v>30</v>
      </c>
      <c r="O69" s="2" t="s">
        <v>56</v>
      </c>
      <c r="P69" s="2" t="s">
        <v>374</v>
      </c>
      <c r="Q69" s="2">
        <v>26.8</v>
      </c>
      <c r="R69" s="2">
        <v>2</v>
      </c>
      <c r="S69" s="2">
        <v>12.864000000000001</v>
      </c>
      <c r="T69" s="2" t="s">
        <v>58</v>
      </c>
      <c r="U69" s="2" t="s">
        <v>161</v>
      </c>
    </row>
    <row r="70" spans="1:21" ht="14.25" customHeight="1" x14ac:dyDescent="0.3">
      <c r="A70" s="2" t="s">
        <v>375</v>
      </c>
      <c r="B70" s="5">
        <v>42625</v>
      </c>
      <c r="C70" s="2" t="str">
        <f>TEXT(data[[#This Row],[Order Date]],"YYYY")</f>
        <v>2016</v>
      </c>
      <c r="D70" s="2">
        <v>42627</v>
      </c>
      <c r="E70" s="2" t="s">
        <v>21</v>
      </c>
      <c r="F70" s="2" t="s">
        <v>376</v>
      </c>
      <c r="G70" s="2" t="s">
        <v>377</v>
      </c>
      <c r="H70" s="2" t="s">
        <v>90</v>
      </c>
      <c r="I70" s="2" t="s">
        <v>25</v>
      </c>
      <c r="J70" s="2" t="s">
        <v>378</v>
      </c>
      <c r="K70" s="2" t="s">
        <v>180</v>
      </c>
      <c r="L70" s="2" t="s">
        <v>54</v>
      </c>
      <c r="M70" s="2" t="s">
        <v>379</v>
      </c>
      <c r="N70" s="2" t="s">
        <v>30</v>
      </c>
      <c r="O70" s="2" t="s">
        <v>56</v>
      </c>
      <c r="P70" s="2" t="s">
        <v>380</v>
      </c>
      <c r="Q70" s="2">
        <v>15.135999999999999</v>
      </c>
      <c r="R70" s="2">
        <v>4</v>
      </c>
      <c r="S70" s="2">
        <v>3.5948000000000002</v>
      </c>
      <c r="T70" s="2" t="s">
        <v>70</v>
      </c>
      <c r="U70" s="2" t="s">
        <v>77</v>
      </c>
    </row>
    <row r="71" spans="1:21" ht="14.25" customHeight="1" x14ac:dyDescent="0.3">
      <c r="A71" s="2" t="s">
        <v>375</v>
      </c>
      <c r="B71" s="5">
        <v>42625</v>
      </c>
      <c r="C71" s="2" t="str">
        <f>TEXT(data[[#This Row],[Order Date]],"YYYY")</f>
        <v>2016</v>
      </c>
      <c r="D71" s="2">
        <v>42627</v>
      </c>
      <c r="E71" s="2" t="s">
        <v>21</v>
      </c>
      <c r="F71" s="2" t="s">
        <v>376</v>
      </c>
      <c r="G71" s="2" t="s">
        <v>377</v>
      </c>
      <c r="H71" s="2" t="s">
        <v>90</v>
      </c>
      <c r="I71" s="2" t="s">
        <v>25</v>
      </c>
      <c r="J71" s="2" t="s">
        <v>378</v>
      </c>
      <c r="K71" s="2" t="s">
        <v>180</v>
      </c>
      <c r="L71" s="2" t="s">
        <v>54</v>
      </c>
      <c r="M71" s="2" t="s">
        <v>381</v>
      </c>
      <c r="N71" s="2" t="s">
        <v>30</v>
      </c>
      <c r="O71" s="2" t="s">
        <v>36</v>
      </c>
      <c r="P71" s="2" t="s">
        <v>382</v>
      </c>
      <c r="Q71" s="2">
        <v>466.76799999999997</v>
      </c>
      <c r="R71" s="2">
        <v>2</v>
      </c>
      <c r="S71" s="2">
        <v>52.511400000000002</v>
      </c>
      <c r="T71" s="2" t="s">
        <v>70</v>
      </c>
      <c r="U71" s="2" t="s">
        <v>77</v>
      </c>
    </row>
    <row r="72" spans="1:21" ht="14.25" customHeight="1" x14ac:dyDescent="0.3">
      <c r="A72" s="2" t="s">
        <v>375</v>
      </c>
      <c r="B72" s="5">
        <v>42625</v>
      </c>
      <c r="C72" s="2" t="str">
        <f>TEXT(data[[#This Row],[Order Date]],"YYYY")</f>
        <v>2016</v>
      </c>
      <c r="D72" s="2">
        <v>42627</v>
      </c>
      <c r="E72" s="2" t="s">
        <v>21</v>
      </c>
      <c r="F72" s="2" t="s">
        <v>376</v>
      </c>
      <c r="G72" s="2" t="s">
        <v>377</v>
      </c>
      <c r="H72" s="2" t="s">
        <v>90</v>
      </c>
      <c r="I72" s="2" t="s">
        <v>25</v>
      </c>
      <c r="J72" s="2" t="s">
        <v>378</v>
      </c>
      <c r="K72" s="2" t="s">
        <v>180</v>
      </c>
      <c r="L72" s="2" t="s">
        <v>54</v>
      </c>
      <c r="M72" s="2" t="s">
        <v>383</v>
      </c>
      <c r="N72" s="2" t="s">
        <v>30</v>
      </c>
      <c r="O72" s="2" t="s">
        <v>56</v>
      </c>
      <c r="P72" s="2" t="s">
        <v>384</v>
      </c>
      <c r="Q72" s="2">
        <v>15.231999999999999</v>
      </c>
      <c r="R72" s="2">
        <v>1</v>
      </c>
      <c r="S72" s="2">
        <v>1.7136</v>
      </c>
      <c r="T72" s="2" t="s">
        <v>70</v>
      </c>
      <c r="U72" s="2" t="s">
        <v>77</v>
      </c>
    </row>
    <row r="73" spans="1:21" ht="14.25" customHeight="1" x14ac:dyDescent="0.3">
      <c r="A73" s="2" t="s">
        <v>385</v>
      </c>
      <c r="B73" s="5">
        <v>41909</v>
      </c>
      <c r="C73" s="2" t="str">
        <f>TEXT(data[[#This Row],[Order Date]],"YYYY")</f>
        <v>2014</v>
      </c>
      <c r="D73" s="2">
        <v>41915</v>
      </c>
      <c r="E73" s="2" t="s">
        <v>39</v>
      </c>
      <c r="F73" s="2" t="s">
        <v>386</v>
      </c>
      <c r="G73" s="2" t="s">
        <v>387</v>
      </c>
      <c r="H73" s="2" t="s">
        <v>90</v>
      </c>
      <c r="I73" s="2" t="s">
        <v>25</v>
      </c>
      <c r="J73" s="2" t="s">
        <v>388</v>
      </c>
      <c r="K73" s="2" t="s">
        <v>362</v>
      </c>
      <c r="L73" s="2" t="s">
        <v>67</v>
      </c>
      <c r="M73" s="2" t="s">
        <v>389</v>
      </c>
      <c r="N73" s="2" t="s">
        <v>30</v>
      </c>
      <c r="O73" s="2" t="s">
        <v>56</v>
      </c>
      <c r="P73" s="2" t="s">
        <v>390</v>
      </c>
      <c r="Q73" s="2">
        <v>87.54</v>
      </c>
      <c r="R73" s="2">
        <v>3</v>
      </c>
      <c r="S73" s="2">
        <v>37.642200000000003</v>
      </c>
      <c r="T73" s="2" t="s">
        <v>129</v>
      </c>
      <c r="U73" s="2" t="s">
        <v>77</v>
      </c>
    </row>
    <row r="74" spans="1:21" ht="14.25" customHeight="1" x14ac:dyDescent="0.3">
      <c r="A74" s="2" t="s">
        <v>391</v>
      </c>
      <c r="B74" s="5">
        <v>41947</v>
      </c>
      <c r="C74" s="2" t="str">
        <f>TEXT(data[[#This Row],[Order Date]],"YYYY")</f>
        <v>2014</v>
      </c>
      <c r="D74" s="2">
        <v>41952</v>
      </c>
      <c r="E74" s="2" t="s">
        <v>39</v>
      </c>
      <c r="F74" s="2" t="s">
        <v>392</v>
      </c>
      <c r="G74" s="2" t="s">
        <v>393</v>
      </c>
      <c r="H74" s="2" t="s">
        <v>100</v>
      </c>
      <c r="I74" s="2" t="s">
        <v>25</v>
      </c>
      <c r="J74" s="2" t="s">
        <v>173</v>
      </c>
      <c r="K74" s="2" t="s">
        <v>120</v>
      </c>
      <c r="L74" s="2" t="s">
        <v>67</v>
      </c>
      <c r="M74" s="2" t="s">
        <v>394</v>
      </c>
      <c r="N74" s="2" t="s">
        <v>30</v>
      </c>
      <c r="O74" s="2" t="s">
        <v>36</v>
      </c>
      <c r="P74" s="2" t="s">
        <v>395</v>
      </c>
      <c r="Q74" s="2">
        <v>135.88200000000001</v>
      </c>
      <c r="R74" s="2">
        <v>1</v>
      </c>
      <c r="S74" s="2">
        <v>24.1568</v>
      </c>
      <c r="T74" s="2" t="s">
        <v>58</v>
      </c>
      <c r="U74" s="2" t="s">
        <v>34</v>
      </c>
    </row>
    <row r="75" spans="1:21" ht="14.25" customHeight="1" x14ac:dyDescent="0.3">
      <c r="A75" s="2" t="s">
        <v>396</v>
      </c>
      <c r="B75" s="5">
        <v>43042</v>
      </c>
      <c r="C75" s="2" t="str">
        <f>TEXT(data[[#This Row],[Order Date]],"YYYY")</f>
        <v>2017</v>
      </c>
      <c r="D75" s="2">
        <v>43044</v>
      </c>
      <c r="E75" s="2" t="s">
        <v>21</v>
      </c>
      <c r="F75" s="2" t="s">
        <v>397</v>
      </c>
      <c r="G75" s="2" t="s">
        <v>398</v>
      </c>
      <c r="H75" s="2" t="s">
        <v>90</v>
      </c>
      <c r="I75" s="2" t="s">
        <v>25</v>
      </c>
      <c r="J75" s="2" t="s">
        <v>399</v>
      </c>
      <c r="K75" s="2" t="s">
        <v>141</v>
      </c>
      <c r="L75" s="2" t="s">
        <v>28</v>
      </c>
      <c r="M75" s="2" t="s">
        <v>400</v>
      </c>
      <c r="N75" s="2" t="s">
        <v>30</v>
      </c>
      <c r="O75" s="2" t="s">
        <v>56</v>
      </c>
      <c r="P75" s="2" t="s">
        <v>401</v>
      </c>
      <c r="Q75" s="2">
        <v>15.992000000000001</v>
      </c>
      <c r="R75" s="2">
        <v>1</v>
      </c>
      <c r="S75" s="2">
        <v>0.99950000000000006</v>
      </c>
      <c r="T75" s="2" t="s">
        <v>70</v>
      </c>
      <c r="U75" s="2" t="s">
        <v>34</v>
      </c>
    </row>
    <row r="76" spans="1:21" ht="14.25" customHeight="1" x14ac:dyDescent="0.3">
      <c r="A76" s="2" t="s">
        <v>402</v>
      </c>
      <c r="B76" s="5">
        <v>42612</v>
      </c>
      <c r="C76" s="2" t="str">
        <f>TEXT(data[[#This Row],[Order Date]],"YYYY")</f>
        <v>2016</v>
      </c>
      <c r="D76" s="2">
        <v>42614</v>
      </c>
      <c r="E76" s="2" t="s">
        <v>87</v>
      </c>
      <c r="F76" s="2" t="s">
        <v>403</v>
      </c>
      <c r="G76" s="2" t="s">
        <v>404</v>
      </c>
      <c r="H76" s="2" t="s">
        <v>24</v>
      </c>
      <c r="I76" s="2" t="s">
        <v>25</v>
      </c>
      <c r="J76" s="2" t="s">
        <v>65</v>
      </c>
      <c r="K76" s="2" t="s">
        <v>66</v>
      </c>
      <c r="L76" s="2" t="s">
        <v>67</v>
      </c>
      <c r="M76" s="2" t="s">
        <v>405</v>
      </c>
      <c r="N76" s="2" t="s">
        <v>30</v>
      </c>
      <c r="O76" s="2" t="s">
        <v>36</v>
      </c>
      <c r="P76" s="2" t="s">
        <v>406</v>
      </c>
      <c r="Q76" s="2">
        <v>786.74400000000003</v>
      </c>
      <c r="R76" s="2">
        <v>4</v>
      </c>
      <c r="S76" s="2">
        <v>-258.5016</v>
      </c>
      <c r="T76" s="2" t="s">
        <v>70</v>
      </c>
      <c r="U76" s="2" t="s">
        <v>253</v>
      </c>
    </row>
    <row r="77" spans="1:21" ht="14.25" customHeight="1" x14ac:dyDescent="0.3">
      <c r="A77" s="2" t="s">
        <v>407</v>
      </c>
      <c r="B77" s="5">
        <v>41832</v>
      </c>
      <c r="C77" s="2" t="str">
        <f>TEXT(data[[#This Row],[Order Date]],"YYYY")</f>
        <v>2014</v>
      </c>
      <c r="D77" s="2">
        <v>41837</v>
      </c>
      <c r="E77" s="2" t="s">
        <v>39</v>
      </c>
      <c r="F77" s="2" t="s">
        <v>408</v>
      </c>
      <c r="G77" s="2" t="s">
        <v>409</v>
      </c>
      <c r="H77" s="2" t="s">
        <v>90</v>
      </c>
      <c r="I77" s="2" t="s">
        <v>25</v>
      </c>
      <c r="J77" s="2" t="s">
        <v>328</v>
      </c>
      <c r="K77" s="2" t="s">
        <v>53</v>
      </c>
      <c r="L77" s="2" t="s">
        <v>54</v>
      </c>
      <c r="M77" s="2" t="s">
        <v>410</v>
      </c>
      <c r="N77" s="2" t="s">
        <v>30</v>
      </c>
      <c r="O77" s="2" t="s">
        <v>45</v>
      </c>
      <c r="P77" s="2" t="s">
        <v>411</v>
      </c>
      <c r="Q77" s="2">
        <v>698.35199999999998</v>
      </c>
      <c r="R77" s="2">
        <v>3</v>
      </c>
      <c r="S77" s="2">
        <v>-17.4588</v>
      </c>
      <c r="T77" s="2" t="s">
        <v>58</v>
      </c>
      <c r="U77" s="2" t="s">
        <v>71</v>
      </c>
    </row>
    <row r="78" spans="1:21" ht="14.25" customHeight="1" x14ac:dyDescent="0.3">
      <c r="A78" s="2" t="s">
        <v>412</v>
      </c>
      <c r="B78" s="5">
        <v>42468</v>
      </c>
      <c r="C78" s="2" t="str">
        <f>TEXT(data[[#This Row],[Order Date]],"YYYY")</f>
        <v>2016</v>
      </c>
      <c r="D78" s="2">
        <v>42473</v>
      </c>
      <c r="E78" s="2" t="s">
        <v>39</v>
      </c>
      <c r="F78" s="2" t="s">
        <v>413</v>
      </c>
      <c r="G78" s="2" t="s">
        <v>414</v>
      </c>
      <c r="H78" s="2" t="s">
        <v>24</v>
      </c>
      <c r="I78" s="2" t="s">
        <v>25</v>
      </c>
      <c r="J78" s="2" t="s">
        <v>173</v>
      </c>
      <c r="K78" s="2" t="s">
        <v>120</v>
      </c>
      <c r="L78" s="2" t="s">
        <v>67</v>
      </c>
      <c r="M78" s="2" t="s">
        <v>415</v>
      </c>
      <c r="N78" s="2" t="s">
        <v>30</v>
      </c>
      <c r="O78" s="2" t="s">
        <v>31</v>
      </c>
      <c r="P78" s="2" t="s">
        <v>416</v>
      </c>
      <c r="Q78" s="2">
        <v>388.70400000000001</v>
      </c>
      <c r="R78" s="2">
        <v>6</v>
      </c>
      <c r="S78" s="2">
        <v>-4.8587999999999996</v>
      </c>
      <c r="T78" s="2" t="s">
        <v>58</v>
      </c>
      <c r="U78" s="2" t="s">
        <v>113</v>
      </c>
    </row>
    <row r="79" spans="1:21" ht="14.25" customHeight="1" x14ac:dyDescent="0.3">
      <c r="A79" s="2" t="s">
        <v>417</v>
      </c>
      <c r="B79" s="5">
        <v>43003</v>
      </c>
      <c r="C79" s="2" t="str">
        <f>TEXT(data[[#This Row],[Order Date]],"YYYY")</f>
        <v>2017</v>
      </c>
      <c r="D79" s="2">
        <v>43009</v>
      </c>
      <c r="E79" s="2" t="s">
        <v>39</v>
      </c>
      <c r="F79" s="2" t="s">
        <v>418</v>
      </c>
      <c r="G79" s="2" t="s">
        <v>419</v>
      </c>
      <c r="H79" s="2" t="s">
        <v>24</v>
      </c>
      <c r="I79" s="2" t="s">
        <v>25</v>
      </c>
      <c r="J79" s="2" t="s">
        <v>173</v>
      </c>
      <c r="K79" s="2" t="s">
        <v>120</v>
      </c>
      <c r="L79" s="2" t="s">
        <v>67</v>
      </c>
      <c r="M79" s="2" t="s">
        <v>420</v>
      </c>
      <c r="N79" s="2" t="s">
        <v>30</v>
      </c>
      <c r="O79" s="2" t="s">
        <v>36</v>
      </c>
      <c r="P79" s="2" t="s">
        <v>421</v>
      </c>
      <c r="Q79" s="2">
        <v>488.64600000000002</v>
      </c>
      <c r="R79" s="2">
        <v>3</v>
      </c>
      <c r="S79" s="2">
        <v>86.870400000000004</v>
      </c>
      <c r="T79" s="2" t="s">
        <v>129</v>
      </c>
      <c r="U79" s="2" t="s">
        <v>77</v>
      </c>
    </row>
    <row r="80" spans="1:21" ht="14.25" customHeight="1" x14ac:dyDescent="0.3">
      <c r="A80" s="2" t="s">
        <v>417</v>
      </c>
      <c r="B80" s="5">
        <v>43003</v>
      </c>
      <c r="C80" s="2" t="str">
        <f>TEXT(data[[#This Row],[Order Date]],"YYYY")</f>
        <v>2017</v>
      </c>
      <c r="D80" s="2">
        <v>43009</v>
      </c>
      <c r="E80" s="2" t="s">
        <v>39</v>
      </c>
      <c r="F80" s="2" t="s">
        <v>418</v>
      </c>
      <c r="G80" s="2" t="s">
        <v>419</v>
      </c>
      <c r="H80" s="2" t="s">
        <v>24</v>
      </c>
      <c r="I80" s="2" t="s">
        <v>25</v>
      </c>
      <c r="J80" s="2" t="s">
        <v>173</v>
      </c>
      <c r="K80" s="2" t="s">
        <v>120</v>
      </c>
      <c r="L80" s="2" t="s">
        <v>67</v>
      </c>
      <c r="M80" s="2" t="s">
        <v>422</v>
      </c>
      <c r="N80" s="2" t="s">
        <v>30</v>
      </c>
      <c r="O80" s="2" t="s">
        <v>56</v>
      </c>
      <c r="P80" s="2" t="s">
        <v>423</v>
      </c>
      <c r="Q80" s="2">
        <v>47.12</v>
      </c>
      <c r="R80" s="2">
        <v>8</v>
      </c>
      <c r="S80" s="2">
        <v>20.732800000000001</v>
      </c>
      <c r="T80" s="2" t="s">
        <v>129</v>
      </c>
      <c r="U80" s="2" t="s">
        <v>77</v>
      </c>
    </row>
    <row r="81" spans="1:21" ht="14.25" customHeight="1" x14ac:dyDescent="0.3">
      <c r="A81" s="2" t="s">
        <v>424</v>
      </c>
      <c r="B81" s="5">
        <v>42664</v>
      </c>
      <c r="C81" s="2" t="str">
        <f>TEXT(data[[#This Row],[Order Date]],"YYYY")</f>
        <v>2016</v>
      </c>
      <c r="D81" s="2">
        <v>42664</v>
      </c>
      <c r="E81" s="2" t="s">
        <v>425</v>
      </c>
      <c r="F81" s="2" t="s">
        <v>426</v>
      </c>
      <c r="G81" s="2" t="s">
        <v>427</v>
      </c>
      <c r="H81" s="2" t="s">
        <v>90</v>
      </c>
      <c r="I81" s="2" t="s">
        <v>25</v>
      </c>
      <c r="J81" s="2" t="s">
        <v>428</v>
      </c>
      <c r="K81" s="2" t="s">
        <v>429</v>
      </c>
      <c r="L81" s="2" t="s">
        <v>67</v>
      </c>
      <c r="M81" s="2" t="s">
        <v>102</v>
      </c>
      <c r="N81" s="2" t="s">
        <v>30</v>
      </c>
      <c r="O81" s="2" t="s">
        <v>31</v>
      </c>
      <c r="P81" s="2" t="s">
        <v>103</v>
      </c>
      <c r="Q81" s="2">
        <v>1043.92</v>
      </c>
      <c r="R81" s="2">
        <v>4</v>
      </c>
      <c r="S81" s="2">
        <v>271.41919999999999</v>
      </c>
      <c r="T81" s="2" t="s">
        <v>430</v>
      </c>
      <c r="U81" s="2" t="s">
        <v>48</v>
      </c>
    </row>
    <row r="82" spans="1:21" ht="14.25" customHeight="1" x14ac:dyDescent="0.3">
      <c r="A82" s="2" t="s">
        <v>431</v>
      </c>
      <c r="B82" s="5">
        <v>42974</v>
      </c>
      <c r="C82" s="2" t="str">
        <f>TEXT(data[[#This Row],[Order Date]],"YYYY")</f>
        <v>2017</v>
      </c>
      <c r="D82" s="2">
        <v>42979</v>
      </c>
      <c r="E82" s="2" t="s">
        <v>39</v>
      </c>
      <c r="F82" s="2" t="s">
        <v>432</v>
      </c>
      <c r="G82" s="2" t="s">
        <v>433</v>
      </c>
      <c r="H82" s="2" t="s">
        <v>90</v>
      </c>
      <c r="I82" s="2" t="s">
        <v>25</v>
      </c>
      <c r="J82" s="2" t="s">
        <v>237</v>
      </c>
      <c r="K82" s="2" t="s">
        <v>434</v>
      </c>
      <c r="L82" s="2" t="s">
        <v>67</v>
      </c>
      <c r="M82" s="2" t="s">
        <v>435</v>
      </c>
      <c r="N82" s="2" t="s">
        <v>30</v>
      </c>
      <c r="O82" s="2" t="s">
        <v>45</v>
      </c>
      <c r="P82" s="2" t="s">
        <v>436</v>
      </c>
      <c r="Q82" s="2">
        <v>1488.424</v>
      </c>
      <c r="R82" s="2">
        <v>7</v>
      </c>
      <c r="S82" s="2">
        <v>-297.6848</v>
      </c>
      <c r="T82" s="2" t="s">
        <v>58</v>
      </c>
      <c r="U82" s="2" t="s">
        <v>253</v>
      </c>
    </row>
    <row r="83" spans="1:21" ht="14.25" customHeight="1" x14ac:dyDescent="0.3">
      <c r="A83" s="2" t="s">
        <v>437</v>
      </c>
      <c r="B83" s="5">
        <v>42335</v>
      </c>
      <c r="C83" s="2" t="str">
        <f>TEXT(data[[#This Row],[Order Date]],"YYYY")</f>
        <v>2015</v>
      </c>
      <c r="D83" s="2">
        <v>42340</v>
      </c>
      <c r="E83" s="2" t="s">
        <v>39</v>
      </c>
      <c r="F83" s="2" t="s">
        <v>438</v>
      </c>
      <c r="G83" s="2" t="s">
        <v>439</v>
      </c>
      <c r="H83" s="2" t="s">
        <v>24</v>
      </c>
      <c r="I83" s="2" t="s">
        <v>25</v>
      </c>
      <c r="J83" s="2" t="s">
        <v>440</v>
      </c>
      <c r="K83" s="2" t="s">
        <v>43</v>
      </c>
      <c r="L83" s="2" t="s">
        <v>28</v>
      </c>
      <c r="M83" s="2" t="s">
        <v>441</v>
      </c>
      <c r="N83" s="2" t="s">
        <v>30</v>
      </c>
      <c r="O83" s="2" t="s">
        <v>45</v>
      </c>
      <c r="P83" s="2" t="s">
        <v>442</v>
      </c>
      <c r="Q83" s="2">
        <v>375.45749999999998</v>
      </c>
      <c r="R83" s="2">
        <v>3</v>
      </c>
      <c r="S83" s="2">
        <v>-157.0095</v>
      </c>
      <c r="T83" s="2" t="s">
        <v>58</v>
      </c>
      <c r="U83" s="2" t="s">
        <v>34</v>
      </c>
    </row>
    <row r="84" spans="1:21" ht="14.25" customHeight="1" x14ac:dyDescent="0.3">
      <c r="A84" s="2" t="s">
        <v>443</v>
      </c>
      <c r="B84" s="5">
        <v>42341</v>
      </c>
      <c r="C84" s="2" t="str">
        <f>TEXT(data[[#This Row],[Order Date]],"YYYY")</f>
        <v>2015</v>
      </c>
      <c r="D84" s="2">
        <v>42345</v>
      </c>
      <c r="E84" s="2" t="s">
        <v>39</v>
      </c>
      <c r="F84" s="2" t="s">
        <v>444</v>
      </c>
      <c r="G84" s="2" t="s">
        <v>445</v>
      </c>
      <c r="H84" s="2" t="s">
        <v>90</v>
      </c>
      <c r="I84" s="2" t="s">
        <v>25</v>
      </c>
      <c r="J84" s="2" t="s">
        <v>65</v>
      </c>
      <c r="K84" s="2" t="s">
        <v>66</v>
      </c>
      <c r="L84" s="2" t="s">
        <v>67</v>
      </c>
      <c r="M84" s="2" t="s">
        <v>446</v>
      </c>
      <c r="N84" s="2" t="s">
        <v>30</v>
      </c>
      <c r="O84" s="2" t="s">
        <v>56</v>
      </c>
      <c r="P84" s="2" t="s">
        <v>447</v>
      </c>
      <c r="Q84" s="2">
        <v>2.96</v>
      </c>
      <c r="R84" s="2">
        <v>1</v>
      </c>
      <c r="S84" s="2">
        <v>0.77700000000000002</v>
      </c>
      <c r="T84" s="2" t="s">
        <v>83</v>
      </c>
      <c r="U84" s="2" t="s">
        <v>96</v>
      </c>
    </row>
    <row r="85" spans="1:21" ht="14.25" customHeight="1" x14ac:dyDescent="0.3">
      <c r="A85" s="2" t="s">
        <v>448</v>
      </c>
      <c r="B85" s="5">
        <v>42621</v>
      </c>
      <c r="C85" s="2" t="str">
        <f>TEXT(data[[#This Row],[Order Date]],"YYYY")</f>
        <v>2016</v>
      </c>
      <c r="D85" s="2">
        <v>42623</v>
      </c>
      <c r="E85" s="2" t="s">
        <v>21</v>
      </c>
      <c r="F85" s="2" t="s">
        <v>449</v>
      </c>
      <c r="G85" s="2" t="s">
        <v>450</v>
      </c>
      <c r="H85" s="2" t="s">
        <v>24</v>
      </c>
      <c r="I85" s="2" t="s">
        <v>25</v>
      </c>
      <c r="J85" s="2" t="s">
        <v>101</v>
      </c>
      <c r="K85" s="2" t="s">
        <v>92</v>
      </c>
      <c r="L85" s="2" t="s">
        <v>93</v>
      </c>
      <c r="M85" s="2" t="s">
        <v>81</v>
      </c>
      <c r="N85" s="2" t="s">
        <v>30</v>
      </c>
      <c r="O85" s="2" t="s">
        <v>31</v>
      </c>
      <c r="P85" s="2" t="s">
        <v>82</v>
      </c>
      <c r="Q85" s="2">
        <v>2396.2656000000002</v>
      </c>
      <c r="R85" s="2">
        <v>4</v>
      </c>
      <c r="S85" s="2">
        <v>-317.15280000000001</v>
      </c>
      <c r="T85" s="2" t="s">
        <v>70</v>
      </c>
      <c r="U85" s="2" t="s">
        <v>77</v>
      </c>
    </row>
    <row r="86" spans="1:21" ht="14.25" customHeight="1" x14ac:dyDescent="0.3">
      <c r="A86" s="2" t="s">
        <v>451</v>
      </c>
      <c r="B86" s="5">
        <v>43077</v>
      </c>
      <c r="C86" s="2" t="str">
        <f>TEXT(data[[#This Row],[Order Date]],"YYYY")</f>
        <v>2017</v>
      </c>
      <c r="D86" s="2">
        <v>43081</v>
      </c>
      <c r="E86" s="2" t="s">
        <v>39</v>
      </c>
      <c r="F86" s="2" t="s">
        <v>452</v>
      </c>
      <c r="G86" s="2" t="s">
        <v>453</v>
      </c>
      <c r="H86" s="2" t="s">
        <v>24</v>
      </c>
      <c r="I86" s="2" t="s">
        <v>25</v>
      </c>
      <c r="J86" s="2" t="s">
        <v>328</v>
      </c>
      <c r="K86" s="2" t="s">
        <v>53</v>
      </c>
      <c r="L86" s="2" t="s">
        <v>54</v>
      </c>
      <c r="M86" s="2" t="s">
        <v>454</v>
      </c>
      <c r="N86" s="2" t="s">
        <v>30</v>
      </c>
      <c r="O86" s="2" t="s">
        <v>45</v>
      </c>
      <c r="P86" s="2" t="s">
        <v>455</v>
      </c>
      <c r="Q86" s="2">
        <v>1004.024</v>
      </c>
      <c r="R86" s="2">
        <v>7</v>
      </c>
      <c r="S86" s="2">
        <v>-112.95269999999999</v>
      </c>
      <c r="T86" s="2" t="s">
        <v>83</v>
      </c>
      <c r="U86" s="2" t="s">
        <v>96</v>
      </c>
    </row>
    <row r="87" spans="1:21" ht="14.25" customHeight="1" x14ac:dyDescent="0.3">
      <c r="A87" s="2" t="s">
        <v>451</v>
      </c>
      <c r="B87" s="5">
        <v>43077</v>
      </c>
      <c r="C87" s="2" t="str">
        <f>TEXT(data[[#This Row],[Order Date]],"YYYY")</f>
        <v>2017</v>
      </c>
      <c r="D87" s="2">
        <v>43081</v>
      </c>
      <c r="E87" s="2" t="s">
        <v>39</v>
      </c>
      <c r="F87" s="2" t="s">
        <v>452</v>
      </c>
      <c r="G87" s="2" t="s">
        <v>453</v>
      </c>
      <c r="H87" s="2" t="s">
        <v>24</v>
      </c>
      <c r="I87" s="2" t="s">
        <v>25</v>
      </c>
      <c r="J87" s="2" t="s">
        <v>328</v>
      </c>
      <c r="K87" s="2" t="s">
        <v>53</v>
      </c>
      <c r="L87" s="2" t="s">
        <v>54</v>
      </c>
      <c r="M87" s="2" t="s">
        <v>456</v>
      </c>
      <c r="N87" s="2" t="s">
        <v>30</v>
      </c>
      <c r="O87" s="2" t="s">
        <v>31</v>
      </c>
      <c r="P87" s="2" t="s">
        <v>457</v>
      </c>
      <c r="Q87" s="2">
        <v>1336.829</v>
      </c>
      <c r="R87" s="2">
        <v>13</v>
      </c>
      <c r="S87" s="2">
        <v>31.454799999999999</v>
      </c>
      <c r="T87" s="2" t="s">
        <v>83</v>
      </c>
      <c r="U87" s="2" t="s">
        <v>96</v>
      </c>
    </row>
    <row r="88" spans="1:21" ht="14.25" customHeight="1" x14ac:dyDescent="0.3">
      <c r="A88" s="2" t="s">
        <v>451</v>
      </c>
      <c r="B88" s="5">
        <v>43077</v>
      </c>
      <c r="C88" s="2" t="str">
        <f>TEXT(data[[#This Row],[Order Date]],"YYYY")</f>
        <v>2017</v>
      </c>
      <c r="D88" s="2">
        <v>43081</v>
      </c>
      <c r="E88" s="2" t="s">
        <v>39</v>
      </c>
      <c r="F88" s="2" t="s">
        <v>452</v>
      </c>
      <c r="G88" s="2" t="s">
        <v>453</v>
      </c>
      <c r="H88" s="2" t="s">
        <v>24</v>
      </c>
      <c r="I88" s="2" t="s">
        <v>25</v>
      </c>
      <c r="J88" s="2" t="s">
        <v>328</v>
      </c>
      <c r="K88" s="2" t="s">
        <v>53</v>
      </c>
      <c r="L88" s="2" t="s">
        <v>54</v>
      </c>
      <c r="M88" s="2" t="s">
        <v>458</v>
      </c>
      <c r="N88" s="2" t="s">
        <v>30</v>
      </c>
      <c r="O88" s="2" t="s">
        <v>36</v>
      </c>
      <c r="P88" s="2" t="s">
        <v>459</v>
      </c>
      <c r="Q88" s="2">
        <v>113.568</v>
      </c>
      <c r="R88" s="2">
        <v>2</v>
      </c>
      <c r="S88" s="2">
        <v>-18.454799999999999</v>
      </c>
      <c r="T88" s="2" t="s">
        <v>83</v>
      </c>
      <c r="U88" s="2" t="s">
        <v>96</v>
      </c>
    </row>
    <row r="89" spans="1:21" ht="14.25" customHeight="1" x14ac:dyDescent="0.3">
      <c r="A89" s="2" t="s">
        <v>460</v>
      </c>
      <c r="B89" s="5">
        <v>43042</v>
      </c>
      <c r="C89" s="2" t="str">
        <f>TEXT(data[[#This Row],[Order Date]],"YYYY")</f>
        <v>2017</v>
      </c>
      <c r="D89" s="2">
        <v>43046</v>
      </c>
      <c r="E89" s="2" t="s">
        <v>39</v>
      </c>
      <c r="F89" s="2" t="s">
        <v>461</v>
      </c>
      <c r="G89" s="2" t="s">
        <v>462</v>
      </c>
      <c r="H89" s="2" t="s">
        <v>90</v>
      </c>
      <c r="I89" s="2" t="s">
        <v>25</v>
      </c>
      <c r="J89" s="2" t="s">
        <v>191</v>
      </c>
      <c r="K89" s="2" t="s">
        <v>192</v>
      </c>
      <c r="L89" s="2" t="s">
        <v>54</v>
      </c>
      <c r="M89" s="2" t="s">
        <v>356</v>
      </c>
      <c r="N89" s="2" t="s">
        <v>30</v>
      </c>
      <c r="O89" s="2" t="s">
        <v>36</v>
      </c>
      <c r="P89" s="2" t="s">
        <v>357</v>
      </c>
      <c r="Q89" s="2">
        <v>307.13600000000002</v>
      </c>
      <c r="R89" s="2">
        <v>4</v>
      </c>
      <c r="S89" s="2">
        <v>26.874400000000001</v>
      </c>
      <c r="T89" s="2" t="s">
        <v>83</v>
      </c>
      <c r="U89" s="2" t="s">
        <v>34</v>
      </c>
    </row>
    <row r="90" spans="1:21" ht="14.25" customHeight="1" x14ac:dyDescent="0.3">
      <c r="A90" s="2" t="s">
        <v>463</v>
      </c>
      <c r="B90" s="5">
        <v>42474</v>
      </c>
      <c r="C90" s="2" t="str">
        <f>TEXT(data[[#This Row],[Order Date]],"YYYY")</f>
        <v>2016</v>
      </c>
      <c r="D90" s="2">
        <v>42478</v>
      </c>
      <c r="E90" s="2" t="s">
        <v>39</v>
      </c>
      <c r="F90" s="2" t="s">
        <v>464</v>
      </c>
      <c r="G90" s="2" t="s">
        <v>465</v>
      </c>
      <c r="H90" s="2" t="s">
        <v>24</v>
      </c>
      <c r="I90" s="2" t="s">
        <v>25</v>
      </c>
      <c r="J90" s="2" t="s">
        <v>52</v>
      </c>
      <c r="K90" s="2" t="s">
        <v>53</v>
      </c>
      <c r="L90" s="2" t="s">
        <v>54</v>
      </c>
      <c r="M90" s="2" t="s">
        <v>466</v>
      </c>
      <c r="N90" s="2" t="s">
        <v>30</v>
      </c>
      <c r="O90" s="2" t="s">
        <v>36</v>
      </c>
      <c r="P90" s="2" t="s">
        <v>467</v>
      </c>
      <c r="Q90" s="2">
        <v>383.8</v>
      </c>
      <c r="R90" s="2">
        <v>5</v>
      </c>
      <c r="S90" s="2">
        <v>38.380000000000003</v>
      </c>
      <c r="T90" s="2" t="s">
        <v>83</v>
      </c>
      <c r="U90" s="2" t="s">
        <v>113</v>
      </c>
    </row>
    <row r="91" spans="1:21" ht="14.25" customHeight="1" x14ac:dyDescent="0.3">
      <c r="A91" s="2" t="s">
        <v>468</v>
      </c>
      <c r="B91" s="5">
        <v>43027</v>
      </c>
      <c r="C91" s="2" t="str">
        <f>TEXT(data[[#This Row],[Order Date]],"YYYY")</f>
        <v>2017</v>
      </c>
      <c r="D91" s="2">
        <v>43031</v>
      </c>
      <c r="E91" s="2" t="s">
        <v>39</v>
      </c>
      <c r="F91" s="2" t="s">
        <v>469</v>
      </c>
      <c r="G91" s="2" t="s">
        <v>470</v>
      </c>
      <c r="H91" s="2" t="s">
        <v>90</v>
      </c>
      <c r="I91" s="2" t="s">
        <v>25</v>
      </c>
      <c r="J91" s="2" t="s">
        <v>471</v>
      </c>
      <c r="K91" s="2" t="s">
        <v>434</v>
      </c>
      <c r="L91" s="2" t="s">
        <v>67</v>
      </c>
      <c r="M91" s="2" t="s">
        <v>472</v>
      </c>
      <c r="N91" s="2" t="s">
        <v>30</v>
      </c>
      <c r="O91" s="2" t="s">
        <v>56</v>
      </c>
      <c r="P91" s="2" t="s">
        <v>473</v>
      </c>
      <c r="Q91" s="2">
        <v>56.56</v>
      </c>
      <c r="R91" s="2">
        <v>4</v>
      </c>
      <c r="S91" s="2">
        <v>14.7056</v>
      </c>
      <c r="T91" s="2" t="s">
        <v>83</v>
      </c>
      <c r="U91" s="2" t="s">
        <v>48</v>
      </c>
    </row>
    <row r="92" spans="1:21" ht="14.25" customHeight="1" x14ac:dyDescent="0.3">
      <c r="A92" s="2" t="s">
        <v>474</v>
      </c>
      <c r="B92" s="5">
        <v>42968</v>
      </c>
      <c r="C92" s="2" t="str">
        <f>TEXT(data[[#This Row],[Order Date]],"YYYY")</f>
        <v>2017</v>
      </c>
      <c r="D92" s="2">
        <v>42970</v>
      </c>
      <c r="E92" s="2" t="s">
        <v>21</v>
      </c>
      <c r="F92" s="2" t="s">
        <v>475</v>
      </c>
      <c r="G92" s="2" t="s">
        <v>476</v>
      </c>
      <c r="H92" s="2" t="s">
        <v>24</v>
      </c>
      <c r="I92" s="2" t="s">
        <v>25</v>
      </c>
      <c r="J92" s="2" t="s">
        <v>477</v>
      </c>
      <c r="K92" s="2" t="s">
        <v>478</v>
      </c>
      <c r="L92" s="2" t="s">
        <v>28</v>
      </c>
      <c r="M92" s="2" t="s">
        <v>479</v>
      </c>
      <c r="N92" s="2" t="s">
        <v>30</v>
      </c>
      <c r="O92" s="2" t="s">
        <v>36</v>
      </c>
      <c r="P92" s="2" t="s">
        <v>480</v>
      </c>
      <c r="Q92" s="2">
        <v>866.4</v>
      </c>
      <c r="R92" s="2">
        <v>4</v>
      </c>
      <c r="S92" s="2">
        <v>225.26400000000001</v>
      </c>
      <c r="T92" s="2" t="s">
        <v>70</v>
      </c>
      <c r="U92" s="2" t="s">
        <v>253</v>
      </c>
    </row>
    <row r="93" spans="1:21" ht="14.25" customHeight="1" x14ac:dyDescent="0.3">
      <c r="A93" s="2" t="s">
        <v>481</v>
      </c>
      <c r="B93" s="5">
        <v>43062</v>
      </c>
      <c r="C93" s="2" t="str">
        <f>TEXT(data[[#This Row],[Order Date]],"YYYY")</f>
        <v>2017</v>
      </c>
      <c r="D93" s="2">
        <v>43065</v>
      </c>
      <c r="E93" s="2" t="s">
        <v>21</v>
      </c>
      <c r="F93" s="2" t="s">
        <v>482</v>
      </c>
      <c r="G93" s="2" t="s">
        <v>483</v>
      </c>
      <c r="H93" s="2" t="s">
        <v>90</v>
      </c>
      <c r="I93" s="2" t="s">
        <v>25</v>
      </c>
      <c r="J93" s="2" t="s">
        <v>484</v>
      </c>
      <c r="K93" s="2" t="s">
        <v>289</v>
      </c>
      <c r="L93" s="2" t="s">
        <v>93</v>
      </c>
      <c r="M93" s="2" t="s">
        <v>485</v>
      </c>
      <c r="N93" s="2" t="s">
        <v>30</v>
      </c>
      <c r="O93" s="2" t="s">
        <v>56</v>
      </c>
      <c r="P93" s="2" t="s">
        <v>486</v>
      </c>
      <c r="Q93" s="2">
        <v>28.4</v>
      </c>
      <c r="R93" s="2">
        <v>2</v>
      </c>
      <c r="S93" s="2">
        <v>11.076000000000001</v>
      </c>
      <c r="T93" s="2" t="s">
        <v>33</v>
      </c>
      <c r="U93" s="2" t="s">
        <v>34</v>
      </c>
    </row>
    <row r="94" spans="1:21" ht="14.25" customHeight="1" x14ac:dyDescent="0.3">
      <c r="A94" s="2" t="s">
        <v>487</v>
      </c>
      <c r="B94" s="5">
        <v>42755</v>
      </c>
      <c r="C94" s="2" t="str">
        <f>TEXT(data[[#This Row],[Order Date]],"YYYY")</f>
        <v>2017</v>
      </c>
      <c r="D94" s="2">
        <v>42758</v>
      </c>
      <c r="E94" s="2" t="s">
        <v>21</v>
      </c>
      <c r="F94" s="2" t="s">
        <v>184</v>
      </c>
      <c r="G94" s="2" t="s">
        <v>185</v>
      </c>
      <c r="H94" s="2" t="s">
        <v>90</v>
      </c>
      <c r="I94" s="2" t="s">
        <v>25</v>
      </c>
      <c r="J94" s="2" t="s">
        <v>173</v>
      </c>
      <c r="K94" s="2" t="s">
        <v>120</v>
      </c>
      <c r="L94" s="2" t="s">
        <v>67</v>
      </c>
      <c r="M94" s="2" t="s">
        <v>488</v>
      </c>
      <c r="N94" s="2" t="s">
        <v>30</v>
      </c>
      <c r="O94" s="2" t="s">
        <v>36</v>
      </c>
      <c r="P94" s="2" t="s">
        <v>489</v>
      </c>
      <c r="Q94" s="2">
        <v>207.846</v>
      </c>
      <c r="R94" s="2">
        <v>3</v>
      </c>
      <c r="S94" s="2">
        <v>2.3094000000000001</v>
      </c>
      <c r="T94" s="2" t="s">
        <v>33</v>
      </c>
      <c r="U94" s="2" t="s">
        <v>169</v>
      </c>
    </row>
    <row r="95" spans="1:21" ht="14.25" customHeight="1" x14ac:dyDescent="0.3">
      <c r="A95" s="2" t="s">
        <v>490</v>
      </c>
      <c r="B95" s="5">
        <v>42618</v>
      </c>
      <c r="C95" s="2" t="str">
        <f>TEXT(data[[#This Row],[Order Date]],"YYYY")</f>
        <v>2016</v>
      </c>
      <c r="D95" s="2">
        <v>42620</v>
      </c>
      <c r="E95" s="2" t="s">
        <v>21</v>
      </c>
      <c r="F95" s="2" t="s">
        <v>491</v>
      </c>
      <c r="G95" s="2" t="s">
        <v>492</v>
      </c>
      <c r="H95" s="2" t="s">
        <v>24</v>
      </c>
      <c r="I95" s="2" t="s">
        <v>25</v>
      </c>
      <c r="J95" s="2" t="s">
        <v>288</v>
      </c>
      <c r="K95" s="2" t="s">
        <v>289</v>
      </c>
      <c r="L95" s="2" t="s">
        <v>93</v>
      </c>
      <c r="M95" s="2" t="s">
        <v>493</v>
      </c>
      <c r="N95" s="2" t="s">
        <v>30</v>
      </c>
      <c r="O95" s="2" t="s">
        <v>56</v>
      </c>
      <c r="P95" s="2" t="s">
        <v>494</v>
      </c>
      <c r="Q95" s="2">
        <v>12.22</v>
      </c>
      <c r="R95" s="2">
        <v>1</v>
      </c>
      <c r="S95" s="2">
        <v>3.6659999999999999</v>
      </c>
      <c r="T95" s="2" t="s">
        <v>70</v>
      </c>
      <c r="U95" s="2" t="s">
        <v>77</v>
      </c>
    </row>
    <row r="96" spans="1:21" ht="14.25" customHeight="1" x14ac:dyDescent="0.3">
      <c r="A96" s="2" t="s">
        <v>490</v>
      </c>
      <c r="B96" s="5">
        <v>42618</v>
      </c>
      <c r="C96" s="2" t="str">
        <f>TEXT(data[[#This Row],[Order Date]],"YYYY")</f>
        <v>2016</v>
      </c>
      <c r="D96" s="2">
        <v>42620</v>
      </c>
      <c r="E96" s="2" t="s">
        <v>21</v>
      </c>
      <c r="F96" s="2" t="s">
        <v>491</v>
      </c>
      <c r="G96" s="2" t="s">
        <v>492</v>
      </c>
      <c r="H96" s="2" t="s">
        <v>24</v>
      </c>
      <c r="I96" s="2" t="s">
        <v>25</v>
      </c>
      <c r="J96" s="2" t="s">
        <v>288</v>
      </c>
      <c r="K96" s="2" t="s">
        <v>289</v>
      </c>
      <c r="L96" s="2" t="s">
        <v>93</v>
      </c>
      <c r="M96" s="2" t="s">
        <v>495</v>
      </c>
      <c r="N96" s="2" t="s">
        <v>30</v>
      </c>
      <c r="O96" s="2" t="s">
        <v>36</v>
      </c>
      <c r="P96" s="2" t="s">
        <v>496</v>
      </c>
      <c r="Q96" s="2">
        <v>242.94</v>
      </c>
      <c r="R96" s="2">
        <v>3</v>
      </c>
      <c r="S96" s="2">
        <v>29.152799999999999</v>
      </c>
      <c r="T96" s="2" t="s">
        <v>70</v>
      </c>
      <c r="U96" s="2" t="s">
        <v>77</v>
      </c>
    </row>
    <row r="97" spans="1:21" ht="14.25" customHeight="1" x14ac:dyDescent="0.3">
      <c r="A97" s="2" t="s">
        <v>497</v>
      </c>
      <c r="B97" s="5">
        <v>42814</v>
      </c>
      <c r="C97" s="2" t="str">
        <f>TEXT(data[[#This Row],[Order Date]],"YYYY")</f>
        <v>2017</v>
      </c>
      <c r="D97" s="2">
        <v>42819</v>
      </c>
      <c r="E97" s="2" t="s">
        <v>21</v>
      </c>
      <c r="F97" s="2" t="s">
        <v>498</v>
      </c>
      <c r="G97" s="2" t="s">
        <v>499</v>
      </c>
      <c r="H97" s="2" t="s">
        <v>24</v>
      </c>
      <c r="I97" s="2" t="s">
        <v>25</v>
      </c>
      <c r="J97" s="2" t="s">
        <v>347</v>
      </c>
      <c r="K97" s="2" t="s">
        <v>110</v>
      </c>
      <c r="L97" s="2" t="s">
        <v>93</v>
      </c>
      <c r="M97" s="2" t="s">
        <v>500</v>
      </c>
      <c r="N97" s="2" t="s">
        <v>30</v>
      </c>
      <c r="O97" s="2" t="s">
        <v>56</v>
      </c>
      <c r="P97" s="2" t="s">
        <v>501</v>
      </c>
      <c r="Q97" s="2">
        <v>2.91</v>
      </c>
      <c r="R97" s="2">
        <v>1</v>
      </c>
      <c r="S97" s="2">
        <v>1.3676999999999999</v>
      </c>
      <c r="T97" s="2" t="s">
        <v>58</v>
      </c>
      <c r="U97" s="2" t="s">
        <v>195</v>
      </c>
    </row>
    <row r="98" spans="1:21" ht="14.25" customHeight="1" x14ac:dyDescent="0.3">
      <c r="A98" s="2" t="s">
        <v>502</v>
      </c>
      <c r="B98" s="5">
        <v>43028</v>
      </c>
      <c r="C98" s="2" t="str">
        <f>TEXT(data[[#This Row],[Order Date]],"YYYY")</f>
        <v>2017</v>
      </c>
      <c r="D98" s="2">
        <v>43032</v>
      </c>
      <c r="E98" s="2" t="s">
        <v>39</v>
      </c>
      <c r="F98" s="2" t="s">
        <v>503</v>
      </c>
      <c r="G98" s="2" t="s">
        <v>504</v>
      </c>
      <c r="H98" s="2" t="s">
        <v>90</v>
      </c>
      <c r="I98" s="2" t="s">
        <v>25</v>
      </c>
      <c r="J98" s="2" t="s">
        <v>505</v>
      </c>
      <c r="K98" s="2" t="s">
        <v>231</v>
      </c>
      <c r="L98" s="2" t="s">
        <v>67</v>
      </c>
      <c r="M98" s="2" t="s">
        <v>60</v>
      </c>
      <c r="N98" s="2" t="s">
        <v>30</v>
      </c>
      <c r="O98" s="2" t="s">
        <v>45</v>
      </c>
      <c r="P98" s="2" t="s">
        <v>61</v>
      </c>
      <c r="Q98" s="2">
        <v>284.36399999999998</v>
      </c>
      <c r="R98" s="2">
        <v>2</v>
      </c>
      <c r="S98" s="2">
        <v>-75.830399999999997</v>
      </c>
      <c r="T98" s="2" t="s">
        <v>83</v>
      </c>
      <c r="U98" s="2" t="s">
        <v>48</v>
      </c>
    </row>
    <row r="99" spans="1:21" ht="14.25" customHeight="1" x14ac:dyDescent="0.3">
      <c r="A99" s="2" t="s">
        <v>506</v>
      </c>
      <c r="B99" s="5">
        <v>41682</v>
      </c>
      <c r="C99" s="2" t="str">
        <f>TEXT(data[[#This Row],[Order Date]],"YYYY")</f>
        <v>2014</v>
      </c>
      <c r="D99" s="2">
        <v>41688</v>
      </c>
      <c r="E99" s="2" t="s">
        <v>39</v>
      </c>
      <c r="F99" s="2" t="s">
        <v>507</v>
      </c>
      <c r="G99" s="2" t="s">
        <v>508</v>
      </c>
      <c r="H99" s="2" t="s">
        <v>24</v>
      </c>
      <c r="I99" s="2" t="s">
        <v>25</v>
      </c>
      <c r="J99" s="2" t="s">
        <v>509</v>
      </c>
      <c r="K99" s="2" t="s">
        <v>53</v>
      </c>
      <c r="L99" s="2" t="s">
        <v>54</v>
      </c>
      <c r="M99" s="2" t="s">
        <v>510</v>
      </c>
      <c r="N99" s="2" t="s">
        <v>30</v>
      </c>
      <c r="O99" s="2" t="s">
        <v>36</v>
      </c>
      <c r="P99" s="2" t="s">
        <v>511</v>
      </c>
      <c r="Q99" s="2">
        <v>129.56800000000001</v>
      </c>
      <c r="R99" s="2">
        <v>2</v>
      </c>
      <c r="S99" s="2">
        <v>-24.294</v>
      </c>
      <c r="T99" s="2" t="s">
        <v>129</v>
      </c>
      <c r="U99" s="2" t="s">
        <v>297</v>
      </c>
    </row>
    <row r="100" spans="1:21" ht="14.25" customHeight="1" x14ac:dyDescent="0.3">
      <c r="A100" s="2" t="s">
        <v>512</v>
      </c>
      <c r="B100" s="5">
        <v>42639</v>
      </c>
      <c r="C100" s="2" t="str">
        <f>TEXT(data[[#This Row],[Order Date]],"YYYY")</f>
        <v>2016</v>
      </c>
      <c r="D100" s="2">
        <v>42644</v>
      </c>
      <c r="E100" s="2" t="s">
        <v>39</v>
      </c>
      <c r="F100" s="2" t="s">
        <v>475</v>
      </c>
      <c r="G100" s="2" t="s">
        <v>476</v>
      </c>
      <c r="H100" s="2" t="s">
        <v>24</v>
      </c>
      <c r="I100" s="2" t="s">
        <v>25</v>
      </c>
      <c r="J100" s="2" t="s">
        <v>513</v>
      </c>
      <c r="K100" s="2" t="s">
        <v>134</v>
      </c>
      <c r="L100" s="2" t="s">
        <v>93</v>
      </c>
      <c r="M100" s="2" t="s">
        <v>514</v>
      </c>
      <c r="N100" s="2" t="s">
        <v>30</v>
      </c>
      <c r="O100" s="2" t="s">
        <v>36</v>
      </c>
      <c r="P100" s="2" t="s">
        <v>515</v>
      </c>
      <c r="Q100" s="2">
        <v>747.55799999999999</v>
      </c>
      <c r="R100" s="2">
        <v>3</v>
      </c>
      <c r="S100" s="2">
        <v>-96.114599999999996</v>
      </c>
      <c r="T100" s="2" t="s">
        <v>58</v>
      </c>
      <c r="U100" s="2" t="s">
        <v>77</v>
      </c>
    </row>
    <row r="101" spans="1:21" ht="14.25" customHeight="1" x14ac:dyDescent="0.3">
      <c r="A101" s="2" t="s">
        <v>516</v>
      </c>
      <c r="B101" s="5">
        <v>42482</v>
      </c>
      <c r="C101" s="2" t="str">
        <f>TEXT(data[[#This Row],[Order Date]],"YYYY")</f>
        <v>2016</v>
      </c>
      <c r="D101" s="2">
        <v>42489</v>
      </c>
      <c r="E101" s="2" t="s">
        <v>39</v>
      </c>
      <c r="F101" s="2" t="s">
        <v>517</v>
      </c>
      <c r="G101" s="2" t="s">
        <v>518</v>
      </c>
      <c r="H101" s="2" t="s">
        <v>100</v>
      </c>
      <c r="I101" s="2" t="s">
        <v>25</v>
      </c>
      <c r="J101" s="2" t="s">
        <v>519</v>
      </c>
      <c r="K101" s="2" t="s">
        <v>520</v>
      </c>
      <c r="L101" s="2" t="s">
        <v>54</v>
      </c>
      <c r="M101" s="2" t="s">
        <v>422</v>
      </c>
      <c r="N101" s="2" t="s">
        <v>30</v>
      </c>
      <c r="O101" s="2" t="s">
        <v>56</v>
      </c>
      <c r="P101" s="2" t="s">
        <v>423</v>
      </c>
      <c r="Q101" s="2">
        <v>23.56</v>
      </c>
      <c r="R101" s="2">
        <v>5</v>
      </c>
      <c r="S101" s="2">
        <v>7.0679999999999996</v>
      </c>
      <c r="T101" s="2" t="s">
        <v>47</v>
      </c>
      <c r="U101" s="2" t="s">
        <v>113</v>
      </c>
    </row>
    <row r="102" spans="1:21" ht="14.25" customHeight="1" x14ac:dyDescent="0.3">
      <c r="A102" s="2" t="s">
        <v>516</v>
      </c>
      <c r="B102" s="5">
        <v>42482</v>
      </c>
      <c r="C102" s="2" t="str">
        <f>TEXT(data[[#This Row],[Order Date]],"YYYY")</f>
        <v>2016</v>
      </c>
      <c r="D102" s="2">
        <v>42489</v>
      </c>
      <c r="E102" s="2" t="s">
        <v>39</v>
      </c>
      <c r="F102" s="2" t="s">
        <v>517</v>
      </c>
      <c r="G102" s="2" t="s">
        <v>518</v>
      </c>
      <c r="H102" s="2" t="s">
        <v>100</v>
      </c>
      <c r="I102" s="2" t="s">
        <v>25</v>
      </c>
      <c r="J102" s="2" t="s">
        <v>519</v>
      </c>
      <c r="K102" s="2" t="s">
        <v>520</v>
      </c>
      <c r="L102" s="2" t="s">
        <v>54</v>
      </c>
      <c r="M102" s="2" t="s">
        <v>521</v>
      </c>
      <c r="N102" s="2" t="s">
        <v>30</v>
      </c>
      <c r="O102" s="2" t="s">
        <v>45</v>
      </c>
      <c r="P102" s="2" t="s">
        <v>522</v>
      </c>
      <c r="Q102" s="2">
        <v>1272.6300000000001</v>
      </c>
      <c r="R102" s="2">
        <v>6</v>
      </c>
      <c r="S102" s="2">
        <v>-814.48320000000001</v>
      </c>
      <c r="T102" s="2" t="s">
        <v>47</v>
      </c>
      <c r="U102" s="2" t="s">
        <v>113</v>
      </c>
    </row>
    <row r="103" spans="1:21" ht="14.25" customHeight="1" x14ac:dyDescent="0.3">
      <c r="A103" s="2" t="s">
        <v>523</v>
      </c>
      <c r="B103" s="5">
        <v>42021</v>
      </c>
      <c r="C103" s="2" t="str">
        <f>TEXT(data[[#This Row],[Order Date]],"YYYY")</f>
        <v>2015</v>
      </c>
      <c r="D103" s="2">
        <v>42028</v>
      </c>
      <c r="E103" s="2" t="s">
        <v>39</v>
      </c>
      <c r="F103" s="2" t="s">
        <v>524</v>
      </c>
      <c r="G103" s="2" t="s">
        <v>525</v>
      </c>
      <c r="H103" s="2" t="s">
        <v>100</v>
      </c>
      <c r="I103" s="2" t="s">
        <v>25</v>
      </c>
      <c r="J103" s="2" t="s">
        <v>526</v>
      </c>
      <c r="K103" s="2" t="s">
        <v>134</v>
      </c>
      <c r="L103" s="2" t="s">
        <v>93</v>
      </c>
      <c r="M103" s="2" t="s">
        <v>358</v>
      </c>
      <c r="N103" s="2" t="s">
        <v>30</v>
      </c>
      <c r="O103" s="2" t="s">
        <v>56</v>
      </c>
      <c r="P103" s="2" t="s">
        <v>359</v>
      </c>
      <c r="Q103" s="2">
        <v>254.744</v>
      </c>
      <c r="R103" s="2">
        <v>7</v>
      </c>
      <c r="S103" s="2">
        <v>-312.06139999999999</v>
      </c>
      <c r="T103" s="2" t="s">
        <v>47</v>
      </c>
      <c r="U103" s="2" t="s">
        <v>169</v>
      </c>
    </row>
    <row r="104" spans="1:21" ht="14.25" customHeight="1" x14ac:dyDescent="0.3">
      <c r="A104" s="2" t="s">
        <v>527</v>
      </c>
      <c r="B104" s="5">
        <v>42825</v>
      </c>
      <c r="C104" s="2" t="str">
        <f>TEXT(data[[#This Row],[Order Date]],"YYYY")</f>
        <v>2017</v>
      </c>
      <c r="D104" s="2">
        <v>42829</v>
      </c>
      <c r="E104" s="2" t="s">
        <v>39</v>
      </c>
      <c r="F104" s="2" t="s">
        <v>286</v>
      </c>
      <c r="G104" s="2" t="s">
        <v>287</v>
      </c>
      <c r="H104" s="2" t="s">
        <v>90</v>
      </c>
      <c r="I104" s="2" t="s">
        <v>25</v>
      </c>
      <c r="J104" s="2" t="s">
        <v>528</v>
      </c>
      <c r="K104" s="2" t="s">
        <v>92</v>
      </c>
      <c r="L104" s="2" t="s">
        <v>93</v>
      </c>
      <c r="M104" s="2" t="s">
        <v>529</v>
      </c>
      <c r="N104" s="2" t="s">
        <v>30</v>
      </c>
      <c r="O104" s="2" t="s">
        <v>31</v>
      </c>
      <c r="P104" s="2" t="s">
        <v>530</v>
      </c>
      <c r="Q104" s="2">
        <v>205.33279999999999</v>
      </c>
      <c r="R104" s="2">
        <v>2</v>
      </c>
      <c r="S104" s="2">
        <v>-36.235199999999999</v>
      </c>
      <c r="T104" s="2" t="s">
        <v>83</v>
      </c>
      <c r="U104" s="2" t="s">
        <v>195</v>
      </c>
    </row>
    <row r="105" spans="1:21" ht="14.25" customHeight="1" x14ac:dyDescent="0.3">
      <c r="A105" s="2" t="s">
        <v>531</v>
      </c>
      <c r="B105" s="5">
        <v>41952</v>
      </c>
      <c r="C105" s="2" t="str">
        <f>TEXT(data[[#This Row],[Order Date]],"YYYY")</f>
        <v>2014</v>
      </c>
      <c r="D105" s="2">
        <v>41954</v>
      </c>
      <c r="E105" s="2" t="s">
        <v>21</v>
      </c>
      <c r="F105" s="2" t="s">
        <v>532</v>
      </c>
      <c r="G105" s="2" t="s">
        <v>533</v>
      </c>
      <c r="H105" s="2" t="s">
        <v>24</v>
      </c>
      <c r="I105" s="2" t="s">
        <v>25</v>
      </c>
      <c r="J105" s="2" t="s">
        <v>328</v>
      </c>
      <c r="K105" s="2" t="s">
        <v>53</v>
      </c>
      <c r="L105" s="2" t="s">
        <v>54</v>
      </c>
      <c r="M105" s="2" t="s">
        <v>534</v>
      </c>
      <c r="N105" s="2" t="s">
        <v>30</v>
      </c>
      <c r="O105" s="2" t="s">
        <v>31</v>
      </c>
      <c r="P105" s="2" t="s">
        <v>535</v>
      </c>
      <c r="Q105" s="2">
        <v>222.666</v>
      </c>
      <c r="R105" s="2">
        <v>2</v>
      </c>
      <c r="S105" s="2">
        <v>10.478400000000001</v>
      </c>
      <c r="T105" s="2" t="s">
        <v>70</v>
      </c>
      <c r="U105" s="2" t="s">
        <v>34</v>
      </c>
    </row>
    <row r="106" spans="1:21" ht="14.25" customHeight="1" x14ac:dyDescent="0.3">
      <c r="A106" s="2" t="s">
        <v>536</v>
      </c>
      <c r="B106" s="5">
        <v>42670</v>
      </c>
      <c r="C106" s="2" t="str">
        <f>TEXT(data[[#This Row],[Order Date]],"YYYY")</f>
        <v>2016</v>
      </c>
      <c r="D106" s="2">
        <v>42676</v>
      </c>
      <c r="E106" s="2" t="s">
        <v>39</v>
      </c>
      <c r="F106" s="2" t="s">
        <v>537</v>
      </c>
      <c r="G106" s="2" t="s">
        <v>538</v>
      </c>
      <c r="H106" s="2" t="s">
        <v>24</v>
      </c>
      <c r="I106" s="2" t="s">
        <v>25</v>
      </c>
      <c r="J106" s="2" t="s">
        <v>119</v>
      </c>
      <c r="K106" s="2" t="s">
        <v>120</v>
      </c>
      <c r="L106" s="2" t="s">
        <v>67</v>
      </c>
      <c r="M106" s="2" t="s">
        <v>373</v>
      </c>
      <c r="N106" s="2" t="s">
        <v>30</v>
      </c>
      <c r="O106" s="2" t="s">
        <v>56</v>
      </c>
      <c r="P106" s="2" t="s">
        <v>374</v>
      </c>
      <c r="Q106" s="2">
        <v>40.200000000000003</v>
      </c>
      <c r="R106" s="2">
        <v>3</v>
      </c>
      <c r="S106" s="2">
        <v>19.295999999999999</v>
      </c>
      <c r="T106" s="2" t="s">
        <v>129</v>
      </c>
      <c r="U106" s="2" t="s">
        <v>48</v>
      </c>
    </row>
    <row r="107" spans="1:21" ht="14.25" customHeight="1" x14ac:dyDescent="0.3">
      <c r="A107" s="2" t="s">
        <v>539</v>
      </c>
      <c r="B107" s="5">
        <v>42896</v>
      </c>
      <c r="C107" s="2" t="str">
        <f>TEXT(data[[#This Row],[Order Date]],"YYYY")</f>
        <v>2017</v>
      </c>
      <c r="D107" s="2">
        <v>42899</v>
      </c>
      <c r="E107" s="2" t="s">
        <v>87</v>
      </c>
      <c r="F107" s="2" t="s">
        <v>540</v>
      </c>
      <c r="G107" s="2" t="s">
        <v>541</v>
      </c>
      <c r="H107" s="2" t="s">
        <v>100</v>
      </c>
      <c r="I107" s="2" t="s">
        <v>25</v>
      </c>
      <c r="J107" s="2" t="s">
        <v>52</v>
      </c>
      <c r="K107" s="2" t="s">
        <v>53</v>
      </c>
      <c r="L107" s="2" t="s">
        <v>54</v>
      </c>
      <c r="M107" s="2" t="s">
        <v>542</v>
      </c>
      <c r="N107" s="2" t="s">
        <v>30</v>
      </c>
      <c r="O107" s="2" t="s">
        <v>31</v>
      </c>
      <c r="P107" s="2" t="s">
        <v>543</v>
      </c>
      <c r="Q107" s="2">
        <v>514.16499999999996</v>
      </c>
      <c r="R107" s="2">
        <v>5</v>
      </c>
      <c r="S107" s="2">
        <v>-30.245000000000001</v>
      </c>
      <c r="T107" s="2" t="s">
        <v>33</v>
      </c>
      <c r="U107" s="2" t="s">
        <v>59</v>
      </c>
    </row>
    <row r="108" spans="1:21" ht="14.25" customHeight="1" x14ac:dyDescent="0.3">
      <c r="A108" s="2" t="s">
        <v>544</v>
      </c>
      <c r="B108" s="5">
        <v>42447</v>
      </c>
      <c r="C108" s="2" t="str">
        <f>TEXT(data[[#This Row],[Order Date]],"YYYY")</f>
        <v>2016</v>
      </c>
      <c r="D108" s="2">
        <v>42450</v>
      </c>
      <c r="E108" s="2" t="s">
        <v>21</v>
      </c>
      <c r="F108" s="2" t="s">
        <v>545</v>
      </c>
      <c r="G108" s="2" t="s">
        <v>546</v>
      </c>
      <c r="H108" s="2" t="s">
        <v>24</v>
      </c>
      <c r="I108" s="2" t="s">
        <v>25</v>
      </c>
      <c r="J108" s="2" t="s">
        <v>140</v>
      </c>
      <c r="K108" s="2" t="s">
        <v>141</v>
      </c>
      <c r="L108" s="2" t="s">
        <v>28</v>
      </c>
      <c r="M108" s="2" t="s">
        <v>547</v>
      </c>
      <c r="N108" s="2" t="s">
        <v>30</v>
      </c>
      <c r="O108" s="2" t="s">
        <v>45</v>
      </c>
      <c r="P108" s="2" t="s">
        <v>548</v>
      </c>
      <c r="Q108" s="2">
        <v>189.88200000000001</v>
      </c>
      <c r="R108" s="2">
        <v>3</v>
      </c>
      <c r="S108" s="2">
        <v>-94.941000000000003</v>
      </c>
      <c r="T108" s="2" t="s">
        <v>33</v>
      </c>
      <c r="U108" s="2" t="s">
        <v>195</v>
      </c>
    </row>
    <row r="109" spans="1:21" ht="14.25" customHeight="1" x14ac:dyDescent="0.3">
      <c r="A109" s="2" t="s">
        <v>549</v>
      </c>
      <c r="B109" s="5">
        <v>42576</v>
      </c>
      <c r="C109" s="2" t="str">
        <f>TEXT(data[[#This Row],[Order Date]],"YYYY")</f>
        <v>2016</v>
      </c>
      <c r="D109" s="2">
        <v>42582</v>
      </c>
      <c r="E109" s="2" t="s">
        <v>39</v>
      </c>
      <c r="F109" s="2" t="s">
        <v>507</v>
      </c>
      <c r="G109" s="2" t="s">
        <v>508</v>
      </c>
      <c r="H109" s="2" t="s">
        <v>24</v>
      </c>
      <c r="I109" s="2" t="s">
        <v>25</v>
      </c>
      <c r="J109" s="2" t="s">
        <v>550</v>
      </c>
      <c r="K109" s="2" t="s">
        <v>53</v>
      </c>
      <c r="L109" s="2" t="s">
        <v>54</v>
      </c>
      <c r="M109" s="2" t="s">
        <v>551</v>
      </c>
      <c r="N109" s="2" t="s">
        <v>30</v>
      </c>
      <c r="O109" s="2" t="s">
        <v>56</v>
      </c>
      <c r="P109" s="2" t="s">
        <v>552</v>
      </c>
      <c r="Q109" s="2">
        <v>255.76</v>
      </c>
      <c r="R109" s="2">
        <v>4</v>
      </c>
      <c r="S109" s="2">
        <v>81.843199999999996</v>
      </c>
      <c r="T109" s="2" t="s">
        <v>129</v>
      </c>
      <c r="U109" s="2" t="s">
        <v>71</v>
      </c>
    </row>
    <row r="110" spans="1:21" ht="14.25" customHeight="1" x14ac:dyDescent="0.3">
      <c r="A110" s="2" t="s">
        <v>549</v>
      </c>
      <c r="B110" s="5">
        <v>42576</v>
      </c>
      <c r="C110" s="2" t="str">
        <f>TEXT(data[[#This Row],[Order Date]],"YYYY")</f>
        <v>2016</v>
      </c>
      <c r="D110" s="2">
        <v>42582</v>
      </c>
      <c r="E110" s="2" t="s">
        <v>39</v>
      </c>
      <c r="F110" s="2" t="s">
        <v>507</v>
      </c>
      <c r="G110" s="2" t="s">
        <v>508</v>
      </c>
      <c r="H110" s="2" t="s">
        <v>24</v>
      </c>
      <c r="I110" s="2" t="s">
        <v>25</v>
      </c>
      <c r="J110" s="2" t="s">
        <v>550</v>
      </c>
      <c r="K110" s="2" t="s">
        <v>53</v>
      </c>
      <c r="L110" s="2" t="s">
        <v>54</v>
      </c>
      <c r="M110" s="2" t="s">
        <v>394</v>
      </c>
      <c r="N110" s="2" t="s">
        <v>30</v>
      </c>
      <c r="O110" s="2" t="s">
        <v>36</v>
      </c>
      <c r="P110" s="2" t="s">
        <v>395</v>
      </c>
      <c r="Q110" s="2">
        <v>241.56800000000001</v>
      </c>
      <c r="R110" s="2">
        <v>2</v>
      </c>
      <c r="S110" s="2">
        <v>18.117599999999999</v>
      </c>
      <c r="T110" s="2" t="s">
        <v>129</v>
      </c>
      <c r="U110" s="2" t="s">
        <v>71</v>
      </c>
    </row>
    <row r="111" spans="1:21" ht="14.25" customHeight="1" x14ac:dyDescent="0.3">
      <c r="A111" s="2" t="s">
        <v>549</v>
      </c>
      <c r="B111" s="5">
        <v>42576</v>
      </c>
      <c r="C111" s="2" t="str">
        <f>TEXT(data[[#This Row],[Order Date]],"YYYY")</f>
        <v>2016</v>
      </c>
      <c r="D111" s="2">
        <v>42582</v>
      </c>
      <c r="E111" s="2" t="s">
        <v>39</v>
      </c>
      <c r="F111" s="2" t="s">
        <v>507</v>
      </c>
      <c r="G111" s="2" t="s">
        <v>508</v>
      </c>
      <c r="H111" s="2" t="s">
        <v>24</v>
      </c>
      <c r="I111" s="2" t="s">
        <v>25</v>
      </c>
      <c r="J111" s="2" t="s">
        <v>550</v>
      </c>
      <c r="K111" s="2" t="s">
        <v>53</v>
      </c>
      <c r="L111" s="2" t="s">
        <v>54</v>
      </c>
      <c r="M111" s="2" t="s">
        <v>553</v>
      </c>
      <c r="N111" s="2" t="s">
        <v>30</v>
      </c>
      <c r="O111" s="2" t="s">
        <v>56</v>
      </c>
      <c r="P111" s="2" t="s">
        <v>554</v>
      </c>
      <c r="Q111" s="2">
        <v>69.3</v>
      </c>
      <c r="R111" s="2">
        <v>9</v>
      </c>
      <c r="S111" s="2">
        <v>22.869</v>
      </c>
      <c r="T111" s="2" t="s">
        <v>129</v>
      </c>
      <c r="U111" s="2" t="s">
        <v>71</v>
      </c>
    </row>
    <row r="112" spans="1:21" ht="14.25" customHeight="1" x14ac:dyDescent="0.3">
      <c r="A112" s="2" t="s">
        <v>555</v>
      </c>
      <c r="B112" s="5">
        <v>42520</v>
      </c>
      <c r="C112" s="2" t="str">
        <f>TEXT(data[[#This Row],[Order Date]],"YYYY")</f>
        <v>2016</v>
      </c>
      <c r="D112" s="2">
        <v>42525</v>
      </c>
      <c r="E112" s="2" t="s">
        <v>39</v>
      </c>
      <c r="F112" s="2" t="s">
        <v>556</v>
      </c>
      <c r="G112" s="2" t="s">
        <v>557</v>
      </c>
      <c r="H112" s="2" t="s">
        <v>90</v>
      </c>
      <c r="I112" s="2" t="s">
        <v>25</v>
      </c>
      <c r="J112" s="2" t="s">
        <v>558</v>
      </c>
      <c r="K112" s="2" t="s">
        <v>180</v>
      </c>
      <c r="L112" s="2" t="s">
        <v>54</v>
      </c>
      <c r="M112" s="2" t="s">
        <v>559</v>
      </c>
      <c r="N112" s="2" t="s">
        <v>30</v>
      </c>
      <c r="O112" s="2" t="s">
        <v>36</v>
      </c>
      <c r="P112" s="2" t="s">
        <v>560</v>
      </c>
      <c r="Q112" s="2">
        <v>801.56799999999998</v>
      </c>
      <c r="R112" s="2">
        <v>2</v>
      </c>
      <c r="S112" s="2">
        <v>50.097999999999999</v>
      </c>
      <c r="T112" s="2" t="s">
        <v>58</v>
      </c>
      <c r="U112" s="2" t="s">
        <v>161</v>
      </c>
    </row>
    <row r="113" spans="1:21" ht="14.25" customHeight="1" x14ac:dyDescent="0.3">
      <c r="A113" s="2" t="s">
        <v>561</v>
      </c>
      <c r="B113" s="5">
        <v>43065</v>
      </c>
      <c r="C113" s="2" t="str">
        <f>TEXT(data[[#This Row],[Order Date]],"YYYY")</f>
        <v>2017</v>
      </c>
      <c r="D113" s="2">
        <v>43066</v>
      </c>
      <c r="E113" s="2" t="s">
        <v>87</v>
      </c>
      <c r="F113" s="2" t="s">
        <v>562</v>
      </c>
      <c r="G113" s="2" t="s">
        <v>563</v>
      </c>
      <c r="H113" s="2" t="s">
        <v>24</v>
      </c>
      <c r="I113" s="2" t="s">
        <v>25</v>
      </c>
      <c r="J113" s="2" t="s">
        <v>564</v>
      </c>
      <c r="K113" s="2" t="s">
        <v>565</v>
      </c>
      <c r="L113" s="2" t="s">
        <v>93</v>
      </c>
      <c r="M113" s="2" t="s">
        <v>566</v>
      </c>
      <c r="N113" s="2" t="s">
        <v>30</v>
      </c>
      <c r="O113" s="2" t="s">
        <v>56</v>
      </c>
      <c r="P113" s="2" t="s">
        <v>567</v>
      </c>
      <c r="Q113" s="2">
        <v>126.3</v>
      </c>
      <c r="R113" s="2">
        <v>3</v>
      </c>
      <c r="S113" s="2">
        <v>40.415999999999997</v>
      </c>
      <c r="T113" s="2" t="s">
        <v>123</v>
      </c>
      <c r="U113" s="2" t="s">
        <v>34</v>
      </c>
    </row>
    <row r="114" spans="1:21" ht="14.25" customHeight="1" x14ac:dyDescent="0.3">
      <c r="A114" s="2" t="s">
        <v>568</v>
      </c>
      <c r="B114" s="5">
        <v>42758</v>
      </c>
      <c r="C114" s="2" t="str">
        <f>TEXT(data[[#This Row],[Order Date]],"YYYY")</f>
        <v>2017</v>
      </c>
      <c r="D114" s="2">
        <v>42760</v>
      </c>
      <c r="E114" s="2" t="s">
        <v>87</v>
      </c>
      <c r="F114" s="2" t="s">
        <v>569</v>
      </c>
      <c r="G114" s="2" t="s">
        <v>570</v>
      </c>
      <c r="H114" s="2" t="s">
        <v>90</v>
      </c>
      <c r="I114" s="2" t="s">
        <v>25</v>
      </c>
      <c r="J114" s="2" t="s">
        <v>288</v>
      </c>
      <c r="K114" s="2" t="s">
        <v>289</v>
      </c>
      <c r="L114" s="2" t="s">
        <v>93</v>
      </c>
      <c r="M114" s="2" t="s">
        <v>547</v>
      </c>
      <c r="N114" s="2" t="s">
        <v>30</v>
      </c>
      <c r="O114" s="2" t="s">
        <v>45</v>
      </c>
      <c r="P114" s="2" t="s">
        <v>548</v>
      </c>
      <c r="Q114" s="2">
        <v>210.98</v>
      </c>
      <c r="R114" s="2">
        <v>2</v>
      </c>
      <c r="S114" s="2">
        <v>21.097999999999999</v>
      </c>
      <c r="T114" s="2" t="s">
        <v>70</v>
      </c>
      <c r="U114" s="2" t="s">
        <v>169</v>
      </c>
    </row>
    <row r="115" spans="1:21" ht="14.25" customHeight="1" x14ac:dyDescent="0.3">
      <c r="A115" s="2" t="s">
        <v>571</v>
      </c>
      <c r="B115" s="5">
        <v>43029</v>
      </c>
      <c r="C115" s="2" t="str">
        <f>TEXT(data[[#This Row],[Order Date]],"YYYY")</f>
        <v>2017</v>
      </c>
      <c r="D115" s="2">
        <v>43034</v>
      </c>
      <c r="E115" s="2" t="s">
        <v>39</v>
      </c>
      <c r="F115" s="2" t="s">
        <v>572</v>
      </c>
      <c r="G115" s="2" t="s">
        <v>573</v>
      </c>
      <c r="H115" s="2" t="s">
        <v>100</v>
      </c>
      <c r="I115" s="2" t="s">
        <v>25</v>
      </c>
      <c r="J115" s="2" t="s">
        <v>574</v>
      </c>
      <c r="K115" s="2" t="s">
        <v>43</v>
      </c>
      <c r="L115" s="2" t="s">
        <v>28</v>
      </c>
      <c r="M115" s="2" t="s">
        <v>575</v>
      </c>
      <c r="N115" s="2" t="s">
        <v>30</v>
      </c>
      <c r="O115" s="2" t="s">
        <v>36</v>
      </c>
      <c r="P115" s="2" t="s">
        <v>576</v>
      </c>
      <c r="Q115" s="2">
        <v>683.952</v>
      </c>
      <c r="R115" s="2">
        <v>3</v>
      </c>
      <c r="S115" s="2">
        <v>42.747</v>
      </c>
      <c r="T115" s="2" t="s">
        <v>58</v>
      </c>
      <c r="U115" s="2" t="s">
        <v>48</v>
      </c>
    </row>
    <row r="116" spans="1:21" ht="14.25" customHeight="1" x14ac:dyDescent="0.3">
      <c r="A116" s="2" t="s">
        <v>571</v>
      </c>
      <c r="B116" s="5">
        <v>43029</v>
      </c>
      <c r="C116" s="2" t="str">
        <f>TEXT(data[[#This Row],[Order Date]],"YYYY")</f>
        <v>2017</v>
      </c>
      <c r="D116" s="2">
        <v>43034</v>
      </c>
      <c r="E116" s="2" t="s">
        <v>39</v>
      </c>
      <c r="F116" s="2" t="s">
        <v>572</v>
      </c>
      <c r="G116" s="2" t="s">
        <v>573</v>
      </c>
      <c r="H116" s="2" t="s">
        <v>100</v>
      </c>
      <c r="I116" s="2" t="s">
        <v>25</v>
      </c>
      <c r="J116" s="2" t="s">
        <v>574</v>
      </c>
      <c r="K116" s="2" t="s">
        <v>43</v>
      </c>
      <c r="L116" s="2" t="s">
        <v>28</v>
      </c>
      <c r="M116" s="2" t="s">
        <v>383</v>
      </c>
      <c r="N116" s="2" t="s">
        <v>30</v>
      </c>
      <c r="O116" s="2" t="s">
        <v>56</v>
      </c>
      <c r="P116" s="2" t="s">
        <v>384</v>
      </c>
      <c r="Q116" s="2">
        <v>45.695999999999998</v>
      </c>
      <c r="R116" s="2">
        <v>3</v>
      </c>
      <c r="S116" s="2">
        <v>5.1407999999999996</v>
      </c>
      <c r="T116" s="2" t="s">
        <v>58</v>
      </c>
      <c r="U116" s="2" t="s">
        <v>48</v>
      </c>
    </row>
    <row r="117" spans="1:21" ht="14.25" customHeight="1" x14ac:dyDescent="0.3">
      <c r="A117" s="2" t="s">
        <v>577</v>
      </c>
      <c r="B117" s="5">
        <v>42315</v>
      </c>
      <c r="C117" s="2" t="str">
        <f>TEXT(data[[#This Row],[Order Date]],"YYYY")</f>
        <v>2015</v>
      </c>
      <c r="D117" s="2">
        <v>42317</v>
      </c>
      <c r="E117" s="2" t="s">
        <v>21</v>
      </c>
      <c r="F117" s="2" t="s">
        <v>578</v>
      </c>
      <c r="G117" s="2" t="s">
        <v>579</v>
      </c>
      <c r="H117" s="2" t="s">
        <v>90</v>
      </c>
      <c r="I117" s="2" t="s">
        <v>25</v>
      </c>
      <c r="J117" s="2" t="s">
        <v>52</v>
      </c>
      <c r="K117" s="2" t="s">
        <v>53</v>
      </c>
      <c r="L117" s="2" t="s">
        <v>54</v>
      </c>
      <c r="M117" s="2" t="s">
        <v>580</v>
      </c>
      <c r="N117" s="2" t="s">
        <v>30</v>
      </c>
      <c r="O117" s="2" t="s">
        <v>36</v>
      </c>
      <c r="P117" s="2" t="s">
        <v>581</v>
      </c>
      <c r="Q117" s="2">
        <v>190.72</v>
      </c>
      <c r="R117" s="2">
        <v>1</v>
      </c>
      <c r="S117" s="2">
        <v>11.92</v>
      </c>
      <c r="T117" s="2" t="s">
        <v>70</v>
      </c>
      <c r="U117" s="2" t="s">
        <v>34</v>
      </c>
    </row>
    <row r="118" spans="1:21" ht="14.25" customHeight="1" x14ac:dyDescent="0.3">
      <c r="A118" s="2" t="s">
        <v>582</v>
      </c>
      <c r="B118" s="5">
        <v>42985</v>
      </c>
      <c r="C118" s="2" t="str">
        <f>TEXT(data[[#This Row],[Order Date]],"YYYY")</f>
        <v>2017</v>
      </c>
      <c r="D118" s="2">
        <v>42989</v>
      </c>
      <c r="E118" s="2" t="s">
        <v>39</v>
      </c>
      <c r="F118" s="2" t="s">
        <v>583</v>
      </c>
      <c r="G118" s="2" t="s">
        <v>584</v>
      </c>
      <c r="H118" s="2" t="s">
        <v>24</v>
      </c>
      <c r="I118" s="2" t="s">
        <v>25</v>
      </c>
      <c r="J118" s="2" t="s">
        <v>52</v>
      </c>
      <c r="K118" s="2" t="s">
        <v>53</v>
      </c>
      <c r="L118" s="2" t="s">
        <v>54</v>
      </c>
      <c r="M118" s="2" t="s">
        <v>585</v>
      </c>
      <c r="N118" s="2" t="s">
        <v>30</v>
      </c>
      <c r="O118" s="2" t="s">
        <v>56</v>
      </c>
      <c r="P118" s="2" t="s">
        <v>586</v>
      </c>
      <c r="Q118" s="2">
        <v>47.94</v>
      </c>
      <c r="R118" s="2">
        <v>3</v>
      </c>
      <c r="S118" s="2">
        <v>2.3969999999999998</v>
      </c>
      <c r="T118" s="2" t="s">
        <v>83</v>
      </c>
      <c r="U118" s="2" t="s">
        <v>77</v>
      </c>
    </row>
    <row r="119" spans="1:21" ht="14.25" customHeight="1" x14ac:dyDescent="0.3">
      <c r="A119" s="2" t="s">
        <v>587</v>
      </c>
      <c r="B119" s="5">
        <v>42345</v>
      </c>
      <c r="C119" s="2" t="str">
        <f>TEXT(data[[#This Row],[Order Date]],"YYYY")</f>
        <v>2015</v>
      </c>
      <c r="D119" s="2">
        <v>42349</v>
      </c>
      <c r="E119" s="2" t="s">
        <v>39</v>
      </c>
      <c r="F119" s="2" t="s">
        <v>588</v>
      </c>
      <c r="G119" s="2" t="s">
        <v>589</v>
      </c>
      <c r="H119" s="2" t="s">
        <v>24</v>
      </c>
      <c r="I119" s="2" t="s">
        <v>25</v>
      </c>
      <c r="J119" s="2" t="s">
        <v>26</v>
      </c>
      <c r="K119" s="2" t="s">
        <v>27</v>
      </c>
      <c r="L119" s="2" t="s">
        <v>28</v>
      </c>
      <c r="M119" s="2" t="s">
        <v>590</v>
      </c>
      <c r="N119" s="2" t="s">
        <v>30</v>
      </c>
      <c r="O119" s="2" t="s">
        <v>36</v>
      </c>
      <c r="P119" s="2" t="s">
        <v>591</v>
      </c>
      <c r="Q119" s="2">
        <v>283.92</v>
      </c>
      <c r="R119" s="2">
        <v>4</v>
      </c>
      <c r="S119" s="2">
        <v>70.98</v>
      </c>
      <c r="T119" s="2" t="s">
        <v>83</v>
      </c>
      <c r="U119" s="2" t="s">
        <v>96</v>
      </c>
    </row>
    <row r="120" spans="1:21" ht="14.25" customHeight="1" x14ac:dyDescent="0.3">
      <c r="A120" s="2" t="s">
        <v>592</v>
      </c>
      <c r="B120" s="5">
        <v>41770</v>
      </c>
      <c r="C120" s="2" t="str">
        <f>TEXT(data[[#This Row],[Order Date]],"YYYY")</f>
        <v>2014</v>
      </c>
      <c r="D120" s="2">
        <v>41775</v>
      </c>
      <c r="E120" s="2" t="s">
        <v>39</v>
      </c>
      <c r="F120" s="2" t="s">
        <v>593</v>
      </c>
      <c r="G120" s="2" t="s">
        <v>594</v>
      </c>
      <c r="H120" s="2" t="s">
        <v>24</v>
      </c>
      <c r="I120" s="2" t="s">
        <v>25</v>
      </c>
      <c r="J120" s="2" t="s">
        <v>595</v>
      </c>
      <c r="K120" s="2" t="s">
        <v>92</v>
      </c>
      <c r="L120" s="2" t="s">
        <v>93</v>
      </c>
      <c r="M120" s="2" t="s">
        <v>596</v>
      </c>
      <c r="N120" s="2" t="s">
        <v>30</v>
      </c>
      <c r="O120" s="2" t="s">
        <v>56</v>
      </c>
      <c r="P120" s="2" t="s">
        <v>597</v>
      </c>
      <c r="Q120" s="2">
        <v>66.111999999999995</v>
      </c>
      <c r="R120" s="2">
        <v>4</v>
      </c>
      <c r="S120" s="2">
        <v>-84.2928</v>
      </c>
      <c r="T120" s="2" t="s">
        <v>58</v>
      </c>
      <c r="U120" s="2" t="s">
        <v>161</v>
      </c>
    </row>
    <row r="121" spans="1:21" ht="14.25" customHeight="1" x14ac:dyDescent="0.3">
      <c r="A121" s="2" t="s">
        <v>598</v>
      </c>
      <c r="B121" s="5">
        <v>42475</v>
      </c>
      <c r="C121" s="2" t="str">
        <f>TEXT(data[[#This Row],[Order Date]],"YYYY")</f>
        <v>2016</v>
      </c>
      <c r="D121" s="2">
        <v>42477</v>
      </c>
      <c r="E121" s="2" t="s">
        <v>21</v>
      </c>
      <c r="F121" s="2" t="s">
        <v>599</v>
      </c>
      <c r="G121" s="2" t="s">
        <v>600</v>
      </c>
      <c r="H121" s="2" t="s">
        <v>24</v>
      </c>
      <c r="I121" s="2" t="s">
        <v>25</v>
      </c>
      <c r="J121" s="2" t="s">
        <v>328</v>
      </c>
      <c r="K121" s="2" t="s">
        <v>53</v>
      </c>
      <c r="L121" s="2" t="s">
        <v>54</v>
      </c>
      <c r="M121" s="2" t="s">
        <v>601</v>
      </c>
      <c r="N121" s="2" t="s">
        <v>30</v>
      </c>
      <c r="O121" s="2" t="s">
        <v>36</v>
      </c>
      <c r="P121" s="2" t="s">
        <v>602</v>
      </c>
      <c r="Q121" s="2">
        <v>1121.568</v>
      </c>
      <c r="R121" s="2">
        <v>2</v>
      </c>
      <c r="S121" s="2">
        <v>0</v>
      </c>
      <c r="T121" s="2" t="s">
        <v>70</v>
      </c>
      <c r="U121" s="2" t="s">
        <v>113</v>
      </c>
    </row>
    <row r="122" spans="1:21" ht="14.25" customHeight="1" x14ac:dyDescent="0.3">
      <c r="A122" s="2" t="s">
        <v>603</v>
      </c>
      <c r="B122" s="5">
        <v>42989</v>
      </c>
      <c r="C122" s="2" t="str">
        <f>TEXT(data[[#This Row],[Order Date]],"YYYY")</f>
        <v>2017</v>
      </c>
      <c r="D122" s="2">
        <v>42990</v>
      </c>
      <c r="E122" s="2" t="s">
        <v>87</v>
      </c>
      <c r="F122" s="2" t="s">
        <v>604</v>
      </c>
      <c r="G122" s="2" t="s">
        <v>605</v>
      </c>
      <c r="H122" s="2" t="s">
        <v>24</v>
      </c>
      <c r="I122" s="2" t="s">
        <v>25</v>
      </c>
      <c r="J122" s="2" t="s">
        <v>606</v>
      </c>
      <c r="K122" s="2" t="s">
        <v>43</v>
      </c>
      <c r="L122" s="2" t="s">
        <v>28</v>
      </c>
      <c r="M122" s="2" t="s">
        <v>607</v>
      </c>
      <c r="N122" s="2" t="s">
        <v>30</v>
      </c>
      <c r="O122" s="2" t="s">
        <v>56</v>
      </c>
      <c r="P122" s="2" t="s">
        <v>608</v>
      </c>
      <c r="Q122" s="2">
        <v>34.503999999999998</v>
      </c>
      <c r="R122" s="2">
        <v>1</v>
      </c>
      <c r="S122" s="2">
        <v>6.0381999999999998</v>
      </c>
      <c r="T122" s="2" t="s">
        <v>123</v>
      </c>
      <c r="U122" s="2" t="s">
        <v>77</v>
      </c>
    </row>
    <row r="123" spans="1:21" ht="14.25" customHeight="1" x14ac:dyDescent="0.3">
      <c r="A123" s="2" t="s">
        <v>609</v>
      </c>
      <c r="B123" s="5">
        <v>42531</v>
      </c>
      <c r="C123" s="2" t="str">
        <f>TEXT(data[[#This Row],[Order Date]],"YYYY")</f>
        <v>2016</v>
      </c>
      <c r="D123" s="2">
        <v>42536</v>
      </c>
      <c r="E123" s="2" t="s">
        <v>39</v>
      </c>
      <c r="F123" s="2" t="s">
        <v>610</v>
      </c>
      <c r="G123" s="2" t="s">
        <v>611</v>
      </c>
      <c r="H123" s="2" t="s">
        <v>24</v>
      </c>
      <c r="I123" s="2" t="s">
        <v>25</v>
      </c>
      <c r="J123" s="2" t="s">
        <v>52</v>
      </c>
      <c r="K123" s="2" t="s">
        <v>53</v>
      </c>
      <c r="L123" s="2" t="s">
        <v>54</v>
      </c>
      <c r="M123" s="2" t="s">
        <v>612</v>
      </c>
      <c r="N123" s="2" t="s">
        <v>30</v>
      </c>
      <c r="O123" s="2" t="s">
        <v>45</v>
      </c>
      <c r="P123" s="2" t="s">
        <v>613</v>
      </c>
      <c r="Q123" s="2">
        <v>1335.68</v>
      </c>
      <c r="R123" s="2">
        <v>4</v>
      </c>
      <c r="S123" s="2">
        <v>-217.048</v>
      </c>
      <c r="T123" s="2" t="s">
        <v>58</v>
      </c>
      <c r="U123" s="2" t="s">
        <v>59</v>
      </c>
    </row>
    <row r="124" spans="1:21" ht="14.25" customHeight="1" x14ac:dyDescent="0.3">
      <c r="A124" s="2" t="s">
        <v>614</v>
      </c>
      <c r="B124" s="5">
        <v>43059</v>
      </c>
      <c r="C124" s="2" t="str">
        <f>TEXT(data[[#This Row],[Order Date]],"YYYY")</f>
        <v>2017</v>
      </c>
      <c r="D124" s="2">
        <v>43061</v>
      </c>
      <c r="E124" s="2" t="s">
        <v>21</v>
      </c>
      <c r="F124" s="2" t="s">
        <v>615</v>
      </c>
      <c r="G124" s="2" t="s">
        <v>616</v>
      </c>
      <c r="H124" s="2" t="s">
        <v>24</v>
      </c>
      <c r="I124" s="2" t="s">
        <v>25</v>
      </c>
      <c r="J124" s="2" t="s">
        <v>328</v>
      </c>
      <c r="K124" s="2" t="s">
        <v>53</v>
      </c>
      <c r="L124" s="2" t="s">
        <v>54</v>
      </c>
      <c r="M124" s="2" t="s">
        <v>485</v>
      </c>
      <c r="N124" s="2" t="s">
        <v>30</v>
      </c>
      <c r="O124" s="2" t="s">
        <v>56</v>
      </c>
      <c r="P124" s="2" t="s">
        <v>486</v>
      </c>
      <c r="Q124" s="2">
        <v>42.6</v>
      </c>
      <c r="R124" s="2">
        <v>3</v>
      </c>
      <c r="S124" s="2">
        <v>16.614000000000001</v>
      </c>
      <c r="T124" s="2" t="s">
        <v>70</v>
      </c>
      <c r="U124" s="2" t="s">
        <v>34</v>
      </c>
    </row>
    <row r="125" spans="1:21" ht="14.25" customHeight="1" x14ac:dyDescent="0.3">
      <c r="A125" s="2" t="s">
        <v>617</v>
      </c>
      <c r="B125" s="5">
        <v>41896</v>
      </c>
      <c r="C125" s="2" t="str">
        <f>TEXT(data[[#This Row],[Order Date]],"YYYY")</f>
        <v>2014</v>
      </c>
      <c r="D125" s="2">
        <v>41900</v>
      </c>
      <c r="E125" s="2" t="s">
        <v>21</v>
      </c>
      <c r="F125" s="2" t="s">
        <v>618</v>
      </c>
      <c r="G125" s="2" t="s">
        <v>619</v>
      </c>
      <c r="H125" s="2" t="s">
        <v>24</v>
      </c>
      <c r="I125" s="2" t="s">
        <v>25</v>
      </c>
      <c r="J125" s="2" t="s">
        <v>303</v>
      </c>
      <c r="K125" s="2" t="s">
        <v>43</v>
      </c>
      <c r="L125" s="2" t="s">
        <v>28</v>
      </c>
      <c r="M125" s="2" t="s">
        <v>620</v>
      </c>
      <c r="N125" s="2" t="s">
        <v>30</v>
      </c>
      <c r="O125" s="2" t="s">
        <v>56</v>
      </c>
      <c r="P125" s="2" t="s">
        <v>621</v>
      </c>
      <c r="Q125" s="2">
        <v>13.128</v>
      </c>
      <c r="R125" s="2">
        <v>3</v>
      </c>
      <c r="S125" s="2">
        <v>3.7743000000000002</v>
      </c>
      <c r="T125" s="2" t="s">
        <v>83</v>
      </c>
      <c r="U125" s="2" t="s">
        <v>77</v>
      </c>
    </row>
    <row r="126" spans="1:21" ht="14.25" customHeight="1" x14ac:dyDescent="0.3">
      <c r="A126" s="2" t="s">
        <v>622</v>
      </c>
      <c r="B126" s="5">
        <v>43009</v>
      </c>
      <c r="C126" s="2" t="str">
        <f>TEXT(data[[#This Row],[Order Date]],"YYYY")</f>
        <v>2017</v>
      </c>
      <c r="D126" s="2">
        <v>43016</v>
      </c>
      <c r="E126" s="2" t="s">
        <v>39</v>
      </c>
      <c r="F126" s="2" t="s">
        <v>623</v>
      </c>
      <c r="G126" s="2" t="s">
        <v>624</v>
      </c>
      <c r="H126" s="2" t="s">
        <v>90</v>
      </c>
      <c r="I126" s="2" t="s">
        <v>25</v>
      </c>
      <c r="J126" s="2" t="s">
        <v>191</v>
      </c>
      <c r="K126" s="2" t="s">
        <v>192</v>
      </c>
      <c r="L126" s="2" t="s">
        <v>54</v>
      </c>
      <c r="M126" s="2" t="s">
        <v>625</v>
      </c>
      <c r="N126" s="2" t="s">
        <v>30</v>
      </c>
      <c r="O126" s="2" t="s">
        <v>36</v>
      </c>
      <c r="P126" s="2" t="s">
        <v>626</v>
      </c>
      <c r="Q126" s="2">
        <v>451.15199999999999</v>
      </c>
      <c r="R126" s="2">
        <v>3</v>
      </c>
      <c r="S126" s="2">
        <v>0</v>
      </c>
      <c r="T126" s="2" t="s">
        <v>47</v>
      </c>
      <c r="U126" s="2" t="s">
        <v>48</v>
      </c>
    </row>
    <row r="127" spans="1:21" ht="14.25" customHeight="1" x14ac:dyDescent="0.3">
      <c r="A127" s="2" t="s">
        <v>627</v>
      </c>
      <c r="B127" s="5">
        <v>42936</v>
      </c>
      <c r="C127" s="2" t="str">
        <f>TEXT(data[[#This Row],[Order Date]],"YYYY")</f>
        <v>2017</v>
      </c>
      <c r="D127" s="2">
        <v>42942</v>
      </c>
      <c r="E127" s="2" t="s">
        <v>39</v>
      </c>
      <c r="F127" s="2" t="s">
        <v>628</v>
      </c>
      <c r="G127" s="2" t="s">
        <v>629</v>
      </c>
      <c r="H127" s="2" t="s">
        <v>24</v>
      </c>
      <c r="I127" s="2" t="s">
        <v>25</v>
      </c>
      <c r="J127" s="2" t="s">
        <v>133</v>
      </c>
      <c r="K127" s="2" t="s">
        <v>134</v>
      </c>
      <c r="L127" s="2" t="s">
        <v>93</v>
      </c>
      <c r="M127" s="2" t="s">
        <v>630</v>
      </c>
      <c r="N127" s="2" t="s">
        <v>30</v>
      </c>
      <c r="O127" s="2" t="s">
        <v>56</v>
      </c>
      <c r="P127" s="2" t="s">
        <v>631</v>
      </c>
      <c r="Q127" s="2">
        <v>8.7919999999999998</v>
      </c>
      <c r="R127" s="2">
        <v>1</v>
      </c>
      <c r="S127" s="2">
        <v>-5.7148000000000003</v>
      </c>
      <c r="T127" s="2" t="s">
        <v>129</v>
      </c>
      <c r="U127" s="2" t="s">
        <v>71</v>
      </c>
    </row>
    <row r="128" spans="1:21" ht="14.25" customHeight="1" x14ac:dyDescent="0.3">
      <c r="A128" s="2" t="s">
        <v>632</v>
      </c>
      <c r="B128" s="5">
        <v>42188</v>
      </c>
      <c r="C128" s="2" t="str">
        <f>TEXT(data[[#This Row],[Order Date]],"YYYY")</f>
        <v>2015</v>
      </c>
      <c r="D128" s="2">
        <v>42194</v>
      </c>
      <c r="E128" s="2" t="s">
        <v>39</v>
      </c>
      <c r="F128" s="2" t="s">
        <v>633</v>
      </c>
      <c r="G128" s="2" t="s">
        <v>634</v>
      </c>
      <c r="H128" s="2" t="s">
        <v>24</v>
      </c>
      <c r="I128" s="2" t="s">
        <v>25</v>
      </c>
      <c r="J128" s="2" t="s">
        <v>635</v>
      </c>
      <c r="K128" s="2" t="s">
        <v>27</v>
      </c>
      <c r="L128" s="2" t="s">
        <v>28</v>
      </c>
      <c r="M128" s="2" t="s">
        <v>458</v>
      </c>
      <c r="N128" s="2" t="s">
        <v>30</v>
      </c>
      <c r="O128" s="2" t="s">
        <v>36</v>
      </c>
      <c r="P128" s="2" t="s">
        <v>459</v>
      </c>
      <c r="Q128" s="2">
        <v>70.98</v>
      </c>
      <c r="R128" s="2">
        <v>1</v>
      </c>
      <c r="S128" s="2">
        <v>4.9686000000000003</v>
      </c>
      <c r="T128" s="2" t="s">
        <v>129</v>
      </c>
      <c r="U128" s="2" t="s">
        <v>71</v>
      </c>
    </row>
    <row r="129" spans="1:21" ht="14.25" customHeight="1" x14ac:dyDescent="0.3">
      <c r="A129" s="2" t="s">
        <v>636</v>
      </c>
      <c r="B129" s="5">
        <v>41859</v>
      </c>
      <c r="C129" s="2" t="str">
        <f>TEXT(data[[#This Row],[Order Date]],"YYYY")</f>
        <v>2014</v>
      </c>
      <c r="D129" s="2">
        <v>41866</v>
      </c>
      <c r="E129" s="2" t="s">
        <v>39</v>
      </c>
      <c r="F129" s="2" t="s">
        <v>637</v>
      </c>
      <c r="G129" s="2" t="s">
        <v>638</v>
      </c>
      <c r="H129" s="2" t="s">
        <v>24</v>
      </c>
      <c r="I129" s="2" t="s">
        <v>25</v>
      </c>
      <c r="J129" s="2" t="s">
        <v>639</v>
      </c>
      <c r="K129" s="2" t="s">
        <v>53</v>
      </c>
      <c r="L129" s="2" t="s">
        <v>54</v>
      </c>
      <c r="M129" s="2" t="s">
        <v>640</v>
      </c>
      <c r="N129" s="2" t="s">
        <v>30</v>
      </c>
      <c r="O129" s="2" t="s">
        <v>56</v>
      </c>
      <c r="P129" s="2" t="s">
        <v>641</v>
      </c>
      <c r="Q129" s="2">
        <v>327.76</v>
      </c>
      <c r="R129" s="2">
        <v>8</v>
      </c>
      <c r="S129" s="2">
        <v>91.772800000000004</v>
      </c>
      <c r="T129" s="2" t="s">
        <v>47</v>
      </c>
      <c r="U129" s="2" t="s">
        <v>253</v>
      </c>
    </row>
    <row r="130" spans="1:21" ht="14.25" customHeight="1" x14ac:dyDescent="0.3">
      <c r="A130" s="2" t="s">
        <v>642</v>
      </c>
      <c r="B130" s="5">
        <v>41713</v>
      </c>
      <c r="C130" s="2" t="str">
        <f>TEXT(data[[#This Row],[Order Date]],"YYYY")</f>
        <v>2014</v>
      </c>
      <c r="D130" s="2">
        <v>41717</v>
      </c>
      <c r="E130" s="2" t="s">
        <v>39</v>
      </c>
      <c r="F130" s="2" t="s">
        <v>643</v>
      </c>
      <c r="G130" s="2" t="s">
        <v>644</v>
      </c>
      <c r="H130" s="2" t="s">
        <v>24</v>
      </c>
      <c r="I130" s="2" t="s">
        <v>25</v>
      </c>
      <c r="J130" s="2" t="s">
        <v>303</v>
      </c>
      <c r="K130" s="2" t="s">
        <v>43</v>
      </c>
      <c r="L130" s="2" t="s">
        <v>28</v>
      </c>
      <c r="M130" s="2" t="s">
        <v>383</v>
      </c>
      <c r="N130" s="2" t="s">
        <v>30</v>
      </c>
      <c r="O130" s="2" t="s">
        <v>56</v>
      </c>
      <c r="P130" s="2" t="s">
        <v>384</v>
      </c>
      <c r="Q130" s="2">
        <v>45.695999999999998</v>
      </c>
      <c r="R130" s="2">
        <v>3</v>
      </c>
      <c r="S130" s="2">
        <v>5.1407999999999996</v>
      </c>
      <c r="T130" s="2" t="s">
        <v>83</v>
      </c>
      <c r="U130" s="2" t="s">
        <v>195</v>
      </c>
    </row>
    <row r="131" spans="1:21" ht="14.25" customHeight="1" x14ac:dyDescent="0.3">
      <c r="A131" s="2" t="s">
        <v>645</v>
      </c>
      <c r="B131" s="5">
        <v>42965</v>
      </c>
      <c r="C131" s="2" t="str">
        <f>TEXT(data[[#This Row],[Order Date]],"YYYY")</f>
        <v>2017</v>
      </c>
      <c r="D131" s="2">
        <v>42970</v>
      </c>
      <c r="E131" s="2" t="s">
        <v>21</v>
      </c>
      <c r="F131" s="2" t="s">
        <v>646</v>
      </c>
      <c r="G131" s="2" t="s">
        <v>647</v>
      </c>
      <c r="H131" s="2" t="s">
        <v>90</v>
      </c>
      <c r="I131" s="2" t="s">
        <v>25</v>
      </c>
      <c r="J131" s="2" t="s">
        <v>173</v>
      </c>
      <c r="K131" s="2" t="s">
        <v>120</v>
      </c>
      <c r="L131" s="2" t="s">
        <v>67</v>
      </c>
      <c r="M131" s="2" t="s">
        <v>648</v>
      </c>
      <c r="N131" s="2" t="s">
        <v>30</v>
      </c>
      <c r="O131" s="2" t="s">
        <v>56</v>
      </c>
      <c r="P131" s="2" t="s">
        <v>649</v>
      </c>
      <c r="Q131" s="2">
        <v>40.479999999999997</v>
      </c>
      <c r="R131" s="2">
        <v>2</v>
      </c>
      <c r="S131" s="2">
        <v>15.7872</v>
      </c>
      <c r="T131" s="2" t="s">
        <v>58</v>
      </c>
      <c r="U131" s="2" t="s">
        <v>253</v>
      </c>
    </row>
    <row r="132" spans="1:21" ht="14.25" customHeight="1" x14ac:dyDescent="0.3">
      <c r="A132" s="2" t="s">
        <v>645</v>
      </c>
      <c r="B132" s="5">
        <v>42965</v>
      </c>
      <c r="C132" s="2" t="str">
        <f>TEXT(data[[#This Row],[Order Date]],"YYYY")</f>
        <v>2017</v>
      </c>
      <c r="D132" s="2">
        <v>42970</v>
      </c>
      <c r="E132" s="2" t="s">
        <v>21</v>
      </c>
      <c r="F132" s="2" t="s">
        <v>646</v>
      </c>
      <c r="G132" s="2" t="s">
        <v>647</v>
      </c>
      <c r="H132" s="2" t="s">
        <v>90</v>
      </c>
      <c r="I132" s="2" t="s">
        <v>25</v>
      </c>
      <c r="J132" s="2" t="s">
        <v>173</v>
      </c>
      <c r="K132" s="2" t="s">
        <v>120</v>
      </c>
      <c r="L132" s="2" t="s">
        <v>67</v>
      </c>
      <c r="M132" s="2" t="s">
        <v>650</v>
      </c>
      <c r="N132" s="2" t="s">
        <v>30</v>
      </c>
      <c r="O132" s="2" t="s">
        <v>56</v>
      </c>
      <c r="P132" s="2" t="s">
        <v>651</v>
      </c>
      <c r="Q132" s="2">
        <v>9.94</v>
      </c>
      <c r="R132" s="2">
        <v>2</v>
      </c>
      <c r="S132" s="2">
        <v>3.0813999999999999</v>
      </c>
      <c r="T132" s="2" t="s">
        <v>58</v>
      </c>
      <c r="U132" s="2" t="s">
        <v>253</v>
      </c>
    </row>
    <row r="133" spans="1:21" ht="14.25" customHeight="1" x14ac:dyDescent="0.3">
      <c r="A133" s="2" t="s">
        <v>645</v>
      </c>
      <c r="B133" s="5">
        <v>42965</v>
      </c>
      <c r="C133" s="2" t="str">
        <f>TEXT(data[[#This Row],[Order Date]],"YYYY")</f>
        <v>2017</v>
      </c>
      <c r="D133" s="2">
        <v>42970</v>
      </c>
      <c r="E133" s="2" t="s">
        <v>21</v>
      </c>
      <c r="F133" s="2" t="s">
        <v>646</v>
      </c>
      <c r="G133" s="2" t="s">
        <v>647</v>
      </c>
      <c r="H133" s="2" t="s">
        <v>90</v>
      </c>
      <c r="I133" s="2" t="s">
        <v>25</v>
      </c>
      <c r="J133" s="2" t="s">
        <v>173</v>
      </c>
      <c r="K133" s="2" t="s">
        <v>120</v>
      </c>
      <c r="L133" s="2" t="s">
        <v>67</v>
      </c>
      <c r="M133" s="2" t="s">
        <v>232</v>
      </c>
      <c r="N133" s="2" t="s">
        <v>30</v>
      </c>
      <c r="O133" s="2" t="s">
        <v>56</v>
      </c>
      <c r="P133" s="2" t="s">
        <v>233</v>
      </c>
      <c r="Q133" s="2">
        <v>88.02</v>
      </c>
      <c r="R133" s="2">
        <v>3</v>
      </c>
      <c r="S133" s="2">
        <v>27.286200000000001</v>
      </c>
      <c r="T133" s="2" t="s">
        <v>58</v>
      </c>
      <c r="U133" s="2" t="s">
        <v>253</v>
      </c>
    </row>
    <row r="134" spans="1:21" ht="14.25" customHeight="1" x14ac:dyDescent="0.3">
      <c r="A134" s="2" t="s">
        <v>652</v>
      </c>
      <c r="B134" s="5">
        <v>42337</v>
      </c>
      <c r="C134" s="2" t="str">
        <f>TEXT(data[[#This Row],[Order Date]],"YYYY")</f>
        <v>2015</v>
      </c>
      <c r="D134" s="2">
        <v>42341</v>
      </c>
      <c r="E134" s="2" t="s">
        <v>39</v>
      </c>
      <c r="F134" s="2" t="s">
        <v>653</v>
      </c>
      <c r="G134" s="2" t="s">
        <v>654</v>
      </c>
      <c r="H134" s="2" t="s">
        <v>90</v>
      </c>
      <c r="I134" s="2" t="s">
        <v>25</v>
      </c>
      <c r="J134" s="2" t="s">
        <v>655</v>
      </c>
      <c r="K134" s="2" t="s">
        <v>289</v>
      </c>
      <c r="L134" s="2" t="s">
        <v>93</v>
      </c>
      <c r="M134" s="2" t="s">
        <v>656</v>
      </c>
      <c r="N134" s="2" t="s">
        <v>30</v>
      </c>
      <c r="O134" s="2" t="s">
        <v>36</v>
      </c>
      <c r="P134" s="2" t="s">
        <v>657</v>
      </c>
      <c r="Q134" s="2">
        <v>301.95999999999998</v>
      </c>
      <c r="R134" s="2">
        <v>2</v>
      </c>
      <c r="S134" s="2">
        <v>87.568399999999997</v>
      </c>
      <c r="T134" s="2" t="s">
        <v>83</v>
      </c>
      <c r="U134" s="2" t="s">
        <v>34</v>
      </c>
    </row>
    <row r="135" spans="1:21" ht="14.25" customHeight="1" x14ac:dyDescent="0.3">
      <c r="A135" s="2" t="s">
        <v>658</v>
      </c>
      <c r="B135" s="5">
        <v>42993</v>
      </c>
      <c r="C135" s="2" t="str">
        <f>TEXT(data[[#This Row],[Order Date]],"YYYY")</f>
        <v>2017</v>
      </c>
      <c r="D135" s="2">
        <v>42997</v>
      </c>
      <c r="E135" s="2" t="s">
        <v>39</v>
      </c>
      <c r="F135" s="2" t="s">
        <v>659</v>
      </c>
      <c r="G135" s="2" t="s">
        <v>660</v>
      </c>
      <c r="H135" s="2" t="s">
        <v>100</v>
      </c>
      <c r="I135" s="2" t="s">
        <v>25</v>
      </c>
      <c r="J135" s="2" t="s">
        <v>173</v>
      </c>
      <c r="K135" s="2" t="s">
        <v>120</v>
      </c>
      <c r="L135" s="2" t="s">
        <v>67</v>
      </c>
      <c r="M135" s="2" t="s">
        <v>661</v>
      </c>
      <c r="N135" s="2" t="s">
        <v>30</v>
      </c>
      <c r="O135" s="2" t="s">
        <v>56</v>
      </c>
      <c r="P135" s="2" t="s">
        <v>662</v>
      </c>
      <c r="Q135" s="2">
        <v>35.56</v>
      </c>
      <c r="R135" s="2">
        <v>7</v>
      </c>
      <c r="S135" s="2">
        <v>12.090400000000001</v>
      </c>
      <c r="T135" s="2" t="s">
        <v>83</v>
      </c>
      <c r="U135" s="2" t="s">
        <v>77</v>
      </c>
    </row>
    <row r="136" spans="1:21" ht="14.25" customHeight="1" x14ac:dyDescent="0.3">
      <c r="A136" s="2" t="s">
        <v>663</v>
      </c>
      <c r="B136" s="5">
        <v>42281</v>
      </c>
      <c r="C136" s="2" t="str">
        <f>TEXT(data[[#This Row],[Order Date]],"YYYY")</f>
        <v>2015</v>
      </c>
      <c r="D136" s="2">
        <v>42286</v>
      </c>
      <c r="E136" s="2" t="s">
        <v>21</v>
      </c>
      <c r="F136" s="2" t="s">
        <v>664</v>
      </c>
      <c r="G136" s="2" t="s">
        <v>665</v>
      </c>
      <c r="H136" s="2" t="s">
        <v>90</v>
      </c>
      <c r="I136" s="2" t="s">
        <v>25</v>
      </c>
      <c r="J136" s="2" t="s">
        <v>666</v>
      </c>
      <c r="K136" s="2" t="s">
        <v>667</v>
      </c>
      <c r="L136" s="2" t="s">
        <v>28</v>
      </c>
      <c r="M136" s="2" t="s">
        <v>668</v>
      </c>
      <c r="N136" s="2" t="s">
        <v>30</v>
      </c>
      <c r="O136" s="2" t="s">
        <v>36</v>
      </c>
      <c r="P136" s="2" t="s">
        <v>669</v>
      </c>
      <c r="Q136" s="2">
        <v>392.94</v>
      </c>
      <c r="R136" s="2">
        <v>3</v>
      </c>
      <c r="S136" s="2">
        <v>43.223399999999998</v>
      </c>
      <c r="T136" s="2" t="s">
        <v>58</v>
      </c>
      <c r="U136" s="2" t="s">
        <v>48</v>
      </c>
    </row>
    <row r="137" spans="1:21" ht="14.25" customHeight="1" x14ac:dyDescent="0.3">
      <c r="A137" s="2" t="s">
        <v>670</v>
      </c>
      <c r="B137" s="5">
        <v>42510</v>
      </c>
      <c r="C137" s="2" t="str">
        <f>TEXT(data[[#This Row],[Order Date]],"YYYY")</f>
        <v>2016</v>
      </c>
      <c r="D137" s="2">
        <v>42515</v>
      </c>
      <c r="E137" s="2" t="s">
        <v>39</v>
      </c>
      <c r="F137" s="2" t="s">
        <v>671</v>
      </c>
      <c r="G137" s="2" t="s">
        <v>672</v>
      </c>
      <c r="H137" s="2" t="s">
        <v>100</v>
      </c>
      <c r="I137" s="2" t="s">
        <v>25</v>
      </c>
      <c r="J137" s="2" t="s">
        <v>673</v>
      </c>
      <c r="K137" s="2" t="s">
        <v>53</v>
      </c>
      <c r="L137" s="2" t="s">
        <v>54</v>
      </c>
      <c r="M137" s="2" t="s">
        <v>313</v>
      </c>
      <c r="N137" s="2" t="s">
        <v>30</v>
      </c>
      <c r="O137" s="2" t="s">
        <v>56</v>
      </c>
      <c r="P137" s="2" t="s">
        <v>314</v>
      </c>
      <c r="Q137" s="2">
        <v>1049.2</v>
      </c>
      <c r="R137" s="2">
        <v>5</v>
      </c>
      <c r="S137" s="2">
        <v>272.79199999999997</v>
      </c>
      <c r="T137" s="2" t="s">
        <v>58</v>
      </c>
      <c r="U137" s="2" t="s">
        <v>161</v>
      </c>
    </row>
    <row r="138" spans="1:21" ht="14.25" customHeight="1" x14ac:dyDescent="0.3">
      <c r="A138" s="2" t="s">
        <v>674</v>
      </c>
      <c r="B138" s="5">
        <v>42722</v>
      </c>
      <c r="C138" s="2" t="str">
        <f>TEXT(data[[#This Row],[Order Date]],"YYYY")</f>
        <v>2016</v>
      </c>
      <c r="D138" s="2">
        <v>42726</v>
      </c>
      <c r="E138" s="2" t="s">
        <v>39</v>
      </c>
      <c r="F138" s="2" t="s">
        <v>675</v>
      </c>
      <c r="G138" s="2" t="s">
        <v>676</v>
      </c>
      <c r="H138" s="2" t="s">
        <v>90</v>
      </c>
      <c r="I138" s="2" t="s">
        <v>25</v>
      </c>
      <c r="J138" s="2" t="s">
        <v>165</v>
      </c>
      <c r="K138" s="2" t="s">
        <v>166</v>
      </c>
      <c r="L138" s="2" t="s">
        <v>93</v>
      </c>
      <c r="M138" s="2" t="s">
        <v>677</v>
      </c>
      <c r="N138" s="2" t="s">
        <v>30</v>
      </c>
      <c r="O138" s="2" t="s">
        <v>56</v>
      </c>
      <c r="P138" s="2" t="s">
        <v>678</v>
      </c>
      <c r="Q138" s="2">
        <v>18.84</v>
      </c>
      <c r="R138" s="2">
        <v>3</v>
      </c>
      <c r="S138" s="2">
        <v>6.0288000000000004</v>
      </c>
      <c r="T138" s="2" t="s">
        <v>83</v>
      </c>
      <c r="U138" s="2" t="s">
        <v>96</v>
      </c>
    </row>
    <row r="139" spans="1:21" ht="14.25" customHeight="1" x14ac:dyDescent="0.3">
      <c r="A139" s="2" t="s">
        <v>679</v>
      </c>
      <c r="B139" s="5">
        <v>42715</v>
      </c>
      <c r="C139" s="2" t="str">
        <f>TEXT(data[[#This Row],[Order Date]],"YYYY")</f>
        <v>2016</v>
      </c>
      <c r="D139" s="2">
        <v>42720</v>
      </c>
      <c r="E139" s="2" t="s">
        <v>21</v>
      </c>
      <c r="F139" s="2" t="s">
        <v>680</v>
      </c>
      <c r="G139" s="2" t="s">
        <v>681</v>
      </c>
      <c r="H139" s="2" t="s">
        <v>90</v>
      </c>
      <c r="I139" s="2" t="s">
        <v>25</v>
      </c>
      <c r="J139" s="2" t="s">
        <v>682</v>
      </c>
      <c r="K139" s="2" t="s">
        <v>192</v>
      </c>
      <c r="L139" s="2" t="s">
        <v>54</v>
      </c>
      <c r="M139" s="2" t="s">
        <v>446</v>
      </c>
      <c r="N139" s="2" t="s">
        <v>30</v>
      </c>
      <c r="O139" s="2" t="s">
        <v>56</v>
      </c>
      <c r="P139" s="2" t="s">
        <v>447</v>
      </c>
      <c r="Q139" s="2">
        <v>14.8</v>
      </c>
      <c r="R139" s="2">
        <v>4</v>
      </c>
      <c r="S139" s="2">
        <v>6.0679999999999996</v>
      </c>
      <c r="T139" s="2" t="s">
        <v>58</v>
      </c>
      <c r="U139" s="2" t="s">
        <v>96</v>
      </c>
    </row>
    <row r="140" spans="1:21" ht="14.25" customHeight="1" x14ac:dyDescent="0.3">
      <c r="A140" s="2" t="s">
        <v>683</v>
      </c>
      <c r="B140" s="5">
        <v>42632</v>
      </c>
      <c r="C140" s="2" t="str">
        <f>TEXT(data[[#This Row],[Order Date]],"YYYY")</f>
        <v>2016</v>
      </c>
      <c r="D140" s="2">
        <v>42632</v>
      </c>
      <c r="E140" s="2" t="s">
        <v>425</v>
      </c>
      <c r="F140" s="2" t="s">
        <v>684</v>
      </c>
      <c r="G140" s="2" t="s">
        <v>685</v>
      </c>
      <c r="H140" s="2" t="s">
        <v>100</v>
      </c>
      <c r="I140" s="2" t="s">
        <v>25</v>
      </c>
      <c r="J140" s="2" t="s">
        <v>179</v>
      </c>
      <c r="K140" s="2" t="s">
        <v>134</v>
      </c>
      <c r="L140" s="2" t="s">
        <v>93</v>
      </c>
      <c r="M140" s="2" t="s">
        <v>559</v>
      </c>
      <c r="N140" s="2" t="s">
        <v>30</v>
      </c>
      <c r="O140" s="2" t="s">
        <v>36</v>
      </c>
      <c r="P140" s="2" t="s">
        <v>560</v>
      </c>
      <c r="Q140" s="2">
        <v>701.37199999999996</v>
      </c>
      <c r="R140" s="2">
        <v>2</v>
      </c>
      <c r="S140" s="2">
        <v>-50.097999999999999</v>
      </c>
      <c r="T140" s="2" t="s">
        <v>430</v>
      </c>
      <c r="U140" s="2" t="s">
        <v>77</v>
      </c>
    </row>
    <row r="141" spans="1:21" ht="14.25" customHeight="1" x14ac:dyDescent="0.3">
      <c r="A141" s="2" t="s">
        <v>686</v>
      </c>
      <c r="B141" s="5">
        <v>42240</v>
      </c>
      <c r="C141" s="2" t="str">
        <f>TEXT(data[[#This Row],[Order Date]],"YYYY")</f>
        <v>2015</v>
      </c>
      <c r="D141" s="2">
        <v>42244</v>
      </c>
      <c r="E141" s="2" t="s">
        <v>39</v>
      </c>
      <c r="F141" s="2" t="s">
        <v>687</v>
      </c>
      <c r="G141" s="2" t="s">
        <v>688</v>
      </c>
      <c r="H141" s="2" t="s">
        <v>24</v>
      </c>
      <c r="I141" s="2" t="s">
        <v>25</v>
      </c>
      <c r="J141" s="2" t="s">
        <v>689</v>
      </c>
      <c r="K141" s="2" t="s">
        <v>92</v>
      </c>
      <c r="L141" s="2" t="s">
        <v>93</v>
      </c>
      <c r="M141" s="2" t="s">
        <v>193</v>
      </c>
      <c r="N141" s="2" t="s">
        <v>30</v>
      </c>
      <c r="O141" s="2" t="s">
        <v>45</v>
      </c>
      <c r="P141" s="2" t="s">
        <v>194</v>
      </c>
      <c r="Q141" s="2">
        <v>918.78499999999997</v>
      </c>
      <c r="R141" s="2">
        <v>5</v>
      </c>
      <c r="S141" s="2">
        <v>-118.12949999999999</v>
      </c>
      <c r="T141" s="2" t="s">
        <v>83</v>
      </c>
      <c r="U141" s="2" t="s">
        <v>253</v>
      </c>
    </row>
    <row r="142" spans="1:21" ht="14.25" customHeight="1" x14ac:dyDescent="0.3">
      <c r="A142" s="2" t="s">
        <v>690</v>
      </c>
      <c r="B142" s="5">
        <v>41997</v>
      </c>
      <c r="C142" s="2" t="str">
        <f>TEXT(data[[#This Row],[Order Date]],"YYYY")</f>
        <v>2014</v>
      </c>
      <c r="D142" s="2">
        <v>41999</v>
      </c>
      <c r="E142" s="2" t="s">
        <v>87</v>
      </c>
      <c r="F142" s="2" t="s">
        <v>691</v>
      </c>
      <c r="G142" s="2" t="s">
        <v>692</v>
      </c>
      <c r="H142" s="2" t="s">
        <v>24</v>
      </c>
      <c r="I142" s="2" t="s">
        <v>25</v>
      </c>
      <c r="J142" s="2" t="s">
        <v>693</v>
      </c>
      <c r="K142" s="2" t="s">
        <v>231</v>
      </c>
      <c r="L142" s="2" t="s">
        <v>67</v>
      </c>
      <c r="M142" s="2" t="s">
        <v>694</v>
      </c>
      <c r="N142" s="2" t="s">
        <v>30</v>
      </c>
      <c r="O142" s="2" t="s">
        <v>56</v>
      </c>
      <c r="P142" s="2" t="s">
        <v>695</v>
      </c>
      <c r="Q142" s="2">
        <v>30.36</v>
      </c>
      <c r="R142" s="2">
        <v>5</v>
      </c>
      <c r="S142" s="2">
        <v>8.7285000000000004</v>
      </c>
      <c r="T142" s="2" t="s">
        <v>70</v>
      </c>
      <c r="U142" s="2" t="s">
        <v>96</v>
      </c>
    </row>
    <row r="143" spans="1:21" ht="14.25" customHeight="1" x14ac:dyDescent="0.3">
      <c r="A143" s="2" t="s">
        <v>696</v>
      </c>
      <c r="B143" s="5">
        <v>42895</v>
      </c>
      <c r="C143" s="2" t="str">
        <f>TEXT(data[[#This Row],[Order Date]],"YYYY")</f>
        <v>2017</v>
      </c>
      <c r="D143" s="2">
        <v>42899</v>
      </c>
      <c r="E143" s="2" t="s">
        <v>39</v>
      </c>
      <c r="F143" s="2" t="s">
        <v>659</v>
      </c>
      <c r="G143" s="2" t="s">
        <v>660</v>
      </c>
      <c r="H143" s="2" t="s">
        <v>100</v>
      </c>
      <c r="I143" s="2" t="s">
        <v>25</v>
      </c>
      <c r="J143" s="2" t="s">
        <v>133</v>
      </c>
      <c r="K143" s="2" t="s">
        <v>134</v>
      </c>
      <c r="L143" s="2" t="s">
        <v>93</v>
      </c>
      <c r="M143" s="2" t="s">
        <v>697</v>
      </c>
      <c r="N143" s="2" t="s">
        <v>30</v>
      </c>
      <c r="O143" s="2" t="s">
        <v>56</v>
      </c>
      <c r="P143" s="2" t="s">
        <v>698</v>
      </c>
      <c r="Q143" s="2">
        <v>23.975999999999999</v>
      </c>
      <c r="R143" s="2">
        <v>3</v>
      </c>
      <c r="S143" s="2">
        <v>-14.3856</v>
      </c>
      <c r="T143" s="2" t="s">
        <v>83</v>
      </c>
      <c r="U143" s="2" t="s">
        <v>59</v>
      </c>
    </row>
    <row r="144" spans="1:21" ht="14.25" customHeight="1" x14ac:dyDescent="0.3">
      <c r="A144" s="2" t="s">
        <v>696</v>
      </c>
      <c r="B144" s="5">
        <v>42895</v>
      </c>
      <c r="C144" s="2" t="str">
        <f>TEXT(data[[#This Row],[Order Date]],"YYYY")</f>
        <v>2017</v>
      </c>
      <c r="D144" s="2">
        <v>42899</v>
      </c>
      <c r="E144" s="2" t="s">
        <v>39</v>
      </c>
      <c r="F144" s="2" t="s">
        <v>659</v>
      </c>
      <c r="G144" s="2" t="s">
        <v>660</v>
      </c>
      <c r="H144" s="2" t="s">
        <v>100</v>
      </c>
      <c r="I144" s="2" t="s">
        <v>25</v>
      </c>
      <c r="J144" s="2" t="s">
        <v>133</v>
      </c>
      <c r="K144" s="2" t="s">
        <v>134</v>
      </c>
      <c r="L144" s="2" t="s">
        <v>93</v>
      </c>
      <c r="M144" s="2" t="s">
        <v>699</v>
      </c>
      <c r="N144" s="2" t="s">
        <v>30</v>
      </c>
      <c r="O144" s="2" t="s">
        <v>45</v>
      </c>
      <c r="P144" s="2" t="s">
        <v>700</v>
      </c>
      <c r="Q144" s="2">
        <v>108.925</v>
      </c>
      <c r="R144" s="2">
        <v>1</v>
      </c>
      <c r="S144" s="2">
        <v>-71.890500000000003</v>
      </c>
      <c r="T144" s="2" t="s">
        <v>83</v>
      </c>
      <c r="U144" s="2" t="s">
        <v>59</v>
      </c>
    </row>
    <row r="145" spans="1:21" ht="14.25" customHeight="1" x14ac:dyDescent="0.3">
      <c r="A145" s="2" t="s">
        <v>701</v>
      </c>
      <c r="B145" s="5">
        <v>42812</v>
      </c>
      <c r="C145" s="2" t="str">
        <f>TEXT(data[[#This Row],[Order Date]],"YYYY")</f>
        <v>2017</v>
      </c>
      <c r="D145" s="2">
        <v>42817</v>
      </c>
      <c r="E145" s="2" t="s">
        <v>39</v>
      </c>
      <c r="F145" s="2" t="s">
        <v>702</v>
      </c>
      <c r="G145" s="2" t="s">
        <v>703</v>
      </c>
      <c r="H145" s="2" t="s">
        <v>24</v>
      </c>
      <c r="I145" s="2" t="s">
        <v>25</v>
      </c>
      <c r="J145" s="2" t="s">
        <v>704</v>
      </c>
      <c r="K145" s="2" t="s">
        <v>92</v>
      </c>
      <c r="L145" s="2" t="s">
        <v>93</v>
      </c>
      <c r="M145" s="2" t="s">
        <v>705</v>
      </c>
      <c r="N145" s="2" t="s">
        <v>30</v>
      </c>
      <c r="O145" s="2" t="s">
        <v>56</v>
      </c>
      <c r="P145" s="2" t="s">
        <v>706</v>
      </c>
      <c r="Q145" s="2">
        <v>82.524000000000001</v>
      </c>
      <c r="R145" s="2">
        <v>3</v>
      </c>
      <c r="S145" s="2">
        <v>-41.262</v>
      </c>
      <c r="T145" s="2" t="s">
        <v>58</v>
      </c>
      <c r="U145" s="2" t="s">
        <v>195</v>
      </c>
    </row>
    <row r="146" spans="1:21" ht="14.25" customHeight="1" x14ac:dyDescent="0.3">
      <c r="A146" s="2" t="s">
        <v>707</v>
      </c>
      <c r="B146" s="5">
        <v>43094</v>
      </c>
      <c r="C146" s="2" t="str">
        <f>TEXT(data[[#This Row],[Order Date]],"YYYY")</f>
        <v>2017</v>
      </c>
      <c r="D146" s="2">
        <v>43098</v>
      </c>
      <c r="E146" s="2" t="s">
        <v>39</v>
      </c>
      <c r="F146" s="2" t="s">
        <v>708</v>
      </c>
      <c r="G146" s="2" t="s">
        <v>709</v>
      </c>
      <c r="H146" s="2" t="s">
        <v>24</v>
      </c>
      <c r="I146" s="2" t="s">
        <v>25</v>
      </c>
      <c r="J146" s="2" t="s">
        <v>173</v>
      </c>
      <c r="K146" s="2" t="s">
        <v>120</v>
      </c>
      <c r="L146" s="2" t="s">
        <v>67</v>
      </c>
      <c r="M146" s="2" t="s">
        <v>710</v>
      </c>
      <c r="N146" s="2" t="s">
        <v>30</v>
      </c>
      <c r="O146" s="2" t="s">
        <v>31</v>
      </c>
      <c r="P146" s="2" t="s">
        <v>711</v>
      </c>
      <c r="Q146" s="2">
        <v>191.98400000000001</v>
      </c>
      <c r="R146" s="2">
        <v>2</v>
      </c>
      <c r="S146" s="2">
        <v>4.7995999999999999</v>
      </c>
      <c r="T146" s="2" t="s">
        <v>83</v>
      </c>
      <c r="U146" s="2" t="s">
        <v>96</v>
      </c>
    </row>
    <row r="147" spans="1:21" ht="14.25" customHeight="1" x14ac:dyDescent="0.3">
      <c r="A147" s="2" t="s">
        <v>712</v>
      </c>
      <c r="B147" s="5">
        <v>41811</v>
      </c>
      <c r="C147" s="2" t="str">
        <f>TEXT(data[[#This Row],[Order Date]],"YYYY")</f>
        <v>2014</v>
      </c>
      <c r="D147" s="2">
        <v>41813</v>
      </c>
      <c r="E147" s="2" t="s">
        <v>21</v>
      </c>
      <c r="F147" s="2" t="s">
        <v>713</v>
      </c>
      <c r="G147" s="2" t="s">
        <v>714</v>
      </c>
      <c r="H147" s="2" t="s">
        <v>24</v>
      </c>
      <c r="I147" s="2" t="s">
        <v>25</v>
      </c>
      <c r="J147" s="2" t="s">
        <v>715</v>
      </c>
      <c r="K147" s="2" t="s">
        <v>716</v>
      </c>
      <c r="L147" s="2" t="s">
        <v>28</v>
      </c>
      <c r="M147" s="2" t="s">
        <v>717</v>
      </c>
      <c r="N147" s="2" t="s">
        <v>30</v>
      </c>
      <c r="O147" s="2" t="s">
        <v>56</v>
      </c>
      <c r="P147" s="2" t="s">
        <v>718</v>
      </c>
      <c r="Q147" s="2">
        <v>104.01</v>
      </c>
      <c r="R147" s="2">
        <v>1</v>
      </c>
      <c r="S147" s="2">
        <v>14.561400000000001</v>
      </c>
      <c r="T147" s="2" t="s">
        <v>70</v>
      </c>
      <c r="U147" s="2" t="s">
        <v>59</v>
      </c>
    </row>
    <row r="148" spans="1:21" ht="14.25" customHeight="1" x14ac:dyDescent="0.3">
      <c r="A148" s="2" t="s">
        <v>719</v>
      </c>
      <c r="B148" s="5">
        <v>42980</v>
      </c>
      <c r="C148" s="2" t="str">
        <f>TEXT(data[[#This Row],[Order Date]],"YYYY")</f>
        <v>2017</v>
      </c>
      <c r="D148" s="2">
        <v>42986</v>
      </c>
      <c r="E148" s="2" t="s">
        <v>39</v>
      </c>
      <c r="F148" s="2" t="s">
        <v>720</v>
      </c>
      <c r="G148" s="2" t="s">
        <v>721</v>
      </c>
      <c r="H148" s="2" t="s">
        <v>90</v>
      </c>
      <c r="I148" s="2" t="s">
        <v>25</v>
      </c>
      <c r="J148" s="2" t="s">
        <v>693</v>
      </c>
      <c r="K148" s="2" t="s">
        <v>231</v>
      </c>
      <c r="L148" s="2" t="s">
        <v>67</v>
      </c>
      <c r="M148" s="2" t="s">
        <v>271</v>
      </c>
      <c r="N148" s="2" t="s">
        <v>30</v>
      </c>
      <c r="O148" s="2" t="s">
        <v>56</v>
      </c>
      <c r="P148" s="2" t="s">
        <v>272</v>
      </c>
      <c r="Q148" s="2">
        <v>15.071999999999999</v>
      </c>
      <c r="R148" s="2">
        <v>3</v>
      </c>
      <c r="S148" s="2">
        <v>4.1448</v>
      </c>
      <c r="T148" s="2" t="s">
        <v>129</v>
      </c>
      <c r="U148" s="2" t="s">
        <v>77</v>
      </c>
    </row>
    <row r="149" spans="1:21" ht="14.25" customHeight="1" x14ac:dyDescent="0.3">
      <c r="A149" s="2" t="s">
        <v>722</v>
      </c>
      <c r="B149" s="5">
        <v>42678</v>
      </c>
      <c r="C149" s="2" t="str">
        <f>TEXT(data[[#This Row],[Order Date]],"YYYY")</f>
        <v>2016</v>
      </c>
      <c r="D149" s="2">
        <v>42682</v>
      </c>
      <c r="E149" s="2" t="s">
        <v>21</v>
      </c>
      <c r="F149" s="2" t="s">
        <v>723</v>
      </c>
      <c r="G149" s="2" t="s">
        <v>724</v>
      </c>
      <c r="H149" s="2" t="s">
        <v>90</v>
      </c>
      <c r="I149" s="2" t="s">
        <v>25</v>
      </c>
      <c r="J149" s="2" t="s">
        <v>191</v>
      </c>
      <c r="K149" s="2" t="s">
        <v>192</v>
      </c>
      <c r="L149" s="2" t="s">
        <v>54</v>
      </c>
      <c r="M149" s="2" t="s">
        <v>725</v>
      </c>
      <c r="N149" s="2" t="s">
        <v>30</v>
      </c>
      <c r="O149" s="2" t="s">
        <v>56</v>
      </c>
      <c r="P149" s="2" t="s">
        <v>726</v>
      </c>
      <c r="Q149" s="2">
        <v>209.88</v>
      </c>
      <c r="R149" s="2">
        <v>3</v>
      </c>
      <c r="S149" s="2">
        <v>35.679600000000001</v>
      </c>
      <c r="T149" s="2" t="s">
        <v>83</v>
      </c>
      <c r="U149" s="2" t="s">
        <v>34</v>
      </c>
    </row>
    <row r="150" spans="1:21" ht="14.25" customHeight="1" x14ac:dyDescent="0.3">
      <c r="A150" s="2" t="s">
        <v>727</v>
      </c>
      <c r="B150" s="5">
        <v>42103</v>
      </c>
      <c r="C150" s="2" t="str">
        <f>TEXT(data[[#This Row],[Order Date]],"YYYY")</f>
        <v>2015</v>
      </c>
      <c r="D150" s="2">
        <v>42108</v>
      </c>
      <c r="E150" s="2" t="s">
        <v>39</v>
      </c>
      <c r="F150" s="2" t="s">
        <v>728</v>
      </c>
      <c r="G150" s="2" t="s">
        <v>729</v>
      </c>
      <c r="H150" s="2" t="s">
        <v>24</v>
      </c>
      <c r="I150" s="2" t="s">
        <v>25</v>
      </c>
      <c r="J150" s="2" t="s">
        <v>730</v>
      </c>
      <c r="K150" s="2" t="s">
        <v>53</v>
      </c>
      <c r="L150" s="2" t="s">
        <v>54</v>
      </c>
      <c r="M150" s="2" t="s">
        <v>731</v>
      </c>
      <c r="N150" s="2" t="s">
        <v>30</v>
      </c>
      <c r="O150" s="2" t="s">
        <v>45</v>
      </c>
      <c r="P150" s="2" t="s">
        <v>732</v>
      </c>
      <c r="Q150" s="2">
        <v>369.91199999999998</v>
      </c>
      <c r="R150" s="2">
        <v>3</v>
      </c>
      <c r="S150" s="2">
        <v>-13.871700000000001</v>
      </c>
      <c r="T150" s="2" t="s">
        <v>58</v>
      </c>
      <c r="U150" s="2" t="s">
        <v>113</v>
      </c>
    </row>
    <row r="151" spans="1:21" ht="14.25" customHeight="1" x14ac:dyDescent="0.3">
      <c r="A151" s="2" t="s">
        <v>733</v>
      </c>
      <c r="B151" s="5">
        <v>41975</v>
      </c>
      <c r="C151" s="2" t="str">
        <f>TEXT(data[[#This Row],[Order Date]],"YYYY")</f>
        <v>2014</v>
      </c>
      <c r="D151" s="2">
        <v>41977</v>
      </c>
      <c r="E151" s="2" t="s">
        <v>87</v>
      </c>
      <c r="F151" s="2" t="s">
        <v>734</v>
      </c>
      <c r="G151" s="2" t="s">
        <v>735</v>
      </c>
      <c r="H151" s="2" t="s">
        <v>24</v>
      </c>
      <c r="I151" s="2" t="s">
        <v>25</v>
      </c>
      <c r="J151" s="2" t="s">
        <v>173</v>
      </c>
      <c r="K151" s="2" t="s">
        <v>120</v>
      </c>
      <c r="L151" s="2" t="s">
        <v>67</v>
      </c>
      <c r="M151" s="2" t="s">
        <v>736</v>
      </c>
      <c r="N151" s="2" t="s">
        <v>30</v>
      </c>
      <c r="O151" s="2" t="s">
        <v>31</v>
      </c>
      <c r="P151" s="2" t="s">
        <v>737</v>
      </c>
      <c r="Q151" s="2">
        <v>883.92</v>
      </c>
      <c r="R151" s="2">
        <v>5</v>
      </c>
      <c r="S151" s="2">
        <v>-110.49</v>
      </c>
      <c r="T151" s="2" t="s">
        <v>70</v>
      </c>
      <c r="U151" s="2" t="s">
        <v>96</v>
      </c>
    </row>
    <row r="152" spans="1:21" ht="14.25" customHeight="1" x14ac:dyDescent="0.3">
      <c r="A152" s="2" t="s">
        <v>738</v>
      </c>
      <c r="B152" s="5">
        <v>41650</v>
      </c>
      <c r="C152" s="2" t="str">
        <f>TEXT(data[[#This Row],[Order Date]],"YYYY")</f>
        <v>2014</v>
      </c>
      <c r="D152" s="2">
        <v>41653</v>
      </c>
      <c r="E152" s="2" t="s">
        <v>87</v>
      </c>
      <c r="F152" s="2" t="s">
        <v>739</v>
      </c>
      <c r="G152" s="2" t="s">
        <v>740</v>
      </c>
      <c r="H152" s="2" t="s">
        <v>24</v>
      </c>
      <c r="I152" s="2" t="s">
        <v>25</v>
      </c>
      <c r="J152" s="2" t="s">
        <v>741</v>
      </c>
      <c r="K152" s="2" t="s">
        <v>200</v>
      </c>
      <c r="L152" s="2" t="s">
        <v>67</v>
      </c>
      <c r="M152" s="2" t="s">
        <v>650</v>
      </c>
      <c r="N152" s="2" t="s">
        <v>30</v>
      </c>
      <c r="O152" s="2" t="s">
        <v>56</v>
      </c>
      <c r="P152" s="2" t="s">
        <v>651</v>
      </c>
      <c r="Q152" s="2">
        <v>9.94</v>
      </c>
      <c r="R152" s="2">
        <v>2</v>
      </c>
      <c r="S152" s="2">
        <v>3.0813999999999999</v>
      </c>
      <c r="T152" s="2" t="s">
        <v>33</v>
      </c>
      <c r="U152" s="2" t="s">
        <v>169</v>
      </c>
    </row>
    <row r="153" spans="1:21" ht="14.25" customHeight="1" x14ac:dyDescent="0.3">
      <c r="A153" s="2" t="s">
        <v>742</v>
      </c>
      <c r="B153" s="5">
        <v>43002</v>
      </c>
      <c r="C153" s="2" t="str">
        <f>TEXT(data[[#This Row],[Order Date]],"YYYY")</f>
        <v>2017</v>
      </c>
      <c r="D153" s="2">
        <v>43007</v>
      </c>
      <c r="E153" s="2" t="s">
        <v>39</v>
      </c>
      <c r="F153" s="2" t="s">
        <v>743</v>
      </c>
      <c r="G153" s="2" t="s">
        <v>744</v>
      </c>
      <c r="H153" s="2" t="s">
        <v>24</v>
      </c>
      <c r="I153" s="2" t="s">
        <v>25</v>
      </c>
      <c r="J153" s="2" t="s">
        <v>230</v>
      </c>
      <c r="K153" s="2" t="s">
        <v>231</v>
      </c>
      <c r="L153" s="2" t="s">
        <v>67</v>
      </c>
      <c r="M153" s="2" t="s">
        <v>745</v>
      </c>
      <c r="N153" s="2" t="s">
        <v>30</v>
      </c>
      <c r="O153" s="2" t="s">
        <v>56</v>
      </c>
      <c r="P153" s="2" t="s">
        <v>746</v>
      </c>
      <c r="Q153" s="2">
        <v>103.056</v>
      </c>
      <c r="R153" s="2">
        <v>3</v>
      </c>
      <c r="S153" s="2">
        <v>24.4758</v>
      </c>
      <c r="T153" s="2" t="s">
        <v>58</v>
      </c>
      <c r="U153" s="2" t="s">
        <v>77</v>
      </c>
    </row>
    <row r="154" spans="1:21" ht="14.25" customHeight="1" x14ac:dyDescent="0.3">
      <c r="A154" s="2" t="s">
        <v>747</v>
      </c>
      <c r="B154" s="5">
        <v>41792</v>
      </c>
      <c r="C154" s="2" t="str">
        <f>TEXT(data[[#This Row],[Order Date]],"YYYY")</f>
        <v>2014</v>
      </c>
      <c r="D154" s="2">
        <v>41797</v>
      </c>
      <c r="E154" s="2" t="s">
        <v>39</v>
      </c>
      <c r="F154" s="2" t="s">
        <v>748</v>
      </c>
      <c r="G154" s="2" t="s">
        <v>749</v>
      </c>
      <c r="H154" s="2" t="s">
        <v>100</v>
      </c>
      <c r="I154" s="2" t="s">
        <v>25</v>
      </c>
      <c r="J154" s="2" t="s">
        <v>75</v>
      </c>
      <c r="K154" s="2" t="s">
        <v>76</v>
      </c>
      <c r="L154" s="2" t="s">
        <v>54</v>
      </c>
      <c r="M154" s="2" t="s">
        <v>493</v>
      </c>
      <c r="N154" s="2" t="s">
        <v>30</v>
      </c>
      <c r="O154" s="2" t="s">
        <v>56</v>
      </c>
      <c r="P154" s="2" t="s">
        <v>494</v>
      </c>
      <c r="Q154" s="2">
        <v>73.319999999999993</v>
      </c>
      <c r="R154" s="2">
        <v>6</v>
      </c>
      <c r="S154" s="2">
        <v>21.995999999999999</v>
      </c>
      <c r="T154" s="2" t="s">
        <v>58</v>
      </c>
      <c r="U154" s="2" t="s">
        <v>59</v>
      </c>
    </row>
    <row r="155" spans="1:21" ht="14.25" customHeight="1" x14ac:dyDescent="0.3">
      <c r="A155" s="2" t="s">
        <v>750</v>
      </c>
      <c r="B155" s="5">
        <v>42719</v>
      </c>
      <c r="C155" s="2" t="str">
        <f>TEXT(data[[#This Row],[Order Date]],"YYYY")</f>
        <v>2016</v>
      </c>
      <c r="D155" s="2">
        <v>42723</v>
      </c>
      <c r="E155" s="2" t="s">
        <v>39</v>
      </c>
      <c r="F155" s="2" t="s">
        <v>469</v>
      </c>
      <c r="G155" s="2" t="s">
        <v>470</v>
      </c>
      <c r="H155" s="2" t="s">
        <v>90</v>
      </c>
      <c r="I155" s="2" t="s">
        <v>25</v>
      </c>
      <c r="J155" s="2" t="s">
        <v>288</v>
      </c>
      <c r="K155" s="2" t="s">
        <v>289</v>
      </c>
      <c r="L155" s="2" t="s">
        <v>93</v>
      </c>
      <c r="M155" s="2" t="s">
        <v>751</v>
      </c>
      <c r="N155" s="2" t="s">
        <v>30</v>
      </c>
      <c r="O155" s="2" t="s">
        <v>45</v>
      </c>
      <c r="P155" s="2" t="s">
        <v>752</v>
      </c>
      <c r="Q155" s="2">
        <v>1652.94</v>
      </c>
      <c r="R155" s="2">
        <v>3</v>
      </c>
      <c r="S155" s="2">
        <v>231.41159999999999</v>
      </c>
      <c r="T155" s="2" t="s">
        <v>83</v>
      </c>
      <c r="U155" s="2" t="s">
        <v>96</v>
      </c>
    </row>
    <row r="156" spans="1:21" ht="14.25" customHeight="1" x14ac:dyDescent="0.3">
      <c r="A156" s="2" t="s">
        <v>753</v>
      </c>
      <c r="B156" s="5">
        <v>41919</v>
      </c>
      <c r="C156" s="2" t="str">
        <f>TEXT(data[[#This Row],[Order Date]],"YYYY")</f>
        <v>2014</v>
      </c>
      <c r="D156" s="2">
        <v>41925</v>
      </c>
      <c r="E156" s="2" t="s">
        <v>39</v>
      </c>
      <c r="F156" s="2" t="s">
        <v>754</v>
      </c>
      <c r="G156" s="2" t="s">
        <v>755</v>
      </c>
      <c r="H156" s="2" t="s">
        <v>100</v>
      </c>
      <c r="I156" s="2" t="s">
        <v>25</v>
      </c>
      <c r="J156" s="2" t="s">
        <v>65</v>
      </c>
      <c r="K156" s="2" t="s">
        <v>66</v>
      </c>
      <c r="L156" s="2" t="s">
        <v>67</v>
      </c>
      <c r="M156" s="2" t="s">
        <v>756</v>
      </c>
      <c r="N156" s="2" t="s">
        <v>30</v>
      </c>
      <c r="O156" s="2" t="s">
        <v>56</v>
      </c>
      <c r="P156" s="2" t="s">
        <v>757</v>
      </c>
      <c r="Q156" s="2">
        <v>129.91999999999999</v>
      </c>
      <c r="R156" s="2">
        <v>5</v>
      </c>
      <c r="S156" s="2">
        <v>21.111999999999998</v>
      </c>
      <c r="T156" s="2" t="s">
        <v>129</v>
      </c>
      <c r="U156" s="2" t="s">
        <v>48</v>
      </c>
    </row>
    <row r="157" spans="1:21" ht="14.25" customHeight="1" x14ac:dyDescent="0.3">
      <c r="A157" s="2" t="s">
        <v>758</v>
      </c>
      <c r="B157" s="5">
        <v>42707</v>
      </c>
      <c r="C157" s="2" t="str">
        <f>TEXT(data[[#This Row],[Order Date]],"YYYY")</f>
        <v>2016</v>
      </c>
      <c r="D157" s="2">
        <v>42710</v>
      </c>
      <c r="E157" s="2" t="s">
        <v>87</v>
      </c>
      <c r="F157" s="2" t="s">
        <v>759</v>
      </c>
      <c r="G157" s="2" t="s">
        <v>760</v>
      </c>
      <c r="H157" s="2" t="s">
        <v>24</v>
      </c>
      <c r="I157" s="2" t="s">
        <v>25</v>
      </c>
      <c r="J157" s="2" t="s">
        <v>761</v>
      </c>
      <c r="K157" s="2" t="s">
        <v>120</v>
      </c>
      <c r="L157" s="2" t="s">
        <v>67</v>
      </c>
      <c r="M157" s="2" t="s">
        <v>762</v>
      </c>
      <c r="N157" s="2" t="s">
        <v>30</v>
      </c>
      <c r="O157" s="2" t="s">
        <v>45</v>
      </c>
      <c r="P157" s="2" t="s">
        <v>763</v>
      </c>
      <c r="Q157" s="2">
        <v>400.03199999999998</v>
      </c>
      <c r="R157" s="2">
        <v>2</v>
      </c>
      <c r="S157" s="2">
        <v>-153.34559999999999</v>
      </c>
      <c r="T157" s="2" t="s">
        <v>33</v>
      </c>
      <c r="U157" s="2" t="s">
        <v>96</v>
      </c>
    </row>
    <row r="158" spans="1:21" ht="14.25" customHeight="1" x14ac:dyDescent="0.3">
      <c r="A158" s="2" t="s">
        <v>758</v>
      </c>
      <c r="B158" s="5">
        <v>42707</v>
      </c>
      <c r="C158" s="2" t="str">
        <f>TEXT(data[[#This Row],[Order Date]],"YYYY")</f>
        <v>2016</v>
      </c>
      <c r="D158" s="2">
        <v>42710</v>
      </c>
      <c r="E158" s="2" t="s">
        <v>87</v>
      </c>
      <c r="F158" s="2" t="s">
        <v>759</v>
      </c>
      <c r="G158" s="2" t="s">
        <v>760</v>
      </c>
      <c r="H158" s="2" t="s">
        <v>24</v>
      </c>
      <c r="I158" s="2" t="s">
        <v>25</v>
      </c>
      <c r="J158" s="2" t="s">
        <v>761</v>
      </c>
      <c r="K158" s="2" t="s">
        <v>120</v>
      </c>
      <c r="L158" s="2" t="s">
        <v>67</v>
      </c>
      <c r="M158" s="2" t="s">
        <v>329</v>
      </c>
      <c r="N158" s="2" t="s">
        <v>30</v>
      </c>
      <c r="O158" s="2" t="s">
        <v>36</v>
      </c>
      <c r="P158" s="2" t="s">
        <v>330</v>
      </c>
      <c r="Q158" s="2">
        <v>542.64599999999996</v>
      </c>
      <c r="R158" s="2">
        <v>3</v>
      </c>
      <c r="S158" s="2">
        <v>102.49979999999999</v>
      </c>
      <c r="T158" s="2" t="s">
        <v>33</v>
      </c>
      <c r="U158" s="2" t="s">
        <v>96</v>
      </c>
    </row>
    <row r="159" spans="1:21" ht="14.25" customHeight="1" x14ac:dyDescent="0.3">
      <c r="A159" s="2" t="s">
        <v>764</v>
      </c>
      <c r="B159" s="5">
        <v>42756</v>
      </c>
      <c r="C159" s="2" t="str">
        <f>TEXT(data[[#This Row],[Order Date]],"YYYY")</f>
        <v>2017</v>
      </c>
      <c r="D159" s="2">
        <v>42760</v>
      </c>
      <c r="E159" s="2" t="s">
        <v>39</v>
      </c>
      <c r="F159" s="2" t="s">
        <v>765</v>
      </c>
      <c r="G159" s="2" t="s">
        <v>766</v>
      </c>
      <c r="H159" s="2" t="s">
        <v>100</v>
      </c>
      <c r="I159" s="2" t="s">
        <v>25</v>
      </c>
      <c r="J159" s="2" t="s">
        <v>191</v>
      </c>
      <c r="K159" s="2" t="s">
        <v>192</v>
      </c>
      <c r="L159" s="2" t="s">
        <v>54</v>
      </c>
      <c r="M159" s="2" t="s">
        <v>767</v>
      </c>
      <c r="N159" s="2" t="s">
        <v>30</v>
      </c>
      <c r="O159" s="2" t="s">
        <v>31</v>
      </c>
      <c r="P159" s="2" t="s">
        <v>768</v>
      </c>
      <c r="Q159" s="2">
        <v>84.98</v>
      </c>
      <c r="R159" s="2">
        <v>1</v>
      </c>
      <c r="S159" s="2">
        <v>18.695599999999999</v>
      </c>
      <c r="T159" s="2" t="s">
        <v>83</v>
      </c>
      <c r="U159" s="2" t="s">
        <v>169</v>
      </c>
    </row>
    <row r="160" spans="1:21" ht="14.25" customHeight="1" x14ac:dyDescent="0.3">
      <c r="A160" s="2" t="s">
        <v>769</v>
      </c>
      <c r="B160" s="5">
        <v>41786</v>
      </c>
      <c r="C160" s="2" t="str">
        <f>TEXT(data[[#This Row],[Order Date]],"YYYY")</f>
        <v>2014</v>
      </c>
      <c r="D160" s="2">
        <v>41786</v>
      </c>
      <c r="E160" s="2" t="s">
        <v>425</v>
      </c>
      <c r="F160" s="2" t="s">
        <v>770</v>
      </c>
      <c r="G160" s="2" t="s">
        <v>771</v>
      </c>
      <c r="H160" s="2" t="s">
        <v>90</v>
      </c>
      <c r="I160" s="2" t="s">
        <v>25</v>
      </c>
      <c r="J160" s="2" t="s">
        <v>639</v>
      </c>
      <c r="K160" s="2" t="s">
        <v>53</v>
      </c>
      <c r="L160" s="2" t="s">
        <v>54</v>
      </c>
      <c r="M160" s="2" t="s">
        <v>317</v>
      </c>
      <c r="N160" s="2" t="s">
        <v>30</v>
      </c>
      <c r="O160" s="2" t="s">
        <v>45</v>
      </c>
      <c r="P160" s="2" t="s">
        <v>318</v>
      </c>
      <c r="Q160" s="2">
        <v>567.12</v>
      </c>
      <c r="R160" s="2">
        <v>10</v>
      </c>
      <c r="S160" s="2">
        <v>-28.356000000000002</v>
      </c>
      <c r="T160" s="2" t="s">
        <v>430</v>
      </c>
      <c r="U160" s="2" t="s">
        <v>161</v>
      </c>
    </row>
    <row r="161" spans="1:21" ht="14.25" customHeight="1" x14ac:dyDescent="0.3">
      <c r="A161" s="2" t="s">
        <v>772</v>
      </c>
      <c r="B161" s="5">
        <v>43010</v>
      </c>
      <c r="C161" s="2" t="str">
        <f>TEXT(data[[#This Row],[Order Date]],"YYYY")</f>
        <v>2017</v>
      </c>
      <c r="D161" s="2">
        <v>43014</v>
      </c>
      <c r="E161" s="2" t="s">
        <v>39</v>
      </c>
      <c r="F161" s="2" t="s">
        <v>773</v>
      </c>
      <c r="G161" s="2" t="s">
        <v>774</v>
      </c>
      <c r="H161" s="2" t="s">
        <v>24</v>
      </c>
      <c r="I161" s="2" t="s">
        <v>25</v>
      </c>
      <c r="J161" s="2" t="s">
        <v>775</v>
      </c>
      <c r="K161" s="2" t="s">
        <v>289</v>
      </c>
      <c r="L161" s="2" t="s">
        <v>93</v>
      </c>
      <c r="M161" s="2" t="s">
        <v>776</v>
      </c>
      <c r="N161" s="2" t="s">
        <v>30</v>
      </c>
      <c r="O161" s="2" t="s">
        <v>56</v>
      </c>
      <c r="P161" s="2" t="s">
        <v>777</v>
      </c>
      <c r="Q161" s="2">
        <v>157.74</v>
      </c>
      <c r="R161" s="2">
        <v>11</v>
      </c>
      <c r="S161" s="2">
        <v>56.7864</v>
      </c>
      <c r="T161" s="2" t="s">
        <v>83</v>
      </c>
      <c r="U161" s="2" t="s">
        <v>48</v>
      </c>
    </row>
    <row r="162" spans="1:21" ht="14.25" customHeight="1" x14ac:dyDescent="0.3">
      <c r="A162" s="2" t="s">
        <v>778</v>
      </c>
      <c r="B162" s="5">
        <v>42345</v>
      </c>
      <c r="C162" s="2" t="str">
        <f>TEXT(data[[#This Row],[Order Date]],"YYYY")</f>
        <v>2015</v>
      </c>
      <c r="D162" s="2">
        <v>42350</v>
      </c>
      <c r="E162" s="2" t="s">
        <v>39</v>
      </c>
      <c r="F162" s="2" t="s">
        <v>779</v>
      </c>
      <c r="G162" s="2" t="s">
        <v>780</v>
      </c>
      <c r="H162" s="2" t="s">
        <v>24</v>
      </c>
      <c r="I162" s="2" t="s">
        <v>25</v>
      </c>
      <c r="J162" s="2" t="s">
        <v>52</v>
      </c>
      <c r="K162" s="2" t="s">
        <v>53</v>
      </c>
      <c r="L162" s="2" t="s">
        <v>54</v>
      </c>
      <c r="M162" s="2" t="s">
        <v>697</v>
      </c>
      <c r="N162" s="2" t="s">
        <v>30</v>
      </c>
      <c r="O162" s="2" t="s">
        <v>56</v>
      </c>
      <c r="P162" s="2" t="s">
        <v>698</v>
      </c>
      <c r="Q162" s="2">
        <v>79.92</v>
      </c>
      <c r="R162" s="2">
        <v>4</v>
      </c>
      <c r="S162" s="2">
        <v>28.7712</v>
      </c>
      <c r="T162" s="2" t="s">
        <v>58</v>
      </c>
      <c r="U162" s="2" t="s">
        <v>96</v>
      </c>
    </row>
    <row r="163" spans="1:21" ht="14.25" customHeight="1" x14ac:dyDescent="0.3">
      <c r="A163" s="2" t="s">
        <v>781</v>
      </c>
      <c r="B163" s="5">
        <v>42631</v>
      </c>
      <c r="C163" s="2" t="str">
        <f>TEXT(data[[#This Row],[Order Date]],"YYYY")</f>
        <v>2016</v>
      </c>
      <c r="D163" s="2">
        <v>42635</v>
      </c>
      <c r="E163" s="2" t="s">
        <v>39</v>
      </c>
      <c r="F163" s="2" t="s">
        <v>782</v>
      </c>
      <c r="G163" s="2" t="s">
        <v>783</v>
      </c>
      <c r="H163" s="2" t="s">
        <v>90</v>
      </c>
      <c r="I163" s="2" t="s">
        <v>25</v>
      </c>
      <c r="J163" s="2" t="s">
        <v>606</v>
      </c>
      <c r="K163" s="2" t="s">
        <v>43</v>
      </c>
      <c r="L163" s="2" t="s">
        <v>28</v>
      </c>
      <c r="M163" s="2" t="s">
        <v>784</v>
      </c>
      <c r="N163" s="2" t="s">
        <v>30</v>
      </c>
      <c r="O163" s="2" t="s">
        <v>45</v>
      </c>
      <c r="P163" s="2" t="s">
        <v>785</v>
      </c>
      <c r="Q163" s="2">
        <v>383.43799999999999</v>
      </c>
      <c r="R163" s="2">
        <v>4</v>
      </c>
      <c r="S163" s="2">
        <v>-167.3184</v>
      </c>
      <c r="T163" s="2" t="s">
        <v>83</v>
      </c>
      <c r="U163" s="2" t="s">
        <v>77</v>
      </c>
    </row>
    <row r="164" spans="1:21" ht="14.25" customHeight="1" x14ac:dyDescent="0.3">
      <c r="A164" s="2" t="s">
        <v>786</v>
      </c>
      <c r="B164" s="5">
        <v>41773</v>
      </c>
      <c r="C164" s="2" t="str">
        <f>TEXT(data[[#This Row],[Order Date]],"YYYY")</f>
        <v>2014</v>
      </c>
      <c r="D164" s="2">
        <v>41779</v>
      </c>
      <c r="E164" s="2" t="s">
        <v>39</v>
      </c>
      <c r="F164" s="2" t="s">
        <v>787</v>
      </c>
      <c r="G164" s="2" t="s">
        <v>788</v>
      </c>
      <c r="H164" s="2" t="s">
        <v>90</v>
      </c>
      <c r="I164" s="2" t="s">
        <v>25</v>
      </c>
      <c r="J164" s="2" t="s">
        <v>789</v>
      </c>
      <c r="K164" s="2" t="s">
        <v>43</v>
      </c>
      <c r="L164" s="2" t="s">
        <v>28</v>
      </c>
      <c r="M164" s="2" t="s">
        <v>790</v>
      </c>
      <c r="N164" s="2" t="s">
        <v>30</v>
      </c>
      <c r="O164" s="2" t="s">
        <v>56</v>
      </c>
      <c r="P164" s="2" t="s">
        <v>791</v>
      </c>
      <c r="Q164" s="2">
        <v>310.88</v>
      </c>
      <c r="R164" s="2">
        <v>2</v>
      </c>
      <c r="S164" s="2">
        <v>23.315999999999999</v>
      </c>
      <c r="T164" s="2" t="s">
        <v>129</v>
      </c>
      <c r="U164" s="2" t="s">
        <v>161</v>
      </c>
    </row>
    <row r="165" spans="1:21" ht="14.25" customHeight="1" x14ac:dyDescent="0.3">
      <c r="A165" s="2" t="s">
        <v>792</v>
      </c>
      <c r="B165" s="5">
        <v>42509</v>
      </c>
      <c r="C165" s="2" t="str">
        <f>TEXT(data[[#This Row],[Order Date]],"YYYY")</f>
        <v>2016</v>
      </c>
      <c r="D165" s="2">
        <v>42514</v>
      </c>
      <c r="E165" s="2" t="s">
        <v>39</v>
      </c>
      <c r="F165" s="2" t="s">
        <v>793</v>
      </c>
      <c r="G165" s="2" t="s">
        <v>794</v>
      </c>
      <c r="H165" s="2" t="s">
        <v>24</v>
      </c>
      <c r="I165" s="2" t="s">
        <v>25</v>
      </c>
      <c r="J165" s="2" t="s">
        <v>689</v>
      </c>
      <c r="K165" s="2" t="s">
        <v>716</v>
      </c>
      <c r="L165" s="2" t="s">
        <v>28</v>
      </c>
      <c r="M165" s="2" t="s">
        <v>795</v>
      </c>
      <c r="N165" s="2" t="s">
        <v>30</v>
      </c>
      <c r="O165" s="2" t="s">
        <v>36</v>
      </c>
      <c r="P165" s="2" t="s">
        <v>796</v>
      </c>
      <c r="Q165" s="2">
        <v>641.96</v>
      </c>
      <c r="R165" s="2">
        <v>2</v>
      </c>
      <c r="S165" s="2">
        <v>179.74879999999999</v>
      </c>
      <c r="T165" s="2" t="s">
        <v>58</v>
      </c>
      <c r="U165" s="2" t="s">
        <v>161</v>
      </c>
    </row>
    <row r="166" spans="1:21" ht="14.25" customHeight="1" x14ac:dyDescent="0.3">
      <c r="A166" s="2" t="s">
        <v>797</v>
      </c>
      <c r="B166" s="5">
        <v>42765</v>
      </c>
      <c r="C166" s="2" t="str">
        <f>TEXT(data[[#This Row],[Order Date]],"YYYY")</f>
        <v>2017</v>
      </c>
      <c r="D166" s="2">
        <v>42771</v>
      </c>
      <c r="E166" s="2" t="s">
        <v>39</v>
      </c>
      <c r="F166" s="2" t="s">
        <v>798</v>
      </c>
      <c r="G166" s="2" t="s">
        <v>799</v>
      </c>
      <c r="H166" s="2" t="s">
        <v>90</v>
      </c>
      <c r="I166" s="2" t="s">
        <v>25</v>
      </c>
      <c r="J166" s="2" t="s">
        <v>800</v>
      </c>
      <c r="K166" s="2" t="s">
        <v>801</v>
      </c>
      <c r="L166" s="2" t="s">
        <v>93</v>
      </c>
      <c r="M166" s="2" t="s">
        <v>802</v>
      </c>
      <c r="N166" s="2" t="s">
        <v>30</v>
      </c>
      <c r="O166" s="2" t="s">
        <v>56</v>
      </c>
      <c r="P166" s="2" t="s">
        <v>803</v>
      </c>
      <c r="Q166" s="2">
        <v>34.58</v>
      </c>
      <c r="R166" s="2">
        <v>7</v>
      </c>
      <c r="S166" s="2">
        <v>14.5236</v>
      </c>
      <c r="T166" s="2" t="s">
        <v>129</v>
      </c>
      <c r="U166" s="2" t="s">
        <v>169</v>
      </c>
    </row>
    <row r="167" spans="1:21" ht="14.25" customHeight="1" x14ac:dyDescent="0.3">
      <c r="A167" s="2" t="s">
        <v>804</v>
      </c>
      <c r="B167" s="5">
        <v>42237</v>
      </c>
      <c r="C167" s="2" t="str">
        <f>TEXT(data[[#This Row],[Order Date]],"YYYY")</f>
        <v>2015</v>
      </c>
      <c r="D167" s="2">
        <v>42239</v>
      </c>
      <c r="E167" s="2" t="s">
        <v>87</v>
      </c>
      <c r="F167" s="2" t="s">
        <v>345</v>
      </c>
      <c r="G167" s="2" t="s">
        <v>346</v>
      </c>
      <c r="H167" s="2" t="s">
        <v>100</v>
      </c>
      <c r="I167" s="2" t="s">
        <v>25</v>
      </c>
      <c r="J167" s="2" t="s">
        <v>328</v>
      </c>
      <c r="K167" s="2" t="s">
        <v>53</v>
      </c>
      <c r="L167" s="2" t="s">
        <v>54</v>
      </c>
      <c r="M167" s="2" t="s">
        <v>805</v>
      </c>
      <c r="N167" s="2" t="s">
        <v>30</v>
      </c>
      <c r="O167" s="2" t="s">
        <v>36</v>
      </c>
      <c r="P167" s="2" t="s">
        <v>806</v>
      </c>
      <c r="Q167" s="2">
        <v>544.00800000000004</v>
      </c>
      <c r="R167" s="2">
        <v>3</v>
      </c>
      <c r="S167" s="2">
        <v>40.800600000000003</v>
      </c>
      <c r="T167" s="2" t="s">
        <v>70</v>
      </c>
      <c r="U167" s="2" t="s">
        <v>253</v>
      </c>
    </row>
    <row r="168" spans="1:21" ht="14.25" customHeight="1" x14ac:dyDescent="0.3">
      <c r="A168" s="2" t="s">
        <v>807</v>
      </c>
      <c r="B168" s="5">
        <v>42280</v>
      </c>
      <c r="C168" s="2" t="str">
        <f>TEXT(data[[#This Row],[Order Date]],"YYYY")</f>
        <v>2015</v>
      </c>
      <c r="D168" s="2">
        <v>42283</v>
      </c>
      <c r="E168" s="2" t="s">
        <v>21</v>
      </c>
      <c r="F168" s="2" t="s">
        <v>808</v>
      </c>
      <c r="G168" s="2" t="s">
        <v>809</v>
      </c>
      <c r="H168" s="2" t="s">
        <v>24</v>
      </c>
      <c r="I168" s="2" t="s">
        <v>25</v>
      </c>
      <c r="J168" s="2" t="s">
        <v>347</v>
      </c>
      <c r="K168" s="2" t="s">
        <v>231</v>
      </c>
      <c r="L168" s="2" t="s">
        <v>67</v>
      </c>
      <c r="M168" s="2" t="s">
        <v>810</v>
      </c>
      <c r="N168" s="2" t="s">
        <v>30</v>
      </c>
      <c r="O168" s="2" t="s">
        <v>31</v>
      </c>
      <c r="P168" s="2" t="s">
        <v>811</v>
      </c>
      <c r="Q168" s="2">
        <v>35.49</v>
      </c>
      <c r="R168" s="2">
        <v>1</v>
      </c>
      <c r="S168" s="2">
        <v>-15.615600000000001</v>
      </c>
      <c r="T168" s="2" t="s">
        <v>33</v>
      </c>
      <c r="U168" s="2" t="s">
        <v>48</v>
      </c>
    </row>
    <row r="169" spans="1:21" ht="14.25" customHeight="1" x14ac:dyDescent="0.3">
      <c r="A169" s="2" t="s">
        <v>812</v>
      </c>
      <c r="B169" s="5">
        <v>42350</v>
      </c>
      <c r="C169" s="2" t="str">
        <f>TEXT(data[[#This Row],[Order Date]],"YYYY")</f>
        <v>2015</v>
      </c>
      <c r="D169" s="2">
        <v>42354</v>
      </c>
      <c r="E169" s="2" t="s">
        <v>39</v>
      </c>
      <c r="F169" s="2" t="s">
        <v>813</v>
      </c>
      <c r="G169" s="2" t="s">
        <v>814</v>
      </c>
      <c r="H169" s="2" t="s">
        <v>24</v>
      </c>
      <c r="I169" s="2" t="s">
        <v>25</v>
      </c>
      <c r="J169" s="2" t="s">
        <v>815</v>
      </c>
      <c r="K169" s="2" t="s">
        <v>53</v>
      </c>
      <c r="L169" s="2" t="s">
        <v>54</v>
      </c>
      <c r="M169" s="2" t="s">
        <v>816</v>
      </c>
      <c r="N169" s="2" t="s">
        <v>30</v>
      </c>
      <c r="O169" s="2" t="s">
        <v>36</v>
      </c>
      <c r="P169" s="2" t="s">
        <v>817</v>
      </c>
      <c r="Q169" s="2">
        <v>348.928</v>
      </c>
      <c r="R169" s="2">
        <v>2</v>
      </c>
      <c r="S169" s="2">
        <v>34.892800000000001</v>
      </c>
      <c r="T169" s="2" t="s">
        <v>83</v>
      </c>
      <c r="U169" s="2" t="s">
        <v>96</v>
      </c>
    </row>
    <row r="170" spans="1:21" ht="14.25" customHeight="1" x14ac:dyDescent="0.3">
      <c r="A170" s="2" t="s">
        <v>818</v>
      </c>
      <c r="B170" s="5">
        <v>42181</v>
      </c>
      <c r="C170" s="2" t="str">
        <f>TEXT(data[[#This Row],[Order Date]],"YYYY")</f>
        <v>2015</v>
      </c>
      <c r="D170" s="2">
        <v>42185</v>
      </c>
      <c r="E170" s="2" t="s">
        <v>39</v>
      </c>
      <c r="F170" s="2" t="s">
        <v>819</v>
      </c>
      <c r="G170" s="2" t="s">
        <v>820</v>
      </c>
      <c r="H170" s="2" t="s">
        <v>24</v>
      </c>
      <c r="I170" s="2" t="s">
        <v>25</v>
      </c>
      <c r="J170" s="2" t="s">
        <v>635</v>
      </c>
      <c r="K170" s="2" t="s">
        <v>716</v>
      </c>
      <c r="L170" s="2" t="s">
        <v>28</v>
      </c>
      <c r="M170" s="2" t="s">
        <v>821</v>
      </c>
      <c r="N170" s="2" t="s">
        <v>30</v>
      </c>
      <c r="O170" s="2" t="s">
        <v>36</v>
      </c>
      <c r="P170" s="2" t="s">
        <v>822</v>
      </c>
      <c r="Q170" s="2">
        <v>332.94</v>
      </c>
      <c r="R170" s="2">
        <v>3</v>
      </c>
      <c r="S170" s="2">
        <v>79.905600000000007</v>
      </c>
      <c r="T170" s="2" t="s">
        <v>83</v>
      </c>
      <c r="U170" s="2" t="s">
        <v>59</v>
      </c>
    </row>
    <row r="171" spans="1:21" ht="14.25" customHeight="1" x14ac:dyDescent="0.3">
      <c r="A171" s="2" t="s">
        <v>823</v>
      </c>
      <c r="B171" s="5">
        <v>42335</v>
      </c>
      <c r="C171" s="2" t="str">
        <f>TEXT(data[[#This Row],[Order Date]],"YYYY")</f>
        <v>2015</v>
      </c>
      <c r="D171" s="2">
        <v>42341</v>
      </c>
      <c r="E171" s="2" t="s">
        <v>39</v>
      </c>
      <c r="F171" s="2" t="s">
        <v>824</v>
      </c>
      <c r="G171" s="2" t="s">
        <v>825</v>
      </c>
      <c r="H171" s="2" t="s">
        <v>24</v>
      </c>
      <c r="I171" s="2" t="s">
        <v>25</v>
      </c>
      <c r="J171" s="2" t="s">
        <v>826</v>
      </c>
      <c r="K171" s="2" t="s">
        <v>53</v>
      </c>
      <c r="L171" s="2" t="s">
        <v>54</v>
      </c>
      <c r="M171" s="2" t="s">
        <v>590</v>
      </c>
      <c r="N171" s="2" t="s">
        <v>30</v>
      </c>
      <c r="O171" s="2" t="s">
        <v>36</v>
      </c>
      <c r="P171" s="2" t="s">
        <v>591</v>
      </c>
      <c r="Q171" s="2">
        <v>283.92</v>
      </c>
      <c r="R171" s="2">
        <v>5</v>
      </c>
      <c r="S171" s="2">
        <v>17.745000000000001</v>
      </c>
      <c r="T171" s="2" t="s">
        <v>129</v>
      </c>
      <c r="U171" s="2" t="s">
        <v>34</v>
      </c>
    </row>
    <row r="172" spans="1:21" ht="14.25" customHeight="1" x14ac:dyDescent="0.3">
      <c r="A172" s="2" t="s">
        <v>827</v>
      </c>
      <c r="B172" s="5">
        <v>42786</v>
      </c>
      <c r="C172" s="2" t="str">
        <f>TEXT(data[[#This Row],[Order Date]],"YYYY")</f>
        <v>2017</v>
      </c>
      <c r="D172" s="2">
        <v>42789</v>
      </c>
      <c r="E172" s="2" t="s">
        <v>87</v>
      </c>
      <c r="F172" s="2" t="s">
        <v>828</v>
      </c>
      <c r="G172" s="2" t="s">
        <v>829</v>
      </c>
      <c r="H172" s="2" t="s">
        <v>90</v>
      </c>
      <c r="I172" s="2" t="s">
        <v>25</v>
      </c>
      <c r="J172" s="2" t="s">
        <v>639</v>
      </c>
      <c r="K172" s="2" t="s">
        <v>53</v>
      </c>
      <c r="L172" s="2" t="s">
        <v>54</v>
      </c>
      <c r="M172" s="2" t="s">
        <v>830</v>
      </c>
      <c r="N172" s="2" t="s">
        <v>30</v>
      </c>
      <c r="O172" s="2" t="s">
        <v>56</v>
      </c>
      <c r="P172" s="2" t="s">
        <v>831</v>
      </c>
      <c r="Q172" s="2">
        <v>22.23</v>
      </c>
      <c r="R172" s="2">
        <v>1</v>
      </c>
      <c r="S172" s="2">
        <v>7.3358999999999996</v>
      </c>
      <c r="T172" s="2" t="s">
        <v>33</v>
      </c>
      <c r="U172" s="2" t="s">
        <v>297</v>
      </c>
    </row>
    <row r="173" spans="1:21" ht="14.25" customHeight="1" x14ac:dyDescent="0.3">
      <c r="A173" s="2" t="s">
        <v>832</v>
      </c>
      <c r="B173" s="5">
        <v>42847</v>
      </c>
      <c r="C173" s="2" t="str">
        <f>TEXT(data[[#This Row],[Order Date]],"YYYY")</f>
        <v>2017</v>
      </c>
      <c r="D173" s="2">
        <v>42849</v>
      </c>
      <c r="E173" s="2" t="s">
        <v>87</v>
      </c>
      <c r="F173" s="2" t="s">
        <v>833</v>
      </c>
      <c r="G173" s="2" t="s">
        <v>834</v>
      </c>
      <c r="H173" s="2" t="s">
        <v>24</v>
      </c>
      <c r="I173" s="2" t="s">
        <v>25</v>
      </c>
      <c r="J173" s="2" t="s">
        <v>328</v>
      </c>
      <c r="K173" s="2" t="s">
        <v>53</v>
      </c>
      <c r="L173" s="2" t="s">
        <v>54</v>
      </c>
      <c r="M173" s="2" t="s">
        <v>835</v>
      </c>
      <c r="N173" s="2" t="s">
        <v>30</v>
      </c>
      <c r="O173" s="2" t="s">
        <v>56</v>
      </c>
      <c r="P173" s="2" t="s">
        <v>836</v>
      </c>
      <c r="Q173" s="2">
        <v>18.28</v>
      </c>
      <c r="R173" s="2">
        <v>2</v>
      </c>
      <c r="S173" s="2">
        <v>6.2152000000000003</v>
      </c>
      <c r="T173" s="2" t="s">
        <v>70</v>
      </c>
      <c r="U173" s="2" t="s">
        <v>113</v>
      </c>
    </row>
    <row r="174" spans="1:21" ht="14.25" customHeight="1" x14ac:dyDescent="0.3">
      <c r="A174" s="2" t="s">
        <v>837</v>
      </c>
      <c r="B174" s="5">
        <v>42038</v>
      </c>
      <c r="C174" s="2" t="str">
        <f>TEXT(data[[#This Row],[Order Date]],"YYYY")</f>
        <v>2015</v>
      </c>
      <c r="D174" s="2">
        <v>42040</v>
      </c>
      <c r="E174" s="2" t="s">
        <v>87</v>
      </c>
      <c r="F174" s="2" t="s">
        <v>838</v>
      </c>
      <c r="G174" s="2" t="s">
        <v>839</v>
      </c>
      <c r="H174" s="2" t="s">
        <v>24</v>
      </c>
      <c r="I174" s="2" t="s">
        <v>25</v>
      </c>
      <c r="J174" s="2" t="s">
        <v>840</v>
      </c>
      <c r="K174" s="2" t="s">
        <v>841</v>
      </c>
      <c r="L174" s="2" t="s">
        <v>93</v>
      </c>
      <c r="M174" s="2" t="s">
        <v>485</v>
      </c>
      <c r="N174" s="2" t="s">
        <v>30</v>
      </c>
      <c r="O174" s="2" t="s">
        <v>56</v>
      </c>
      <c r="P174" s="2" t="s">
        <v>486</v>
      </c>
      <c r="Q174" s="2">
        <v>28.4</v>
      </c>
      <c r="R174" s="2">
        <v>2</v>
      </c>
      <c r="S174" s="2">
        <v>11.076000000000001</v>
      </c>
      <c r="T174" s="2" t="s">
        <v>70</v>
      </c>
      <c r="U174" s="2" t="s">
        <v>297</v>
      </c>
    </row>
    <row r="175" spans="1:21" ht="14.25" customHeight="1" x14ac:dyDescent="0.3">
      <c r="A175" s="2" t="s">
        <v>842</v>
      </c>
      <c r="B175" s="5">
        <v>41925</v>
      </c>
      <c r="C175" s="2" t="str">
        <f>TEXT(data[[#This Row],[Order Date]],"YYYY")</f>
        <v>2014</v>
      </c>
      <c r="D175" s="2">
        <v>41927</v>
      </c>
      <c r="E175" s="2" t="s">
        <v>87</v>
      </c>
      <c r="F175" s="2" t="s">
        <v>843</v>
      </c>
      <c r="G175" s="2" t="s">
        <v>844</v>
      </c>
      <c r="H175" s="2" t="s">
        <v>24</v>
      </c>
      <c r="I175" s="2" t="s">
        <v>25</v>
      </c>
      <c r="J175" s="2" t="s">
        <v>845</v>
      </c>
      <c r="K175" s="2" t="s">
        <v>192</v>
      </c>
      <c r="L175" s="2" t="s">
        <v>54</v>
      </c>
      <c r="M175" s="2" t="s">
        <v>342</v>
      </c>
      <c r="N175" s="2" t="s">
        <v>30</v>
      </c>
      <c r="O175" s="2" t="s">
        <v>45</v>
      </c>
      <c r="P175" s="2" t="s">
        <v>343</v>
      </c>
      <c r="Q175" s="2">
        <v>1298.55</v>
      </c>
      <c r="R175" s="2">
        <v>5</v>
      </c>
      <c r="S175" s="2">
        <v>311.65199999999999</v>
      </c>
      <c r="T175" s="2" t="s">
        <v>70</v>
      </c>
      <c r="U175" s="2" t="s">
        <v>48</v>
      </c>
    </row>
    <row r="176" spans="1:21" ht="14.25" customHeight="1" x14ac:dyDescent="0.3">
      <c r="A176" s="2" t="s">
        <v>846</v>
      </c>
      <c r="B176" s="5">
        <v>42869</v>
      </c>
      <c r="C176" s="2" t="str">
        <f>TEXT(data[[#This Row],[Order Date]],"YYYY")</f>
        <v>2017</v>
      </c>
      <c r="D176" s="2">
        <v>42869</v>
      </c>
      <c r="E176" s="2" t="s">
        <v>425</v>
      </c>
      <c r="F176" s="2" t="s">
        <v>847</v>
      </c>
      <c r="G176" s="2" t="s">
        <v>848</v>
      </c>
      <c r="H176" s="2" t="s">
        <v>24</v>
      </c>
      <c r="I176" s="2" t="s">
        <v>25</v>
      </c>
      <c r="J176" s="2" t="s">
        <v>849</v>
      </c>
      <c r="K176" s="2" t="s">
        <v>53</v>
      </c>
      <c r="L176" s="2" t="s">
        <v>54</v>
      </c>
      <c r="M176" s="2" t="s">
        <v>835</v>
      </c>
      <c r="N176" s="2" t="s">
        <v>30</v>
      </c>
      <c r="O176" s="2" t="s">
        <v>56</v>
      </c>
      <c r="P176" s="2" t="s">
        <v>836</v>
      </c>
      <c r="Q176" s="2">
        <v>18.28</v>
      </c>
      <c r="R176" s="2">
        <v>2</v>
      </c>
      <c r="S176" s="2">
        <v>6.2152000000000003</v>
      </c>
      <c r="T176" s="2" t="s">
        <v>430</v>
      </c>
      <c r="U176" s="2" t="s">
        <v>161</v>
      </c>
    </row>
    <row r="177" spans="1:21" ht="14.25" customHeight="1" x14ac:dyDescent="0.3">
      <c r="A177" s="2" t="s">
        <v>850</v>
      </c>
      <c r="B177" s="5">
        <v>41818</v>
      </c>
      <c r="C177" s="2" t="str">
        <f>TEXT(data[[#This Row],[Order Date]],"YYYY")</f>
        <v>2014</v>
      </c>
      <c r="D177" s="2">
        <v>41822</v>
      </c>
      <c r="E177" s="2" t="s">
        <v>39</v>
      </c>
      <c r="F177" s="2" t="s">
        <v>618</v>
      </c>
      <c r="G177" s="2" t="s">
        <v>619</v>
      </c>
      <c r="H177" s="2" t="s">
        <v>24</v>
      </c>
      <c r="I177" s="2" t="s">
        <v>25</v>
      </c>
      <c r="J177" s="2" t="s">
        <v>65</v>
      </c>
      <c r="K177" s="2" t="s">
        <v>66</v>
      </c>
      <c r="L177" s="2" t="s">
        <v>67</v>
      </c>
      <c r="M177" s="2" t="s">
        <v>851</v>
      </c>
      <c r="N177" s="2" t="s">
        <v>30</v>
      </c>
      <c r="O177" s="2" t="s">
        <v>36</v>
      </c>
      <c r="P177" s="2" t="s">
        <v>852</v>
      </c>
      <c r="Q177" s="2">
        <v>1228.4649999999999</v>
      </c>
      <c r="R177" s="2">
        <v>5</v>
      </c>
      <c r="S177" s="2">
        <v>0</v>
      </c>
      <c r="T177" s="2" t="s">
        <v>83</v>
      </c>
      <c r="U177" s="2" t="s">
        <v>59</v>
      </c>
    </row>
    <row r="178" spans="1:21" ht="14.25" customHeight="1" x14ac:dyDescent="0.3">
      <c r="A178" s="2" t="s">
        <v>853</v>
      </c>
      <c r="B178" s="5">
        <v>42902</v>
      </c>
      <c r="C178" s="2" t="str">
        <f>TEXT(data[[#This Row],[Order Date]],"YYYY")</f>
        <v>2017</v>
      </c>
      <c r="D178" s="2">
        <v>42907</v>
      </c>
      <c r="E178" s="2" t="s">
        <v>21</v>
      </c>
      <c r="F178" s="2" t="s">
        <v>138</v>
      </c>
      <c r="G178" s="2" t="s">
        <v>139</v>
      </c>
      <c r="H178" s="2" t="s">
        <v>24</v>
      </c>
      <c r="I178" s="2" t="s">
        <v>25</v>
      </c>
      <c r="J178" s="2" t="s">
        <v>854</v>
      </c>
      <c r="K178" s="2" t="s">
        <v>27</v>
      </c>
      <c r="L178" s="2" t="s">
        <v>28</v>
      </c>
      <c r="M178" s="2" t="s">
        <v>855</v>
      </c>
      <c r="N178" s="2" t="s">
        <v>30</v>
      </c>
      <c r="O178" s="2" t="s">
        <v>36</v>
      </c>
      <c r="P178" s="2" t="s">
        <v>856</v>
      </c>
      <c r="Q178" s="2">
        <v>301.95999999999998</v>
      </c>
      <c r="R178" s="2">
        <v>2</v>
      </c>
      <c r="S178" s="2">
        <v>90.587999999999994</v>
      </c>
      <c r="T178" s="2" t="s">
        <v>58</v>
      </c>
      <c r="U178" s="2" t="s">
        <v>59</v>
      </c>
    </row>
    <row r="179" spans="1:21" ht="14.25" customHeight="1" x14ac:dyDescent="0.3">
      <c r="A179" s="2" t="s">
        <v>857</v>
      </c>
      <c r="B179" s="5">
        <v>42328</v>
      </c>
      <c r="C179" s="2" t="str">
        <f>TEXT(data[[#This Row],[Order Date]],"YYYY")</f>
        <v>2015</v>
      </c>
      <c r="D179" s="2">
        <v>42333</v>
      </c>
      <c r="E179" s="2" t="s">
        <v>39</v>
      </c>
      <c r="F179" s="2" t="s">
        <v>858</v>
      </c>
      <c r="G179" s="2" t="s">
        <v>859</v>
      </c>
      <c r="H179" s="2" t="s">
        <v>90</v>
      </c>
      <c r="I179" s="2" t="s">
        <v>25</v>
      </c>
      <c r="J179" s="2" t="s">
        <v>173</v>
      </c>
      <c r="K179" s="2" t="s">
        <v>120</v>
      </c>
      <c r="L179" s="2" t="s">
        <v>67</v>
      </c>
      <c r="M179" s="2" t="s">
        <v>860</v>
      </c>
      <c r="N179" s="2" t="s">
        <v>30</v>
      </c>
      <c r="O179" s="2" t="s">
        <v>31</v>
      </c>
      <c r="P179" s="2" t="s">
        <v>861</v>
      </c>
      <c r="Q179" s="2">
        <v>186.048</v>
      </c>
      <c r="R179" s="2">
        <v>4</v>
      </c>
      <c r="S179" s="2">
        <v>9.3024000000000004</v>
      </c>
      <c r="T179" s="2" t="s">
        <v>58</v>
      </c>
      <c r="U179" s="2" t="s">
        <v>34</v>
      </c>
    </row>
    <row r="180" spans="1:21" ht="14.25" customHeight="1" x14ac:dyDescent="0.3">
      <c r="A180" s="2" t="s">
        <v>862</v>
      </c>
      <c r="B180" s="5">
        <v>42290</v>
      </c>
      <c r="C180" s="2" t="str">
        <f>TEXT(data[[#This Row],[Order Date]],"YYYY")</f>
        <v>2015</v>
      </c>
      <c r="D180" s="2">
        <v>42294</v>
      </c>
      <c r="E180" s="2" t="s">
        <v>39</v>
      </c>
      <c r="F180" s="2" t="s">
        <v>863</v>
      </c>
      <c r="G180" s="2" t="s">
        <v>864</v>
      </c>
      <c r="H180" s="2" t="s">
        <v>24</v>
      </c>
      <c r="I180" s="2" t="s">
        <v>25</v>
      </c>
      <c r="J180" s="2" t="s">
        <v>865</v>
      </c>
      <c r="K180" s="2" t="s">
        <v>27</v>
      </c>
      <c r="L180" s="2" t="s">
        <v>28</v>
      </c>
      <c r="M180" s="2" t="s">
        <v>356</v>
      </c>
      <c r="N180" s="2" t="s">
        <v>30</v>
      </c>
      <c r="O180" s="2" t="s">
        <v>36</v>
      </c>
      <c r="P180" s="2" t="s">
        <v>357</v>
      </c>
      <c r="Q180" s="2">
        <v>287.94</v>
      </c>
      <c r="R180" s="2">
        <v>3</v>
      </c>
      <c r="S180" s="2">
        <v>77.743799999999993</v>
      </c>
      <c r="T180" s="2" t="s">
        <v>83</v>
      </c>
      <c r="U180" s="2" t="s">
        <v>48</v>
      </c>
    </row>
    <row r="181" spans="1:21" ht="14.25" customHeight="1" x14ac:dyDescent="0.3">
      <c r="A181" s="2" t="s">
        <v>866</v>
      </c>
      <c r="B181" s="5">
        <v>42736</v>
      </c>
      <c r="C181" s="2" t="str">
        <f>TEXT(data[[#This Row],[Order Date]],"YYYY")</f>
        <v>2017</v>
      </c>
      <c r="D181" s="2">
        <v>42741</v>
      </c>
      <c r="E181" s="2" t="s">
        <v>39</v>
      </c>
      <c r="F181" s="2" t="s">
        <v>867</v>
      </c>
      <c r="G181" s="2" t="s">
        <v>868</v>
      </c>
      <c r="H181" s="2" t="s">
        <v>24</v>
      </c>
      <c r="I181" s="2" t="s">
        <v>25</v>
      </c>
      <c r="J181" s="2" t="s">
        <v>869</v>
      </c>
      <c r="K181" s="2" t="s">
        <v>231</v>
      </c>
      <c r="L181" s="2" t="s">
        <v>67</v>
      </c>
      <c r="M181" s="2" t="s">
        <v>870</v>
      </c>
      <c r="N181" s="2" t="s">
        <v>30</v>
      </c>
      <c r="O181" s="2" t="s">
        <v>56</v>
      </c>
      <c r="P181" s="2" t="s">
        <v>871</v>
      </c>
      <c r="Q181" s="2">
        <v>48.896000000000001</v>
      </c>
      <c r="R181" s="2">
        <v>4</v>
      </c>
      <c r="S181" s="2">
        <v>8.5568000000000008</v>
      </c>
      <c r="T181" s="2" t="s">
        <v>58</v>
      </c>
      <c r="U181" s="2" t="s">
        <v>169</v>
      </c>
    </row>
    <row r="182" spans="1:21" ht="14.25" customHeight="1" x14ac:dyDescent="0.3">
      <c r="A182" s="2" t="s">
        <v>872</v>
      </c>
      <c r="B182" s="5">
        <v>42419</v>
      </c>
      <c r="C182" s="2" t="str">
        <f>TEXT(data[[#This Row],[Order Date]],"YYYY")</f>
        <v>2016</v>
      </c>
      <c r="D182" s="2">
        <v>42424</v>
      </c>
      <c r="E182" s="2" t="s">
        <v>39</v>
      </c>
      <c r="F182" s="2" t="s">
        <v>873</v>
      </c>
      <c r="G182" s="2" t="s">
        <v>874</v>
      </c>
      <c r="H182" s="2" t="s">
        <v>24</v>
      </c>
      <c r="I182" s="2" t="s">
        <v>25</v>
      </c>
      <c r="J182" s="2" t="s">
        <v>173</v>
      </c>
      <c r="K182" s="2" t="s">
        <v>120</v>
      </c>
      <c r="L182" s="2" t="s">
        <v>67</v>
      </c>
      <c r="M182" s="2" t="s">
        <v>830</v>
      </c>
      <c r="N182" s="2" t="s">
        <v>30</v>
      </c>
      <c r="O182" s="2" t="s">
        <v>56</v>
      </c>
      <c r="P182" s="2" t="s">
        <v>831</v>
      </c>
      <c r="Q182" s="2">
        <v>44.46</v>
      </c>
      <c r="R182" s="2">
        <v>2</v>
      </c>
      <c r="S182" s="2">
        <v>14.671799999999999</v>
      </c>
      <c r="T182" s="2" t="s">
        <v>58</v>
      </c>
      <c r="U182" s="2" t="s">
        <v>297</v>
      </c>
    </row>
    <row r="183" spans="1:21" ht="14.25" customHeight="1" x14ac:dyDescent="0.3">
      <c r="A183" s="2" t="s">
        <v>875</v>
      </c>
      <c r="B183" s="5">
        <v>41649</v>
      </c>
      <c r="C183" s="2" t="str">
        <f>TEXT(data[[#This Row],[Order Date]],"YYYY")</f>
        <v>2014</v>
      </c>
      <c r="D183" s="2">
        <v>41654</v>
      </c>
      <c r="E183" s="2" t="s">
        <v>39</v>
      </c>
      <c r="F183" s="2" t="s">
        <v>876</v>
      </c>
      <c r="G183" s="2" t="s">
        <v>877</v>
      </c>
      <c r="H183" s="2" t="s">
        <v>90</v>
      </c>
      <c r="I183" s="2" t="s">
        <v>25</v>
      </c>
      <c r="J183" s="2" t="s">
        <v>878</v>
      </c>
      <c r="K183" s="2" t="s">
        <v>716</v>
      </c>
      <c r="L183" s="2" t="s">
        <v>28</v>
      </c>
      <c r="M183" s="2" t="s">
        <v>879</v>
      </c>
      <c r="N183" s="2" t="s">
        <v>30</v>
      </c>
      <c r="O183" s="2" t="s">
        <v>56</v>
      </c>
      <c r="P183" s="2" t="s">
        <v>880</v>
      </c>
      <c r="Q183" s="2">
        <v>51.94</v>
      </c>
      <c r="R183" s="2">
        <v>1</v>
      </c>
      <c r="S183" s="2">
        <v>21.295400000000001</v>
      </c>
      <c r="T183" s="2" t="s">
        <v>58</v>
      </c>
      <c r="U183" s="2" t="s">
        <v>169</v>
      </c>
    </row>
    <row r="184" spans="1:21" ht="14.25" customHeight="1" x14ac:dyDescent="0.3">
      <c r="A184" s="2" t="s">
        <v>881</v>
      </c>
      <c r="B184" s="5">
        <v>42386</v>
      </c>
      <c r="C184" s="2" t="str">
        <f>TEXT(data[[#This Row],[Order Date]],"YYYY")</f>
        <v>2016</v>
      </c>
      <c r="D184" s="2">
        <v>42390</v>
      </c>
      <c r="E184" s="2" t="s">
        <v>39</v>
      </c>
      <c r="F184" s="2" t="s">
        <v>882</v>
      </c>
      <c r="G184" s="2" t="s">
        <v>883</v>
      </c>
      <c r="H184" s="2" t="s">
        <v>100</v>
      </c>
      <c r="I184" s="2" t="s">
        <v>25</v>
      </c>
      <c r="J184" s="2" t="s">
        <v>509</v>
      </c>
      <c r="K184" s="2" t="s">
        <v>884</v>
      </c>
      <c r="L184" s="2" t="s">
        <v>67</v>
      </c>
      <c r="M184" s="2" t="s">
        <v>308</v>
      </c>
      <c r="N184" s="2" t="s">
        <v>30</v>
      </c>
      <c r="O184" s="2" t="s">
        <v>56</v>
      </c>
      <c r="P184" s="2" t="s">
        <v>309</v>
      </c>
      <c r="Q184" s="2">
        <v>322.58999999999997</v>
      </c>
      <c r="R184" s="2">
        <v>3</v>
      </c>
      <c r="S184" s="2">
        <v>64.518000000000001</v>
      </c>
      <c r="T184" s="2" t="s">
        <v>83</v>
      </c>
      <c r="U184" s="2" t="s">
        <v>169</v>
      </c>
    </row>
    <row r="185" spans="1:21" ht="14.25" customHeight="1" x14ac:dyDescent="0.3">
      <c r="A185" s="2" t="s">
        <v>885</v>
      </c>
      <c r="B185" s="5">
        <v>43069</v>
      </c>
      <c r="C185" s="2" t="str">
        <f>TEXT(data[[#This Row],[Order Date]],"YYYY")</f>
        <v>2017</v>
      </c>
      <c r="D185" s="2">
        <v>43071</v>
      </c>
      <c r="E185" s="2" t="s">
        <v>21</v>
      </c>
      <c r="F185" s="2" t="s">
        <v>886</v>
      </c>
      <c r="G185" s="2" t="s">
        <v>887</v>
      </c>
      <c r="H185" s="2" t="s">
        <v>100</v>
      </c>
      <c r="I185" s="2" t="s">
        <v>25</v>
      </c>
      <c r="J185" s="2" t="s">
        <v>173</v>
      </c>
      <c r="K185" s="2" t="s">
        <v>120</v>
      </c>
      <c r="L185" s="2" t="s">
        <v>67</v>
      </c>
      <c r="M185" s="2" t="s">
        <v>246</v>
      </c>
      <c r="N185" s="2" t="s">
        <v>30</v>
      </c>
      <c r="O185" s="2" t="s">
        <v>36</v>
      </c>
      <c r="P185" s="2" t="s">
        <v>247</v>
      </c>
      <c r="Q185" s="2">
        <v>1242.9000000000001</v>
      </c>
      <c r="R185" s="2">
        <v>5</v>
      </c>
      <c r="S185" s="2">
        <v>262.39</v>
      </c>
      <c r="T185" s="2" t="s">
        <v>70</v>
      </c>
      <c r="U185" s="2" t="s">
        <v>34</v>
      </c>
    </row>
    <row r="186" spans="1:21" ht="14.25" customHeight="1" x14ac:dyDescent="0.3">
      <c r="A186" s="2" t="s">
        <v>888</v>
      </c>
      <c r="B186" s="5">
        <v>42665</v>
      </c>
      <c r="C186" s="2" t="str">
        <f>TEXT(data[[#This Row],[Order Date]],"YYYY")</f>
        <v>2016</v>
      </c>
      <c r="D186" s="2">
        <v>42667</v>
      </c>
      <c r="E186" s="2" t="s">
        <v>87</v>
      </c>
      <c r="F186" s="2" t="s">
        <v>889</v>
      </c>
      <c r="G186" s="2" t="s">
        <v>890</v>
      </c>
      <c r="H186" s="2" t="s">
        <v>100</v>
      </c>
      <c r="I186" s="2" t="s">
        <v>25</v>
      </c>
      <c r="J186" s="2" t="s">
        <v>288</v>
      </c>
      <c r="K186" s="2" t="s">
        <v>289</v>
      </c>
      <c r="L186" s="2" t="s">
        <v>93</v>
      </c>
      <c r="M186" s="2" t="s">
        <v>677</v>
      </c>
      <c r="N186" s="2" t="s">
        <v>30</v>
      </c>
      <c r="O186" s="2" t="s">
        <v>56</v>
      </c>
      <c r="P186" s="2" t="s">
        <v>678</v>
      </c>
      <c r="Q186" s="2">
        <v>31.4</v>
      </c>
      <c r="R186" s="2">
        <v>5</v>
      </c>
      <c r="S186" s="2">
        <v>10.048</v>
      </c>
      <c r="T186" s="2" t="s">
        <v>70</v>
      </c>
      <c r="U186" s="2" t="s">
        <v>48</v>
      </c>
    </row>
    <row r="187" spans="1:21" ht="14.25" customHeight="1" x14ac:dyDescent="0.3">
      <c r="A187" s="2" t="s">
        <v>891</v>
      </c>
      <c r="B187" s="5">
        <v>41758</v>
      </c>
      <c r="C187" s="2" t="str">
        <f>TEXT(data[[#This Row],[Order Date]],"YYYY")</f>
        <v>2014</v>
      </c>
      <c r="D187" s="2">
        <v>41763</v>
      </c>
      <c r="E187" s="2" t="s">
        <v>39</v>
      </c>
      <c r="F187" s="2" t="s">
        <v>892</v>
      </c>
      <c r="G187" s="2" t="s">
        <v>893</v>
      </c>
      <c r="H187" s="2" t="s">
        <v>24</v>
      </c>
      <c r="I187" s="2" t="s">
        <v>25</v>
      </c>
      <c r="J187" s="2" t="s">
        <v>894</v>
      </c>
      <c r="K187" s="2" t="s">
        <v>120</v>
      </c>
      <c r="L187" s="2" t="s">
        <v>67</v>
      </c>
      <c r="M187" s="2" t="s">
        <v>895</v>
      </c>
      <c r="N187" s="2" t="s">
        <v>30</v>
      </c>
      <c r="O187" s="2" t="s">
        <v>56</v>
      </c>
      <c r="P187" s="2" t="s">
        <v>896</v>
      </c>
      <c r="Q187" s="2">
        <v>17.46</v>
      </c>
      <c r="R187" s="2">
        <v>2</v>
      </c>
      <c r="S187" s="2">
        <v>5.9363999999999999</v>
      </c>
      <c r="T187" s="2" t="s">
        <v>58</v>
      </c>
      <c r="U187" s="2" t="s">
        <v>113</v>
      </c>
    </row>
    <row r="188" spans="1:21" ht="14.25" customHeight="1" x14ac:dyDescent="0.3">
      <c r="A188" s="2" t="s">
        <v>897</v>
      </c>
      <c r="B188" s="5">
        <v>43099</v>
      </c>
      <c r="C188" s="2" t="str">
        <f>TEXT(data[[#This Row],[Order Date]],"YYYY")</f>
        <v>2017</v>
      </c>
      <c r="D188" s="2">
        <v>43103</v>
      </c>
      <c r="E188" s="2" t="s">
        <v>39</v>
      </c>
      <c r="F188" s="2" t="s">
        <v>155</v>
      </c>
      <c r="G188" s="2" t="s">
        <v>156</v>
      </c>
      <c r="H188" s="2" t="s">
        <v>24</v>
      </c>
      <c r="I188" s="2" t="s">
        <v>25</v>
      </c>
      <c r="J188" s="2" t="s">
        <v>173</v>
      </c>
      <c r="K188" s="2" t="s">
        <v>120</v>
      </c>
      <c r="L188" s="2" t="s">
        <v>67</v>
      </c>
      <c r="M188" s="2" t="s">
        <v>898</v>
      </c>
      <c r="N188" s="2" t="s">
        <v>30</v>
      </c>
      <c r="O188" s="2" t="s">
        <v>31</v>
      </c>
      <c r="P188" s="2" t="s">
        <v>899</v>
      </c>
      <c r="Q188" s="2">
        <v>323.13600000000002</v>
      </c>
      <c r="R188" s="2">
        <v>4</v>
      </c>
      <c r="S188" s="2">
        <v>12.117599999999999</v>
      </c>
      <c r="T188" s="2" t="s">
        <v>83</v>
      </c>
      <c r="U188" s="2" t="s">
        <v>96</v>
      </c>
    </row>
    <row r="189" spans="1:21" ht="14.25" customHeight="1" x14ac:dyDescent="0.3">
      <c r="A189" s="2" t="s">
        <v>900</v>
      </c>
      <c r="B189" s="5">
        <v>42155</v>
      </c>
      <c r="C189" s="2" t="str">
        <f>TEXT(data[[#This Row],[Order Date]],"YYYY")</f>
        <v>2015</v>
      </c>
      <c r="D189" s="2">
        <v>42162</v>
      </c>
      <c r="E189" s="2" t="s">
        <v>39</v>
      </c>
      <c r="F189" s="2" t="s">
        <v>901</v>
      </c>
      <c r="G189" s="2" t="s">
        <v>902</v>
      </c>
      <c r="H189" s="2" t="s">
        <v>100</v>
      </c>
      <c r="I189" s="2" t="s">
        <v>25</v>
      </c>
      <c r="J189" s="2" t="s">
        <v>903</v>
      </c>
      <c r="K189" s="2" t="s">
        <v>429</v>
      </c>
      <c r="L189" s="2" t="s">
        <v>67</v>
      </c>
      <c r="M189" s="2" t="s">
        <v>446</v>
      </c>
      <c r="N189" s="2" t="s">
        <v>30</v>
      </c>
      <c r="O189" s="2" t="s">
        <v>56</v>
      </c>
      <c r="P189" s="2" t="s">
        <v>447</v>
      </c>
      <c r="Q189" s="2">
        <v>22.2</v>
      </c>
      <c r="R189" s="2">
        <v>6</v>
      </c>
      <c r="S189" s="2">
        <v>9.1020000000000003</v>
      </c>
      <c r="T189" s="2" t="s">
        <v>47</v>
      </c>
      <c r="U189" s="2" t="s">
        <v>161</v>
      </c>
    </row>
    <row r="190" spans="1:21" ht="14.25" customHeight="1" x14ac:dyDescent="0.3">
      <c r="A190" s="2" t="s">
        <v>904</v>
      </c>
      <c r="B190" s="5">
        <v>43066</v>
      </c>
      <c r="C190" s="2" t="str">
        <f>TEXT(data[[#This Row],[Order Date]],"YYYY")</f>
        <v>2017</v>
      </c>
      <c r="D190" s="2">
        <v>43068</v>
      </c>
      <c r="E190" s="2" t="s">
        <v>87</v>
      </c>
      <c r="F190" s="2" t="s">
        <v>858</v>
      </c>
      <c r="G190" s="2" t="s">
        <v>859</v>
      </c>
      <c r="H190" s="2" t="s">
        <v>90</v>
      </c>
      <c r="I190" s="2" t="s">
        <v>25</v>
      </c>
      <c r="J190" s="2" t="s">
        <v>905</v>
      </c>
      <c r="K190" s="2" t="s">
        <v>238</v>
      </c>
      <c r="L190" s="2" t="s">
        <v>93</v>
      </c>
      <c r="M190" s="2" t="s">
        <v>354</v>
      </c>
      <c r="N190" s="2" t="s">
        <v>30</v>
      </c>
      <c r="O190" s="2" t="s">
        <v>56</v>
      </c>
      <c r="P190" s="2" t="s">
        <v>355</v>
      </c>
      <c r="Q190" s="2">
        <v>46.94</v>
      </c>
      <c r="R190" s="2">
        <v>1</v>
      </c>
      <c r="S190" s="2">
        <v>19.2454</v>
      </c>
      <c r="T190" s="2" t="s">
        <v>70</v>
      </c>
      <c r="U190" s="2" t="s">
        <v>34</v>
      </c>
    </row>
    <row r="191" spans="1:21" ht="14.25" customHeight="1" x14ac:dyDescent="0.3">
      <c r="A191" s="2" t="s">
        <v>906</v>
      </c>
      <c r="B191" s="5">
        <v>41805</v>
      </c>
      <c r="C191" s="2" t="str">
        <f>TEXT(data[[#This Row],[Order Date]],"YYYY")</f>
        <v>2014</v>
      </c>
      <c r="D191" s="2">
        <v>41811</v>
      </c>
      <c r="E191" s="2" t="s">
        <v>39</v>
      </c>
      <c r="F191" s="2" t="s">
        <v>351</v>
      </c>
      <c r="G191" s="2" t="s">
        <v>352</v>
      </c>
      <c r="H191" s="2" t="s">
        <v>90</v>
      </c>
      <c r="I191" s="2" t="s">
        <v>25</v>
      </c>
      <c r="J191" s="2" t="s">
        <v>245</v>
      </c>
      <c r="K191" s="2" t="s">
        <v>92</v>
      </c>
      <c r="L191" s="2" t="s">
        <v>93</v>
      </c>
      <c r="M191" s="2" t="s">
        <v>907</v>
      </c>
      <c r="N191" s="2" t="s">
        <v>30</v>
      </c>
      <c r="O191" s="2" t="s">
        <v>45</v>
      </c>
      <c r="P191" s="2" t="s">
        <v>908</v>
      </c>
      <c r="Q191" s="2">
        <v>99.918000000000006</v>
      </c>
      <c r="R191" s="2">
        <v>2</v>
      </c>
      <c r="S191" s="2">
        <v>-18.5562</v>
      </c>
      <c r="T191" s="2" t="s">
        <v>129</v>
      </c>
      <c r="U191" s="2" t="s">
        <v>59</v>
      </c>
    </row>
    <row r="192" spans="1:21" ht="14.25" customHeight="1" x14ac:dyDescent="0.3">
      <c r="A192" s="2" t="s">
        <v>906</v>
      </c>
      <c r="B192" s="5">
        <v>41805</v>
      </c>
      <c r="C192" s="2" t="str">
        <f>TEXT(data[[#This Row],[Order Date]],"YYYY")</f>
        <v>2014</v>
      </c>
      <c r="D192" s="2">
        <v>41811</v>
      </c>
      <c r="E192" s="2" t="s">
        <v>39</v>
      </c>
      <c r="F192" s="2" t="s">
        <v>351</v>
      </c>
      <c r="G192" s="2" t="s">
        <v>352</v>
      </c>
      <c r="H192" s="2" t="s">
        <v>90</v>
      </c>
      <c r="I192" s="2" t="s">
        <v>25</v>
      </c>
      <c r="J192" s="2" t="s">
        <v>245</v>
      </c>
      <c r="K192" s="2" t="s">
        <v>92</v>
      </c>
      <c r="L192" s="2" t="s">
        <v>93</v>
      </c>
      <c r="M192" s="2" t="s">
        <v>575</v>
      </c>
      <c r="N192" s="2" t="s">
        <v>30</v>
      </c>
      <c r="O192" s="2" t="s">
        <v>36</v>
      </c>
      <c r="P192" s="2" t="s">
        <v>576</v>
      </c>
      <c r="Q192" s="2">
        <v>797.94399999999996</v>
      </c>
      <c r="R192" s="2">
        <v>4</v>
      </c>
      <c r="S192" s="2">
        <v>-56.996000000000002</v>
      </c>
      <c r="T192" s="2" t="s">
        <v>129</v>
      </c>
      <c r="U192" s="2" t="s">
        <v>59</v>
      </c>
    </row>
    <row r="193" spans="1:21" ht="14.25" customHeight="1" x14ac:dyDescent="0.3">
      <c r="A193" s="2" t="s">
        <v>909</v>
      </c>
      <c r="B193" s="5">
        <v>42717</v>
      </c>
      <c r="C193" s="2" t="str">
        <f>TEXT(data[[#This Row],[Order Date]],"YYYY")</f>
        <v>2016</v>
      </c>
      <c r="D193" s="2">
        <v>42724</v>
      </c>
      <c r="E193" s="2" t="s">
        <v>39</v>
      </c>
      <c r="F193" s="2" t="s">
        <v>910</v>
      </c>
      <c r="G193" s="2" t="s">
        <v>911</v>
      </c>
      <c r="H193" s="2" t="s">
        <v>90</v>
      </c>
      <c r="I193" s="2" t="s">
        <v>25</v>
      </c>
      <c r="J193" s="2" t="s">
        <v>912</v>
      </c>
      <c r="K193" s="2" t="s">
        <v>53</v>
      </c>
      <c r="L193" s="2" t="s">
        <v>54</v>
      </c>
      <c r="M193" s="2" t="s">
        <v>44</v>
      </c>
      <c r="N193" s="2" t="s">
        <v>30</v>
      </c>
      <c r="O193" s="2" t="s">
        <v>45</v>
      </c>
      <c r="P193" s="2" t="s">
        <v>46</v>
      </c>
      <c r="Q193" s="2">
        <v>1114.2719999999999</v>
      </c>
      <c r="R193" s="2">
        <v>4</v>
      </c>
      <c r="S193" s="2">
        <v>41.785200000000003</v>
      </c>
      <c r="T193" s="2" t="s">
        <v>47</v>
      </c>
      <c r="U193" s="2" t="s">
        <v>96</v>
      </c>
    </row>
    <row r="194" spans="1:21" ht="14.25" customHeight="1" x14ac:dyDescent="0.3">
      <c r="A194" s="2" t="s">
        <v>913</v>
      </c>
      <c r="B194" s="5">
        <v>42211</v>
      </c>
      <c r="C194" s="2" t="str">
        <f>TEXT(data[[#This Row],[Order Date]],"YYYY")</f>
        <v>2015</v>
      </c>
      <c r="D194" s="2">
        <v>42213</v>
      </c>
      <c r="E194" s="2" t="s">
        <v>87</v>
      </c>
      <c r="F194" s="2" t="s">
        <v>618</v>
      </c>
      <c r="G194" s="2" t="s">
        <v>619</v>
      </c>
      <c r="H194" s="2" t="s">
        <v>24</v>
      </c>
      <c r="I194" s="2" t="s">
        <v>25</v>
      </c>
      <c r="J194" s="2" t="s">
        <v>914</v>
      </c>
      <c r="K194" s="2" t="s">
        <v>520</v>
      </c>
      <c r="L194" s="2" t="s">
        <v>54</v>
      </c>
      <c r="M194" s="2" t="s">
        <v>915</v>
      </c>
      <c r="N194" s="2" t="s">
        <v>30</v>
      </c>
      <c r="O194" s="2" t="s">
        <v>45</v>
      </c>
      <c r="P194" s="2" t="s">
        <v>916</v>
      </c>
      <c r="Q194" s="2">
        <v>393.16500000000002</v>
      </c>
      <c r="R194" s="2">
        <v>3</v>
      </c>
      <c r="S194" s="2">
        <v>-204.44579999999999</v>
      </c>
      <c r="T194" s="2" t="s">
        <v>70</v>
      </c>
      <c r="U194" s="2" t="s">
        <v>71</v>
      </c>
    </row>
    <row r="195" spans="1:21" ht="14.25" customHeight="1" x14ac:dyDescent="0.3">
      <c r="A195" s="2" t="s">
        <v>917</v>
      </c>
      <c r="B195" s="5">
        <v>43067</v>
      </c>
      <c r="C195" s="2" t="str">
        <f>TEXT(data[[#This Row],[Order Date]],"YYYY")</f>
        <v>2017</v>
      </c>
      <c r="D195" s="2">
        <v>43071</v>
      </c>
      <c r="E195" s="2" t="s">
        <v>39</v>
      </c>
      <c r="F195" s="2" t="s">
        <v>918</v>
      </c>
      <c r="G195" s="2" t="s">
        <v>919</v>
      </c>
      <c r="H195" s="2" t="s">
        <v>100</v>
      </c>
      <c r="I195" s="2" t="s">
        <v>25</v>
      </c>
      <c r="J195" s="2" t="s">
        <v>65</v>
      </c>
      <c r="K195" s="2" t="s">
        <v>66</v>
      </c>
      <c r="L195" s="2" t="s">
        <v>67</v>
      </c>
      <c r="M195" s="2" t="s">
        <v>920</v>
      </c>
      <c r="N195" s="2" t="s">
        <v>30</v>
      </c>
      <c r="O195" s="2" t="s">
        <v>56</v>
      </c>
      <c r="P195" s="2" t="s">
        <v>921</v>
      </c>
      <c r="Q195" s="2">
        <v>516.48800000000006</v>
      </c>
      <c r="R195" s="2">
        <v>7</v>
      </c>
      <c r="S195" s="2">
        <v>-12.9122</v>
      </c>
      <c r="T195" s="2" t="s">
        <v>83</v>
      </c>
      <c r="U195" s="2" t="s">
        <v>34</v>
      </c>
    </row>
    <row r="196" spans="1:21" ht="14.25" customHeight="1" x14ac:dyDescent="0.3">
      <c r="A196" s="2" t="s">
        <v>917</v>
      </c>
      <c r="B196" s="5">
        <v>43067</v>
      </c>
      <c r="C196" s="2" t="str">
        <f>TEXT(data[[#This Row],[Order Date]],"YYYY")</f>
        <v>2017</v>
      </c>
      <c r="D196" s="2">
        <v>43071</v>
      </c>
      <c r="E196" s="2" t="s">
        <v>39</v>
      </c>
      <c r="F196" s="2" t="s">
        <v>918</v>
      </c>
      <c r="G196" s="2" t="s">
        <v>919</v>
      </c>
      <c r="H196" s="2" t="s">
        <v>100</v>
      </c>
      <c r="I196" s="2" t="s">
        <v>25</v>
      </c>
      <c r="J196" s="2" t="s">
        <v>65</v>
      </c>
      <c r="K196" s="2" t="s">
        <v>66</v>
      </c>
      <c r="L196" s="2" t="s">
        <v>67</v>
      </c>
      <c r="M196" s="2" t="s">
        <v>313</v>
      </c>
      <c r="N196" s="2" t="s">
        <v>30</v>
      </c>
      <c r="O196" s="2" t="s">
        <v>56</v>
      </c>
      <c r="P196" s="2" t="s">
        <v>314</v>
      </c>
      <c r="Q196" s="2">
        <v>1007.232</v>
      </c>
      <c r="R196" s="2">
        <v>6</v>
      </c>
      <c r="S196" s="2">
        <v>75.542400000000001</v>
      </c>
      <c r="T196" s="2" t="s">
        <v>83</v>
      </c>
      <c r="U196" s="2" t="s">
        <v>34</v>
      </c>
    </row>
    <row r="197" spans="1:21" ht="14.25" customHeight="1" x14ac:dyDescent="0.3">
      <c r="A197" s="2" t="s">
        <v>917</v>
      </c>
      <c r="B197" s="5">
        <v>43067</v>
      </c>
      <c r="C197" s="2" t="str">
        <f>TEXT(data[[#This Row],[Order Date]],"YYYY")</f>
        <v>2017</v>
      </c>
      <c r="D197" s="2">
        <v>43071</v>
      </c>
      <c r="E197" s="2" t="s">
        <v>39</v>
      </c>
      <c r="F197" s="2" t="s">
        <v>918</v>
      </c>
      <c r="G197" s="2" t="s">
        <v>919</v>
      </c>
      <c r="H197" s="2" t="s">
        <v>100</v>
      </c>
      <c r="I197" s="2" t="s">
        <v>25</v>
      </c>
      <c r="J197" s="2" t="s">
        <v>65</v>
      </c>
      <c r="K197" s="2" t="s">
        <v>66</v>
      </c>
      <c r="L197" s="2" t="s">
        <v>67</v>
      </c>
      <c r="M197" s="2" t="s">
        <v>922</v>
      </c>
      <c r="N197" s="2" t="s">
        <v>30</v>
      </c>
      <c r="O197" s="2" t="s">
        <v>45</v>
      </c>
      <c r="P197" s="2" t="s">
        <v>923</v>
      </c>
      <c r="Q197" s="2">
        <v>2065.3200000000002</v>
      </c>
      <c r="R197" s="2">
        <v>12</v>
      </c>
      <c r="S197" s="2">
        <v>-619.596</v>
      </c>
      <c r="T197" s="2" t="s">
        <v>83</v>
      </c>
      <c r="U197" s="2" t="s">
        <v>34</v>
      </c>
    </row>
    <row r="198" spans="1:21" ht="14.25" customHeight="1" x14ac:dyDescent="0.3">
      <c r="A198" s="2" t="s">
        <v>924</v>
      </c>
      <c r="B198" s="5">
        <v>42828</v>
      </c>
      <c r="C198" s="2" t="str">
        <f>TEXT(data[[#This Row],[Order Date]],"YYYY")</f>
        <v>2017</v>
      </c>
      <c r="D198" s="2">
        <v>42832</v>
      </c>
      <c r="E198" s="2" t="s">
        <v>39</v>
      </c>
      <c r="F198" s="2" t="s">
        <v>925</v>
      </c>
      <c r="G198" s="2" t="s">
        <v>926</v>
      </c>
      <c r="H198" s="2" t="s">
        <v>24</v>
      </c>
      <c r="I198" s="2" t="s">
        <v>25</v>
      </c>
      <c r="J198" s="2" t="s">
        <v>65</v>
      </c>
      <c r="K198" s="2" t="s">
        <v>66</v>
      </c>
      <c r="L198" s="2" t="s">
        <v>67</v>
      </c>
      <c r="M198" s="2" t="s">
        <v>927</v>
      </c>
      <c r="N198" s="2" t="s">
        <v>30</v>
      </c>
      <c r="O198" s="2" t="s">
        <v>56</v>
      </c>
      <c r="P198" s="2" t="s">
        <v>316</v>
      </c>
      <c r="Q198" s="2">
        <v>25.472000000000001</v>
      </c>
      <c r="R198" s="2">
        <v>4</v>
      </c>
      <c r="S198" s="2">
        <v>7.6416000000000004</v>
      </c>
      <c r="T198" s="2" t="s">
        <v>83</v>
      </c>
      <c r="U198" s="2" t="s">
        <v>113</v>
      </c>
    </row>
    <row r="199" spans="1:21" ht="14.25" customHeight="1" x14ac:dyDescent="0.3">
      <c r="A199" s="2" t="s">
        <v>928</v>
      </c>
      <c r="B199" s="5">
        <v>43097</v>
      </c>
      <c r="C199" s="2" t="str">
        <f>TEXT(data[[#This Row],[Order Date]],"YYYY")</f>
        <v>2017</v>
      </c>
      <c r="D199" s="2">
        <v>43101</v>
      </c>
      <c r="E199" s="2" t="s">
        <v>39</v>
      </c>
      <c r="F199" s="2" t="s">
        <v>929</v>
      </c>
      <c r="G199" s="2" t="s">
        <v>930</v>
      </c>
      <c r="H199" s="2" t="s">
        <v>24</v>
      </c>
      <c r="I199" s="2" t="s">
        <v>25</v>
      </c>
      <c r="J199" s="2" t="s">
        <v>931</v>
      </c>
      <c r="K199" s="2" t="s">
        <v>92</v>
      </c>
      <c r="L199" s="2" t="s">
        <v>93</v>
      </c>
      <c r="M199" s="2" t="s">
        <v>348</v>
      </c>
      <c r="N199" s="2" t="s">
        <v>30</v>
      </c>
      <c r="O199" s="2" t="s">
        <v>31</v>
      </c>
      <c r="P199" s="2" t="s">
        <v>349</v>
      </c>
      <c r="Q199" s="2">
        <v>78.852800000000002</v>
      </c>
      <c r="R199" s="2">
        <v>2</v>
      </c>
      <c r="S199" s="2">
        <v>-11.596</v>
      </c>
      <c r="T199" s="2" t="s">
        <v>83</v>
      </c>
      <c r="U199" s="2" t="s">
        <v>96</v>
      </c>
    </row>
    <row r="200" spans="1:21" ht="14.25" customHeight="1" x14ac:dyDescent="0.3">
      <c r="A200" s="2" t="s">
        <v>932</v>
      </c>
      <c r="B200" s="5">
        <v>42269</v>
      </c>
      <c r="C200" s="2" t="str">
        <f>TEXT(data[[#This Row],[Order Date]],"YYYY")</f>
        <v>2015</v>
      </c>
      <c r="D200" s="2">
        <v>42269</v>
      </c>
      <c r="E200" s="2" t="s">
        <v>425</v>
      </c>
      <c r="F200" s="2" t="s">
        <v>933</v>
      </c>
      <c r="G200" s="2" t="s">
        <v>934</v>
      </c>
      <c r="H200" s="2" t="s">
        <v>24</v>
      </c>
      <c r="I200" s="2" t="s">
        <v>25</v>
      </c>
      <c r="J200" s="2" t="s">
        <v>761</v>
      </c>
      <c r="K200" s="2" t="s">
        <v>53</v>
      </c>
      <c r="L200" s="2" t="s">
        <v>54</v>
      </c>
      <c r="M200" s="2" t="s">
        <v>935</v>
      </c>
      <c r="N200" s="2" t="s">
        <v>30</v>
      </c>
      <c r="O200" s="2" t="s">
        <v>56</v>
      </c>
      <c r="P200" s="2" t="s">
        <v>936</v>
      </c>
      <c r="Q200" s="2">
        <v>204.6</v>
      </c>
      <c r="R200" s="2">
        <v>2</v>
      </c>
      <c r="S200" s="2">
        <v>53.195999999999998</v>
      </c>
      <c r="T200" s="2" t="s">
        <v>430</v>
      </c>
      <c r="U200" s="2" t="s">
        <v>77</v>
      </c>
    </row>
    <row r="201" spans="1:21" ht="14.25" customHeight="1" x14ac:dyDescent="0.3">
      <c r="A201" s="2" t="s">
        <v>937</v>
      </c>
      <c r="B201" s="5">
        <v>43053</v>
      </c>
      <c r="C201" s="2" t="str">
        <f>TEXT(data[[#This Row],[Order Date]],"YYYY")</f>
        <v>2017</v>
      </c>
      <c r="D201" s="2">
        <v>43058</v>
      </c>
      <c r="E201" s="2" t="s">
        <v>39</v>
      </c>
      <c r="F201" s="2" t="s">
        <v>938</v>
      </c>
      <c r="G201" s="2" t="s">
        <v>939</v>
      </c>
      <c r="H201" s="2" t="s">
        <v>90</v>
      </c>
      <c r="I201" s="2" t="s">
        <v>25</v>
      </c>
      <c r="J201" s="2" t="s">
        <v>328</v>
      </c>
      <c r="K201" s="2" t="s">
        <v>53</v>
      </c>
      <c r="L201" s="2" t="s">
        <v>54</v>
      </c>
      <c r="M201" s="2" t="s">
        <v>329</v>
      </c>
      <c r="N201" s="2" t="s">
        <v>30</v>
      </c>
      <c r="O201" s="2" t="s">
        <v>36</v>
      </c>
      <c r="P201" s="2" t="s">
        <v>330</v>
      </c>
      <c r="Q201" s="2">
        <v>321.56799999999998</v>
      </c>
      <c r="R201" s="2">
        <v>2</v>
      </c>
      <c r="S201" s="2">
        <v>28.1372</v>
      </c>
      <c r="T201" s="2" t="s">
        <v>58</v>
      </c>
      <c r="U201" s="2" t="s">
        <v>34</v>
      </c>
    </row>
    <row r="202" spans="1:21" ht="14.25" customHeight="1" x14ac:dyDescent="0.3">
      <c r="A202" s="2" t="s">
        <v>940</v>
      </c>
      <c r="B202" s="5">
        <v>41655</v>
      </c>
      <c r="C202" s="2" t="str">
        <f>TEXT(data[[#This Row],[Order Date]],"YYYY")</f>
        <v>2014</v>
      </c>
      <c r="D202" s="2">
        <v>41657</v>
      </c>
      <c r="E202" s="2" t="s">
        <v>21</v>
      </c>
      <c r="F202" s="2" t="s">
        <v>941</v>
      </c>
      <c r="G202" s="2" t="s">
        <v>942</v>
      </c>
      <c r="H202" s="2" t="s">
        <v>24</v>
      </c>
      <c r="I202" s="2" t="s">
        <v>25</v>
      </c>
      <c r="J202" s="2" t="s">
        <v>65</v>
      </c>
      <c r="K202" s="2" t="s">
        <v>66</v>
      </c>
      <c r="L202" s="2" t="s">
        <v>67</v>
      </c>
      <c r="M202" s="2" t="s">
        <v>943</v>
      </c>
      <c r="N202" s="2" t="s">
        <v>30</v>
      </c>
      <c r="O202" s="2" t="s">
        <v>56</v>
      </c>
      <c r="P202" s="2" t="s">
        <v>944</v>
      </c>
      <c r="Q202" s="2">
        <v>127.104</v>
      </c>
      <c r="R202" s="2">
        <v>6</v>
      </c>
      <c r="S202" s="2">
        <v>28.598400000000002</v>
      </c>
      <c r="T202" s="2" t="s">
        <v>70</v>
      </c>
      <c r="U202" s="2" t="s">
        <v>169</v>
      </c>
    </row>
    <row r="203" spans="1:21" ht="14.25" customHeight="1" x14ac:dyDescent="0.3">
      <c r="A203" s="2" t="s">
        <v>945</v>
      </c>
      <c r="B203" s="5">
        <v>42646</v>
      </c>
      <c r="C203" s="2" t="str">
        <f>TEXT(data[[#This Row],[Order Date]],"YYYY")</f>
        <v>2016</v>
      </c>
      <c r="D203" s="2">
        <v>42651</v>
      </c>
      <c r="E203" s="2" t="s">
        <v>39</v>
      </c>
      <c r="F203" s="2" t="s">
        <v>73</v>
      </c>
      <c r="G203" s="2" t="s">
        <v>74</v>
      </c>
      <c r="H203" s="2" t="s">
        <v>24</v>
      </c>
      <c r="I203" s="2" t="s">
        <v>25</v>
      </c>
      <c r="J203" s="2" t="s">
        <v>173</v>
      </c>
      <c r="K203" s="2" t="s">
        <v>120</v>
      </c>
      <c r="L203" s="2" t="s">
        <v>67</v>
      </c>
      <c r="M203" s="2" t="s">
        <v>821</v>
      </c>
      <c r="N203" s="2" t="s">
        <v>30</v>
      </c>
      <c r="O203" s="2" t="s">
        <v>36</v>
      </c>
      <c r="P203" s="2" t="s">
        <v>822</v>
      </c>
      <c r="Q203" s="2">
        <v>599.29200000000003</v>
      </c>
      <c r="R203" s="2">
        <v>6</v>
      </c>
      <c r="S203" s="2">
        <v>93.223200000000006</v>
      </c>
      <c r="T203" s="2" t="s">
        <v>58</v>
      </c>
      <c r="U203" s="2" t="s">
        <v>48</v>
      </c>
    </row>
    <row r="204" spans="1:21" ht="14.25" customHeight="1" x14ac:dyDescent="0.3">
      <c r="A204" s="2" t="s">
        <v>946</v>
      </c>
      <c r="B204" s="5">
        <v>41954</v>
      </c>
      <c r="C204" s="2" t="str">
        <f>TEXT(data[[#This Row],[Order Date]],"YYYY")</f>
        <v>2014</v>
      </c>
      <c r="D204" s="2">
        <v>41957</v>
      </c>
      <c r="E204" s="2" t="s">
        <v>21</v>
      </c>
      <c r="F204" s="2" t="s">
        <v>947</v>
      </c>
      <c r="G204" s="2" t="s">
        <v>948</v>
      </c>
      <c r="H204" s="2" t="s">
        <v>24</v>
      </c>
      <c r="I204" s="2" t="s">
        <v>25</v>
      </c>
      <c r="J204" s="2" t="s">
        <v>865</v>
      </c>
      <c r="K204" s="2" t="s">
        <v>180</v>
      </c>
      <c r="L204" s="2" t="s">
        <v>54</v>
      </c>
      <c r="M204" s="2" t="s">
        <v>855</v>
      </c>
      <c r="N204" s="2" t="s">
        <v>30</v>
      </c>
      <c r="O204" s="2" t="s">
        <v>36</v>
      </c>
      <c r="P204" s="2" t="s">
        <v>856</v>
      </c>
      <c r="Q204" s="2">
        <v>603.91999999999996</v>
      </c>
      <c r="R204" s="2">
        <v>5</v>
      </c>
      <c r="S204" s="2">
        <v>75.489999999999995</v>
      </c>
      <c r="T204" s="2" t="s">
        <v>33</v>
      </c>
      <c r="U204" s="2" t="s">
        <v>34</v>
      </c>
    </row>
    <row r="205" spans="1:21" ht="14.25" customHeight="1" x14ac:dyDescent="0.3">
      <c r="A205" s="2" t="s">
        <v>949</v>
      </c>
      <c r="B205" s="5">
        <v>42876</v>
      </c>
      <c r="C205" s="2" t="str">
        <f>TEXT(data[[#This Row],[Order Date]],"YYYY")</f>
        <v>2017</v>
      </c>
      <c r="D205" s="2">
        <v>42881</v>
      </c>
      <c r="E205" s="2" t="s">
        <v>39</v>
      </c>
      <c r="F205" s="2" t="s">
        <v>950</v>
      </c>
      <c r="G205" s="2" t="s">
        <v>951</v>
      </c>
      <c r="H205" s="2" t="s">
        <v>90</v>
      </c>
      <c r="I205" s="2" t="s">
        <v>25</v>
      </c>
      <c r="J205" s="2" t="s">
        <v>952</v>
      </c>
      <c r="K205" s="2" t="s">
        <v>120</v>
      </c>
      <c r="L205" s="2" t="s">
        <v>67</v>
      </c>
      <c r="M205" s="2" t="s">
        <v>717</v>
      </c>
      <c r="N205" s="2" t="s">
        <v>30</v>
      </c>
      <c r="O205" s="2" t="s">
        <v>56</v>
      </c>
      <c r="P205" s="2" t="s">
        <v>718</v>
      </c>
      <c r="Q205" s="2">
        <v>520.04999999999995</v>
      </c>
      <c r="R205" s="2">
        <v>5</v>
      </c>
      <c r="S205" s="2">
        <v>72.807000000000002</v>
      </c>
      <c r="T205" s="2" t="s">
        <v>58</v>
      </c>
      <c r="U205" s="2" t="s">
        <v>161</v>
      </c>
    </row>
    <row r="206" spans="1:21" ht="14.25" customHeight="1" x14ac:dyDescent="0.3">
      <c r="A206" s="2" t="s">
        <v>953</v>
      </c>
      <c r="B206" s="5">
        <v>42092</v>
      </c>
      <c r="C206" s="2" t="str">
        <f>TEXT(data[[#This Row],[Order Date]],"YYYY")</f>
        <v>2015</v>
      </c>
      <c r="D206" s="2">
        <v>42094</v>
      </c>
      <c r="E206" s="2" t="s">
        <v>21</v>
      </c>
      <c r="F206" s="2" t="s">
        <v>954</v>
      </c>
      <c r="G206" s="2" t="s">
        <v>955</v>
      </c>
      <c r="H206" s="2" t="s">
        <v>100</v>
      </c>
      <c r="I206" s="2" t="s">
        <v>25</v>
      </c>
      <c r="J206" s="2" t="s">
        <v>606</v>
      </c>
      <c r="K206" s="2" t="s">
        <v>43</v>
      </c>
      <c r="L206" s="2" t="s">
        <v>28</v>
      </c>
      <c r="M206" s="2" t="s">
        <v>381</v>
      </c>
      <c r="N206" s="2" t="s">
        <v>30</v>
      </c>
      <c r="O206" s="2" t="s">
        <v>36</v>
      </c>
      <c r="P206" s="2" t="s">
        <v>382</v>
      </c>
      <c r="Q206" s="2">
        <v>1166.92</v>
      </c>
      <c r="R206" s="2">
        <v>5</v>
      </c>
      <c r="S206" s="2">
        <v>131.27850000000001</v>
      </c>
      <c r="T206" s="2" t="s">
        <v>70</v>
      </c>
      <c r="U206" s="2" t="s">
        <v>195</v>
      </c>
    </row>
    <row r="207" spans="1:21" ht="14.25" customHeight="1" x14ac:dyDescent="0.3">
      <c r="A207" s="2" t="s">
        <v>956</v>
      </c>
      <c r="B207" s="5">
        <v>42305</v>
      </c>
      <c r="C207" s="2" t="str">
        <f>TEXT(data[[#This Row],[Order Date]],"YYYY")</f>
        <v>2015</v>
      </c>
      <c r="D207" s="2">
        <v>42311</v>
      </c>
      <c r="E207" s="2" t="s">
        <v>39</v>
      </c>
      <c r="F207" s="2" t="s">
        <v>957</v>
      </c>
      <c r="G207" s="2" t="s">
        <v>958</v>
      </c>
      <c r="H207" s="2" t="s">
        <v>24</v>
      </c>
      <c r="I207" s="2" t="s">
        <v>25</v>
      </c>
      <c r="J207" s="2" t="s">
        <v>26</v>
      </c>
      <c r="K207" s="2" t="s">
        <v>27</v>
      </c>
      <c r="L207" s="2" t="s">
        <v>28</v>
      </c>
      <c r="M207" s="2" t="s">
        <v>959</v>
      </c>
      <c r="N207" s="2" t="s">
        <v>30</v>
      </c>
      <c r="O207" s="2" t="s">
        <v>56</v>
      </c>
      <c r="P207" s="2" t="s">
        <v>960</v>
      </c>
      <c r="Q207" s="2">
        <v>24.1</v>
      </c>
      <c r="R207" s="2">
        <v>5</v>
      </c>
      <c r="S207" s="2">
        <v>9.1579999999999995</v>
      </c>
      <c r="T207" s="2" t="s">
        <v>129</v>
      </c>
      <c r="U207" s="2" t="s">
        <v>48</v>
      </c>
    </row>
    <row r="208" spans="1:21" ht="14.25" customHeight="1" x14ac:dyDescent="0.3">
      <c r="A208" s="2" t="s">
        <v>956</v>
      </c>
      <c r="B208" s="5">
        <v>42305</v>
      </c>
      <c r="C208" s="2" t="str">
        <f>TEXT(data[[#This Row],[Order Date]],"YYYY")</f>
        <v>2015</v>
      </c>
      <c r="D208" s="2">
        <v>42311</v>
      </c>
      <c r="E208" s="2" t="s">
        <v>39</v>
      </c>
      <c r="F208" s="2" t="s">
        <v>957</v>
      </c>
      <c r="G208" s="2" t="s">
        <v>958</v>
      </c>
      <c r="H208" s="2" t="s">
        <v>24</v>
      </c>
      <c r="I208" s="2" t="s">
        <v>25</v>
      </c>
      <c r="J208" s="2" t="s">
        <v>26</v>
      </c>
      <c r="K208" s="2" t="s">
        <v>27</v>
      </c>
      <c r="L208" s="2" t="s">
        <v>28</v>
      </c>
      <c r="M208" s="2" t="s">
        <v>379</v>
      </c>
      <c r="N208" s="2" t="s">
        <v>30</v>
      </c>
      <c r="O208" s="2" t="s">
        <v>56</v>
      </c>
      <c r="P208" s="2" t="s">
        <v>380</v>
      </c>
      <c r="Q208" s="2">
        <v>33.11</v>
      </c>
      <c r="R208" s="2">
        <v>7</v>
      </c>
      <c r="S208" s="2">
        <v>12.9129</v>
      </c>
      <c r="T208" s="2" t="s">
        <v>129</v>
      </c>
      <c r="U208" s="2" t="s">
        <v>48</v>
      </c>
    </row>
    <row r="209" spans="1:21" ht="14.25" customHeight="1" x14ac:dyDescent="0.3">
      <c r="A209" s="2" t="s">
        <v>961</v>
      </c>
      <c r="B209" s="5">
        <v>42216</v>
      </c>
      <c r="C209" s="2" t="str">
        <f>TEXT(data[[#This Row],[Order Date]],"YYYY")</f>
        <v>2015</v>
      </c>
      <c r="D209" s="2">
        <v>42216</v>
      </c>
      <c r="E209" s="2" t="s">
        <v>425</v>
      </c>
      <c r="F209" s="2" t="s">
        <v>962</v>
      </c>
      <c r="G209" s="2" t="s">
        <v>963</v>
      </c>
      <c r="H209" s="2" t="s">
        <v>24</v>
      </c>
      <c r="I209" s="2" t="s">
        <v>25</v>
      </c>
      <c r="J209" s="2" t="s">
        <v>173</v>
      </c>
      <c r="K209" s="2" t="s">
        <v>120</v>
      </c>
      <c r="L209" s="2" t="s">
        <v>67</v>
      </c>
      <c r="M209" s="2" t="s">
        <v>342</v>
      </c>
      <c r="N209" s="2" t="s">
        <v>30</v>
      </c>
      <c r="O209" s="2" t="s">
        <v>45</v>
      </c>
      <c r="P209" s="2" t="s">
        <v>343</v>
      </c>
      <c r="Q209" s="2">
        <v>1090.7819999999999</v>
      </c>
      <c r="R209" s="2">
        <v>7</v>
      </c>
      <c r="S209" s="2">
        <v>-290.87520000000001</v>
      </c>
      <c r="T209" s="2" t="s">
        <v>430</v>
      </c>
      <c r="U209" s="2" t="s">
        <v>71</v>
      </c>
    </row>
    <row r="210" spans="1:21" ht="14.25" customHeight="1" x14ac:dyDescent="0.3">
      <c r="A210" s="2" t="s">
        <v>964</v>
      </c>
      <c r="B210" s="5">
        <v>41967</v>
      </c>
      <c r="C210" s="2" t="str">
        <f>TEXT(data[[#This Row],[Order Date]],"YYYY")</f>
        <v>2014</v>
      </c>
      <c r="D210" s="2">
        <v>41969</v>
      </c>
      <c r="E210" s="2" t="s">
        <v>87</v>
      </c>
      <c r="F210" s="2" t="s">
        <v>965</v>
      </c>
      <c r="G210" s="2" t="s">
        <v>966</v>
      </c>
      <c r="H210" s="2" t="s">
        <v>24</v>
      </c>
      <c r="I210" s="2" t="s">
        <v>25</v>
      </c>
      <c r="J210" s="2" t="s">
        <v>639</v>
      </c>
      <c r="K210" s="2" t="s">
        <v>53</v>
      </c>
      <c r="L210" s="2" t="s">
        <v>54</v>
      </c>
      <c r="M210" s="2" t="s">
        <v>967</v>
      </c>
      <c r="N210" s="2" t="s">
        <v>30</v>
      </c>
      <c r="O210" s="2" t="s">
        <v>56</v>
      </c>
      <c r="P210" s="2" t="s">
        <v>968</v>
      </c>
      <c r="Q210" s="2">
        <v>151.72</v>
      </c>
      <c r="R210" s="2">
        <v>4</v>
      </c>
      <c r="S210" s="2">
        <v>27.3096</v>
      </c>
      <c r="T210" s="2" t="s">
        <v>70</v>
      </c>
      <c r="U210" s="2" t="s">
        <v>34</v>
      </c>
    </row>
    <row r="211" spans="1:21" ht="14.25" customHeight="1" x14ac:dyDescent="0.3">
      <c r="A211" s="2" t="s">
        <v>969</v>
      </c>
      <c r="B211" s="5">
        <v>42903</v>
      </c>
      <c r="C211" s="2" t="str">
        <f>TEXT(data[[#This Row],[Order Date]],"YYYY")</f>
        <v>2017</v>
      </c>
      <c r="D211" s="2">
        <v>42907</v>
      </c>
      <c r="E211" s="2" t="s">
        <v>21</v>
      </c>
      <c r="F211" s="2" t="s">
        <v>209</v>
      </c>
      <c r="G211" s="2" t="s">
        <v>210</v>
      </c>
      <c r="H211" s="2" t="s">
        <v>24</v>
      </c>
      <c r="I211" s="2" t="s">
        <v>25</v>
      </c>
      <c r="J211" s="2" t="s">
        <v>970</v>
      </c>
      <c r="K211" s="2" t="s">
        <v>192</v>
      </c>
      <c r="L211" s="2" t="s">
        <v>54</v>
      </c>
      <c r="M211" s="2" t="s">
        <v>84</v>
      </c>
      <c r="N211" s="2" t="s">
        <v>30</v>
      </c>
      <c r="O211" s="2" t="s">
        <v>56</v>
      </c>
      <c r="P211" s="2" t="s">
        <v>85</v>
      </c>
      <c r="Q211" s="2">
        <v>155.25</v>
      </c>
      <c r="R211" s="2">
        <v>3</v>
      </c>
      <c r="S211" s="2">
        <v>46.575000000000003</v>
      </c>
      <c r="T211" s="2" t="s">
        <v>83</v>
      </c>
      <c r="U211" s="2" t="s">
        <v>59</v>
      </c>
    </row>
    <row r="212" spans="1:21" ht="14.25" customHeight="1" x14ac:dyDescent="0.3">
      <c r="A212" s="2" t="s">
        <v>971</v>
      </c>
      <c r="B212" s="5">
        <v>42359</v>
      </c>
      <c r="C212" s="2" t="str">
        <f>TEXT(data[[#This Row],[Order Date]],"YYYY")</f>
        <v>2015</v>
      </c>
      <c r="D212" s="2">
        <v>42362</v>
      </c>
      <c r="E212" s="2" t="s">
        <v>21</v>
      </c>
      <c r="F212" s="2" t="s">
        <v>972</v>
      </c>
      <c r="G212" s="2" t="s">
        <v>973</v>
      </c>
      <c r="H212" s="2" t="s">
        <v>24</v>
      </c>
      <c r="I212" s="2" t="s">
        <v>25</v>
      </c>
      <c r="J212" s="2" t="s">
        <v>191</v>
      </c>
      <c r="K212" s="2" t="s">
        <v>192</v>
      </c>
      <c r="L212" s="2" t="s">
        <v>54</v>
      </c>
      <c r="M212" s="2" t="s">
        <v>290</v>
      </c>
      <c r="N212" s="2" t="s">
        <v>30</v>
      </c>
      <c r="O212" s="2" t="s">
        <v>45</v>
      </c>
      <c r="P212" s="2" t="s">
        <v>291</v>
      </c>
      <c r="Q212" s="2">
        <v>1618.37</v>
      </c>
      <c r="R212" s="2">
        <v>13</v>
      </c>
      <c r="S212" s="2">
        <v>356.04140000000001</v>
      </c>
      <c r="T212" s="2" t="s">
        <v>33</v>
      </c>
      <c r="U212" s="2" t="s">
        <v>96</v>
      </c>
    </row>
    <row r="213" spans="1:21" ht="14.25" customHeight="1" x14ac:dyDescent="0.3">
      <c r="A213" s="2" t="s">
        <v>974</v>
      </c>
      <c r="B213" s="5">
        <v>42191</v>
      </c>
      <c r="C213" s="2" t="str">
        <f>TEXT(data[[#This Row],[Order Date]],"YYYY")</f>
        <v>2015</v>
      </c>
      <c r="D213" s="2">
        <v>42195</v>
      </c>
      <c r="E213" s="2" t="s">
        <v>39</v>
      </c>
      <c r="F213" s="2" t="s">
        <v>975</v>
      </c>
      <c r="G213" s="2" t="s">
        <v>976</v>
      </c>
      <c r="H213" s="2" t="s">
        <v>90</v>
      </c>
      <c r="I213" s="2" t="s">
        <v>25</v>
      </c>
      <c r="J213" s="2" t="s">
        <v>173</v>
      </c>
      <c r="K213" s="2" t="s">
        <v>120</v>
      </c>
      <c r="L213" s="2" t="s">
        <v>67</v>
      </c>
      <c r="M213" s="2" t="s">
        <v>977</v>
      </c>
      <c r="N213" s="2" t="s">
        <v>30</v>
      </c>
      <c r="O213" s="2" t="s">
        <v>56</v>
      </c>
      <c r="P213" s="2" t="s">
        <v>978</v>
      </c>
      <c r="Q213" s="2">
        <v>13.96</v>
      </c>
      <c r="R213" s="2">
        <v>2</v>
      </c>
      <c r="S213" s="2">
        <v>6.7008000000000001</v>
      </c>
      <c r="T213" s="2" t="s">
        <v>83</v>
      </c>
      <c r="U213" s="2" t="s">
        <v>71</v>
      </c>
    </row>
    <row r="214" spans="1:21" ht="14.25" customHeight="1" x14ac:dyDescent="0.3">
      <c r="A214" s="2" t="s">
        <v>974</v>
      </c>
      <c r="B214" s="5">
        <v>42191</v>
      </c>
      <c r="C214" s="2" t="str">
        <f>TEXT(data[[#This Row],[Order Date]],"YYYY")</f>
        <v>2015</v>
      </c>
      <c r="D214" s="2">
        <v>42195</v>
      </c>
      <c r="E214" s="2" t="s">
        <v>39</v>
      </c>
      <c r="F214" s="2" t="s">
        <v>975</v>
      </c>
      <c r="G214" s="2" t="s">
        <v>976</v>
      </c>
      <c r="H214" s="2" t="s">
        <v>90</v>
      </c>
      <c r="I214" s="2" t="s">
        <v>25</v>
      </c>
      <c r="J214" s="2" t="s">
        <v>173</v>
      </c>
      <c r="K214" s="2" t="s">
        <v>120</v>
      </c>
      <c r="L214" s="2" t="s">
        <v>67</v>
      </c>
      <c r="M214" s="2" t="s">
        <v>879</v>
      </c>
      <c r="N214" s="2" t="s">
        <v>30</v>
      </c>
      <c r="O214" s="2" t="s">
        <v>56</v>
      </c>
      <c r="P214" s="2" t="s">
        <v>880</v>
      </c>
      <c r="Q214" s="2">
        <v>155.82</v>
      </c>
      <c r="R214" s="2">
        <v>3</v>
      </c>
      <c r="S214" s="2">
        <v>63.886200000000002</v>
      </c>
      <c r="T214" s="2" t="s">
        <v>83</v>
      </c>
      <c r="U214" s="2" t="s">
        <v>71</v>
      </c>
    </row>
    <row r="215" spans="1:21" ht="14.25" customHeight="1" x14ac:dyDescent="0.3">
      <c r="A215" s="2" t="s">
        <v>979</v>
      </c>
      <c r="B215" s="5">
        <v>42121</v>
      </c>
      <c r="C215" s="2" t="str">
        <f>TEXT(data[[#This Row],[Order Date]],"YYYY")</f>
        <v>2015</v>
      </c>
      <c r="D215" s="2">
        <v>42127</v>
      </c>
      <c r="E215" s="2" t="s">
        <v>39</v>
      </c>
      <c r="F215" s="2" t="s">
        <v>873</v>
      </c>
      <c r="G215" s="2" t="s">
        <v>874</v>
      </c>
      <c r="H215" s="2" t="s">
        <v>24</v>
      </c>
      <c r="I215" s="2" t="s">
        <v>25</v>
      </c>
      <c r="J215" s="2" t="s">
        <v>192</v>
      </c>
      <c r="K215" s="2" t="s">
        <v>980</v>
      </c>
      <c r="L215" s="2" t="s">
        <v>67</v>
      </c>
      <c r="M215" s="2" t="s">
        <v>981</v>
      </c>
      <c r="N215" s="2" t="s">
        <v>30</v>
      </c>
      <c r="O215" s="2" t="s">
        <v>36</v>
      </c>
      <c r="P215" s="2" t="s">
        <v>982</v>
      </c>
      <c r="Q215" s="2">
        <v>1267.53</v>
      </c>
      <c r="R215" s="2">
        <v>3</v>
      </c>
      <c r="S215" s="2">
        <v>316.88249999999999</v>
      </c>
      <c r="T215" s="2" t="s">
        <v>129</v>
      </c>
      <c r="U215" s="2" t="s">
        <v>113</v>
      </c>
    </row>
    <row r="216" spans="1:21" ht="14.25" customHeight="1" x14ac:dyDescent="0.3">
      <c r="A216" s="2" t="s">
        <v>983</v>
      </c>
      <c r="B216" s="5">
        <v>41831</v>
      </c>
      <c r="C216" s="2" t="str">
        <f>TEXT(data[[#This Row],[Order Date]],"YYYY")</f>
        <v>2014</v>
      </c>
      <c r="D216" s="2">
        <v>41835</v>
      </c>
      <c r="E216" s="2" t="s">
        <v>39</v>
      </c>
      <c r="F216" s="2" t="s">
        <v>984</v>
      </c>
      <c r="G216" s="2" t="s">
        <v>985</v>
      </c>
      <c r="H216" s="2" t="s">
        <v>90</v>
      </c>
      <c r="I216" s="2" t="s">
        <v>25</v>
      </c>
      <c r="J216" s="2" t="s">
        <v>388</v>
      </c>
      <c r="K216" s="2" t="s">
        <v>362</v>
      </c>
      <c r="L216" s="2" t="s">
        <v>67</v>
      </c>
      <c r="M216" s="2" t="s">
        <v>575</v>
      </c>
      <c r="N216" s="2" t="s">
        <v>30</v>
      </c>
      <c r="O216" s="2" t="s">
        <v>36</v>
      </c>
      <c r="P216" s="2" t="s">
        <v>576</v>
      </c>
      <c r="Q216" s="2">
        <v>854.94</v>
      </c>
      <c r="R216" s="2">
        <v>3</v>
      </c>
      <c r="S216" s="2">
        <v>213.73500000000001</v>
      </c>
      <c r="T216" s="2" t="s">
        <v>83</v>
      </c>
      <c r="U216" s="2" t="s">
        <v>71</v>
      </c>
    </row>
    <row r="217" spans="1:21" ht="14.25" customHeight="1" x14ac:dyDescent="0.3">
      <c r="A217" s="2" t="s">
        <v>983</v>
      </c>
      <c r="B217" s="5">
        <v>41831</v>
      </c>
      <c r="C217" s="2" t="str">
        <f>TEXT(data[[#This Row],[Order Date]],"YYYY")</f>
        <v>2014</v>
      </c>
      <c r="D217" s="2">
        <v>41835</v>
      </c>
      <c r="E217" s="2" t="s">
        <v>39</v>
      </c>
      <c r="F217" s="2" t="s">
        <v>984</v>
      </c>
      <c r="G217" s="2" t="s">
        <v>985</v>
      </c>
      <c r="H217" s="2" t="s">
        <v>90</v>
      </c>
      <c r="I217" s="2" t="s">
        <v>25</v>
      </c>
      <c r="J217" s="2" t="s">
        <v>388</v>
      </c>
      <c r="K217" s="2" t="s">
        <v>362</v>
      </c>
      <c r="L217" s="2" t="s">
        <v>67</v>
      </c>
      <c r="M217" s="2" t="s">
        <v>174</v>
      </c>
      <c r="N217" s="2" t="s">
        <v>30</v>
      </c>
      <c r="O217" s="2" t="s">
        <v>56</v>
      </c>
      <c r="P217" s="2" t="s">
        <v>175</v>
      </c>
      <c r="Q217" s="2">
        <v>124.11</v>
      </c>
      <c r="R217" s="2">
        <v>9</v>
      </c>
      <c r="S217" s="2">
        <v>52.126199999999997</v>
      </c>
      <c r="T217" s="2" t="s">
        <v>83</v>
      </c>
      <c r="U217" s="2" t="s">
        <v>71</v>
      </c>
    </row>
    <row r="218" spans="1:21" ht="14.25" customHeight="1" x14ac:dyDescent="0.3">
      <c r="A218" s="2" t="s">
        <v>986</v>
      </c>
      <c r="B218" s="5">
        <v>42482</v>
      </c>
      <c r="C218" s="2" t="str">
        <f>TEXT(data[[#This Row],[Order Date]],"YYYY")</f>
        <v>2016</v>
      </c>
      <c r="D218" s="2">
        <v>42486</v>
      </c>
      <c r="E218" s="2" t="s">
        <v>39</v>
      </c>
      <c r="F218" s="2" t="s">
        <v>987</v>
      </c>
      <c r="G218" s="2" t="s">
        <v>988</v>
      </c>
      <c r="H218" s="2" t="s">
        <v>100</v>
      </c>
      <c r="I218" s="2" t="s">
        <v>25</v>
      </c>
      <c r="J218" s="2" t="s">
        <v>989</v>
      </c>
      <c r="K218" s="2" t="s">
        <v>565</v>
      </c>
      <c r="L218" s="2" t="s">
        <v>93</v>
      </c>
      <c r="M218" s="2" t="s">
        <v>990</v>
      </c>
      <c r="N218" s="2" t="s">
        <v>30</v>
      </c>
      <c r="O218" s="2" t="s">
        <v>56</v>
      </c>
      <c r="P218" s="2" t="s">
        <v>991</v>
      </c>
      <c r="Q218" s="2">
        <v>86.62</v>
      </c>
      <c r="R218" s="2">
        <v>2</v>
      </c>
      <c r="S218" s="2">
        <v>8.6620000000000008</v>
      </c>
      <c r="T218" s="2" t="s">
        <v>83</v>
      </c>
      <c r="U218" s="2" t="s">
        <v>113</v>
      </c>
    </row>
    <row r="219" spans="1:21" ht="14.25" customHeight="1" x14ac:dyDescent="0.3">
      <c r="A219" s="2" t="s">
        <v>992</v>
      </c>
      <c r="B219" s="5">
        <v>42449</v>
      </c>
      <c r="C219" s="2" t="str">
        <f>TEXT(data[[#This Row],[Order Date]],"YYYY")</f>
        <v>2016</v>
      </c>
      <c r="D219" s="2">
        <v>42453</v>
      </c>
      <c r="E219" s="2" t="s">
        <v>39</v>
      </c>
      <c r="F219" s="2" t="s">
        <v>993</v>
      </c>
      <c r="G219" s="2" t="s">
        <v>994</v>
      </c>
      <c r="H219" s="2" t="s">
        <v>100</v>
      </c>
      <c r="I219" s="2" t="s">
        <v>25</v>
      </c>
      <c r="J219" s="2" t="s">
        <v>995</v>
      </c>
      <c r="K219" s="2" t="s">
        <v>565</v>
      </c>
      <c r="L219" s="2" t="s">
        <v>93</v>
      </c>
      <c r="M219" s="2" t="s">
        <v>784</v>
      </c>
      <c r="N219" s="2" t="s">
        <v>30</v>
      </c>
      <c r="O219" s="2" t="s">
        <v>45</v>
      </c>
      <c r="P219" s="2" t="s">
        <v>785</v>
      </c>
      <c r="Q219" s="2">
        <v>697.16</v>
      </c>
      <c r="R219" s="2">
        <v>4</v>
      </c>
      <c r="S219" s="2">
        <v>146.40360000000001</v>
      </c>
      <c r="T219" s="2" t="s">
        <v>83</v>
      </c>
      <c r="U219" s="2" t="s">
        <v>195</v>
      </c>
    </row>
    <row r="220" spans="1:21" ht="14.25" customHeight="1" x14ac:dyDescent="0.3">
      <c r="A220" s="2" t="s">
        <v>996</v>
      </c>
      <c r="B220" s="5">
        <v>42619</v>
      </c>
      <c r="C220" s="2" t="str">
        <f>TEXT(data[[#This Row],[Order Date]],"YYYY")</f>
        <v>2016</v>
      </c>
      <c r="D220" s="2">
        <v>42622</v>
      </c>
      <c r="E220" s="2" t="s">
        <v>21</v>
      </c>
      <c r="F220" s="2" t="s">
        <v>997</v>
      </c>
      <c r="G220" s="2" t="s">
        <v>998</v>
      </c>
      <c r="H220" s="2" t="s">
        <v>24</v>
      </c>
      <c r="I220" s="2" t="s">
        <v>25</v>
      </c>
      <c r="J220" s="2" t="s">
        <v>173</v>
      </c>
      <c r="K220" s="2" t="s">
        <v>120</v>
      </c>
      <c r="L220" s="2" t="s">
        <v>67</v>
      </c>
      <c r="M220" s="2" t="s">
        <v>999</v>
      </c>
      <c r="N220" s="2" t="s">
        <v>30</v>
      </c>
      <c r="O220" s="2" t="s">
        <v>31</v>
      </c>
      <c r="P220" s="2" t="s">
        <v>1000</v>
      </c>
      <c r="Q220" s="2">
        <v>722.35199999999998</v>
      </c>
      <c r="R220" s="2">
        <v>3</v>
      </c>
      <c r="S220" s="2">
        <v>90.293999999999997</v>
      </c>
      <c r="T220" s="2" t="s">
        <v>33</v>
      </c>
      <c r="U220" s="2" t="s">
        <v>77</v>
      </c>
    </row>
    <row r="221" spans="1:21" ht="14.25" customHeight="1" x14ac:dyDescent="0.3">
      <c r="A221" s="2" t="s">
        <v>1001</v>
      </c>
      <c r="B221" s="5">
        <v>43020</v>
      </c>
      <c r="C221" s="2" t="str">
        <f>TEXT(data[[#This Row],[Order Date]],"YYYY")</f>
        <v>2017</v>
      </c>
      <c r="D221" s="2">
        <v>43024</v>
      </c>
      <c r="E221" s="2" t="s">
        <v>39</v>
      </c>
      <c r="F221" s="2" t="s">
        <v>98</v>
      </c>
      <c r="G221" s="2" t="s">
        <v>99</v>
      </c>
      <c r="H221" s="2" t="s">
        <v>100</v>
      </c>
      <c r="I221" s="2" t="s">
        <v>25</v>
      </c>
      <c r="J221" s="2" t="s">
        <v>1002</v>
      </c>
      <c r="K221" s="2" t="s">
        <v>134</v>
      </c>
      <c r="L221" s="2" t="s">
        <v>93</v>
      </c>
      <c r="M221" s="2" t="s">
        <v>1003</v>
      </c>
      <c r="N221" s="2" t="s">
        <v>30</v>
      </c>
      <c r="O221" s="2" t="s">
        <v>36</v>
      </c>
      <c r="P221" s="2" t="s">
        <v>1004</v>
      </c>
      <c r="Q221" s="2">
        <v>254.60400000000001</v>
      </c>
      <c r="R221" s="2">
        <v>14</v>
      </c>
      <c r="S221" s="2">
        <v>-18.186</v>
      </c>
      <c r="T221" s="2" t="s">
        <v>83</v>
      </c>
      <c r="U221" s="2" t="s">
        <v>48</v>
      </c>
    </row>
    <row r="222" spans="1:21" ht="14.25" customHeight="1" x14ac:dyDescent="0.3">
      <c r="A222" s="2" t="s">
        <v>1005</v>
      </c>
      <c r="B222" s="5">
        <v>42437</v>
      </c>
      <c r="C222" s="2" t="str">
        <f>TEXT(data[[#This Row],[Order Date]],"YYYY")</f>
        <v>2016</v>
      </c>
      <c r="D222" s="2">
        <v>42442</v>
      </c>
      <c r="E222" s="2" t="s">
        <v>39</v>
      </c>
      <c r="F222" s="2" t="s">
        <v>843</v>
      </c>
      <c r="G222" s="2" t="s">
        <v>844</v>
      </c>
      <c r="H222" s="2" t="s">
        <v>24</v>
      </c>
      <c r="I222" s="2" t="s">
        <v>25</v>
      </c>
      <c r="J222" s="2" t="s">
        <v>1006</v>
      </c>
      <c r="K222" s="2" t="s">
        <v>43</v>
      </c>
      <c r="L222" s="2" t="s">
        <v>28</v>
      </c>
      <c r="M222" s="2" t="s">
        <v>181</v>
      </c>
      <c r="N222" s="2" t="s">
        <v>30</v>
      </c>
      <c r="O222" s="2" t="s">
        <v>56</v>
      </c>
      <c r="P222" s="2" t="s">
        <v>182</v>
      </c>
      <c r="Q222" s="2">
        <v>102.36</v>
      </c>
      <c r="R222" s="2">
        <v>3</v>
      </c>
      <c r="S222" s="2">
        <v>-3.8384999999999998</v>
      </c>
      <c r="T222" s="2" t="s">
        <v>58</v>
      </c>
      <c r="U222" s="2" t="s">
        <v>195</v>
      </c>
    </row>
    <row r="223" spans="1:21" ht="14.25" customHeight="1" x14ac:dyDescent="0.3">
      <c r="A223" s="2" t="s">
        <v>1007</v>
      </c>
      <c r="B223" s="5">
        <v>42188</v>
      </c>
      <c r="C223" s="2" t="str">
        <f>TEXT(data[[#This Row],[Order Date]],"YYYY")</f>
        <v>2015</v>
      </c>
      <c r="D223" s="2">
        <v>42190</v>
      </c>
      <c r="E223" s="2" t="s">
        <v>87</v>
      </c>
      <c r="F223" s="2" t="s">
        <v>1008</v>
      </c>
      <c r="G223" s="2" t="s">
        <v>1009</v>
      </c>
      <c r="H223" s="2" t="s">
        <v>90</v>
      </c>
      <c r="I223" s="2" t="s">
        <v>25</v>
      </c>
      <c r="J223" s="2" t="s">
        <v>65</v>
      </c>
      <c r="K223" s="2" t="s">
        <v>66</v>
      </c>
      <c r="L223" s="2" t="s">
        <v>67</v>
      </c>
      <c r="M223" s="2" t="s">
        <v>1010</v>
      </c>
      <c r="N223" s="2" t="s">
        <v>30</v>
      </c>
      <c r="O223" s="2" t="s">
        <v>56</v>
      </c>
      <c r="P223" s="2" t="s">
        <v>1011</v>
      </c>
      <c r="Q223" s="2">
        <v>168.464</v>
      </c>
      <c r="R223" s="2">
        <v>2</v>
      </c>
      <c r="S223" s="2">
        <v>-29.481200000000001</v>
      </c>
      <c r="T223" s="2" t="s">
        <v>70</v>
      </c>
      <c r="U223" s="2" t="s">
        <v>71</v>
      </c>
    </row>
    <row r="224" spans="1:21" ht="14.25" customHeight="1" x14ac:dyDescent="0.3">
      <c r="A224" s="2" t="s">
        <v>1007</v>
      </c>
      <c r="B224" s="5">
        <v>42188</v>
      </c>
      <c r="C224" s="2" t="str">
        <f>TEXT(data[[#This Row],[Order Date]],"YYYY")</f>
        <v>2015</v>
      </c>
      <c r="D224" s="2">
        <v>42190</v>
      </c>
      <c r="E224" s="2" t="s">
        <v>87</v>
      </c>
      <c r="F224" s="2" t="s">
        <v>1008</v>
      </c>
      <c r="G224" s="2" t="s">
        <v>1009</v>
      </c>
      <c r="H224" s="2" t="s">
        <v>90</v>
      </c>
      <c r="I224" s="2" t="s">
        <v>25</v>
      </c>
      <c r="J224" s="2" t="s">
        <v>65</v>
      </c>
      <c r="K224" s="2" t="s">
        <v>66</v>
      </c>
      <c r="L224" s="2" t="s">
        <v>67</v>
      </c>
      <c r="M224" s="2" t="s">
        <v>1012</v>
      </c>
      <c r="N224" s="2" t="s">
        <v>30</v>
      </c>
      <c r="O224" s="2" t="s">
        <v>56</v>
      </c>
      <c r="P224" s="2" t="s">
        <v>1013</v>
      </c>
      <c r="Q224" s="2">
        <v>282.88799999999998</v>
      </c>
      <c r="R224" s="2">
        <v>9</v>
      </c>
      <c r="S224" s="2">
        <v>56.577599999999997</v>
      </c>
      <c r="T224" s="2" t="s">
        <v>70</v>
      </c>
      <c r="U224" s="2" t="s">
        <v>71</v>
      </c>
    </row>
    <row r="225" spans="1:21" ht="14.25" customHeight="1" x14ac:dyDescent="0.3">
      <c r="A225" s="2" t="s">
        <v>1014</v>
      </c>
      <c r="B225" s="5">
        <v>42098</v>
      </c>
      <c r="C225" s="2" t="str">
        <f>TEXT(data[[#This Row],[Order Date]],"YYYY")</f>
        <v>2015</v>
      </c>
      <c r="D225" s="2">
        <v>42102</v>
      </c>
      <c r="E225" s="2" t="s">
        <v>39</v>
      </c>
      <c r="F225" s="2" t="s">
        <v>1015</v>
      </c>
      <c r="G225" s="2" t="s">
        <v>1016</v>
      </c>
      <c r="H225" s="2" t="s">
        <v>100</v>
      </c>
      <c r="I225" s="2" t="s">
        <v>25</v>
      </c>
      <c r="J225" s="2" t="s">
        <v>173</v>
      </c>
      <c r="K225" s="2" t="s">
        <v>120</v>
      </c>
      <c r="L225" s="2" t="s">
        <v>67</v>
      </c>
      <c r="M225" s="2" t="s">
        <v>1017</v>
      </c>
      <c r="N225" s="2" t="s">
        <v>30</v>
      </c>
      <c r="O225" s="2" t="s">
        <v>56</v>
      </c>
      <c r="P225" s="2" t="s">
        <v>1018</v>
      </c>
      <c r="Q225" s="2">
        <v>108.4</v>
      </c>
      <c r="R225" s="2">
        <v>2</v>
      </c>
      <c r="S225" s="2">
        <v>22.763999999999999</v>
      </c>
      <c r="T225" s="2" t="s">
        <v>83</v>
      </c>
      <c r="U225" s="2" t="s">
        <v>113</v>
      </c>
    </row>
    <row r="226" spans="1:21" ht="14.25" customHeight="1" x14ac:dyDescent="0.3">
      <c r="A226" s="2" t="s">
        <v>1019</v>
      </c>
      <c r="B226" s="5">
        <v>42086</v>
      </c>
      <c r="C226" s="2" t="str">
        <f>TEXT(data[[#This Row],[Order Date]],"YYYY")</f>
        <v>2015</v>
      </c>
      <c r="D226" s="2">
        <v>42092</v>
      </c>
      <c r="E226" s="2" t="s">
        <v>39</v>
      </c>
      <c r="F226" s="2" t="s">
        <v>1020</v>
      </c>
      <c r="G226" s="2" t="s">
        <v>1021</v>
      </c>
      <c r="H226" s="2" t="s">
        <v>24</v>
      </c>
      <c r="I226" s="2" t="s">
        <v>25</v>
      </c>
      <c r="J226" s="2" t="s">
        <v>101</v>
      </c>
      <c r="K226" s="2" t="s">
        <v>92</v>
      </c>
      <c r="L226" s="2" t="s">
        <v>93</v>
      </c>
      <c r="M226" s="2" t="s">
        <v>488</v>
      </c>
      <c r="N226" s="2" t="s">
        <v>30</v>
      </c>
      <c r="O226" s="2" t="s">
        <v>36</v>
      </c>
      <c r="P226" s="2" t="s">
        <v>489</v>
      </c>
      <c r="Q226" s="2">
        <v>107.77200000000001</v>
      </c>
      <c r="R226" s="2">
        <v>2</v>
      </c>
      <c r="S226" s="2">
        <v>-29.252400000000002</v>
      </c>
      <c r="T226" s="2" t="s">
        <v>129</v>
      </c>
      <c r="U226" s="2" t="s">
        <v>195</v>
      </c>
    </row>
    <row r="227" spans="1:21" ht="14.25" customHeight="1" x14ac:dyDescent="0.3">
      <c r="A227" s="2" t="s">
        <v>1022</v>
      </c>
      <c r="B227" s="5">
        <v>42644</v>
      </c>
      <c r="C227" s="2" t="str">
        <f>TEXT(data[[#This Row],[Order Date]],"YYYY")</f>
        <v>2016</v>
      </c>
      <c r="D227" s="2">
        <v>42645</v>
      </c>
      <c r="E227" s="2" t="s">
        <v>87</v>
      </c>
      <c r="F227" s="2" t="s">
        <v>1023</v>
      </c>
      <c r="G227" s="2" t="s">
        <v>1024</v>
      </c>
      <c r="H227" s="2" t="s">
        <v>24</v>
      </c>
      <c r="I227" s="2" t="s">
        <v>25</v>
      </c>
      <c r="J227" s="2" t="s">
        <v>328</v>
      </c>
      <c r="K227" s="2" t="s">
        <v>53</v>
      </c>
      <c r="L227" s="2" t="s">
        <v>54</v>
      </c>
      <c r="M227" s="2" t="s">
        <v>135</v>
      </c>
      <c r="N227" s="2" t="s">
        <v>30</v>
      </c>
      <c r="O227" s="2" t="s">
        <v>36</v>
      </c>
      <c r="P227" s="2" t="s">
        <v>136</v>
      </c>
      <c r="Q227" s="2">
        <v>194.84800000000001</v>
      </c>
      <c r="R227" s="2">
        <v>4</v>
      </c>
      <c r="S227" s="2">
        <v>12.178000000000001</v>
      </c>
      <c r="T227" s="2" t="s">
        <v>123</v>
      </c>
      <c r="U227" s="2" t="s">
        <v>48</v>
      </c>
    </row>
    <row r="228" spans="1:21" ht="14.25" customHeight="1" x14ac:dyDescent="0.3">
      <c r="A228" s="2" t="s">
        <v>1025</v>
      </c>
      <c r="B228" s="5">
        <v>42337</v>
      </c>
      <c r="C228" s="2" t="str">
        <f>TEXT(data[[#This Row],[Order Date]],"YYYY")</f>
        <v>2015</v>
      </c>
      <c r="D228" s="2">
        <v>42342</v>
      </c>
      <c r="E228" s="2" t="s">
        <v>39</v>
      </c>
      <c r="F228" s="2" t="s">
        <v>1026</v>
      </c>
      <c r="G228" s="2" t="s">
        <v>1027</v>
      </c>
      <c r="H228" s="2" t="s">
        <v>90</v>
      </c>
      <c r="I228" s="2" t="s">
        <v>25</v>
      </c>
      <c r="J228" s="2" t="s">
        <v>288</v>
      </c>
      <c r="K228" s="2" t="s">
        <v>289</v>
      </c>
      <c r="L228" s="2" t="s">
        <v>93</v>
      </c>
      <c r="M228" s="2" t="s">
        <v>1028</v>
      </c>
      <c r="N228" s="2" t="s">
        <v>30</v>
      </c>
      <c r="O228" s="2" t="s">
        <v>36</v>
      </c>
      <c r="P228" s="2" t="s">
        <v>1029</v>
      </c>
      <c r="Q228" s="2">
        <v>1106.9100000000001</v>
      </c>
      <c r="R228" s="2">
        <v>9</v>
      </c>
      <c r="S228" s="2">
        <v>121.76009999999999</v>
      </c>
      <c r="T228" s="2" t="s">
        <v>58</v>
      </c>
      <c r="U228" s="2" t="s">
        <v>34</v>
      </c>
    </row>
    <row r="229" spans="1:21" ht="14.25" customHeight="1" x14ac:dyDescent="0.3">
      <c r="A229" s="2" t="s">
        <v>1030</v>
      </c>
      <c r="B229" s="5">
        <v>42430</v>
      </c>
      <c r="C229" s="2" t="str">
        <f>TEXT(data[[#This Row],[Order Date]],"YYYY")</f>
        <v>2016</v>
      </c>
      <c r="D229" s="2">
        <v>42434</v>
      </c>
      <c r="E229" s="2" t="s">
        <v>39</v>
      </c>
      <c r="F229" s="2" t="s">
        <v>1031</v>
      </c>
      <c r="G229" s="2" t="s">
        <v>1032</v>
      </c>
      <c r="H229" s="2" t="s">
        <v>24</v>
      </c>
      <c r="I229" s="2" t="s">
        <v>25</v>
      </c>
      <c r="J229" s="2" t="s">
        <v>1033</v>
      </c>
      <c r="K229" s="2" t="s">
        <v>120</v>
      </c>
      <c r="L229" s="2" t="s">
        <v>67</v>
      </c>
      <c r="M229" s="2" t="s">
        <v>784</v>
      </c>
      <c r="N229" s="2" t="s">
        <v>30</v>
      </c>
      <c r="O229" s="2" t="s">
        <v>45</v>
      </c>
      <c r="P229" s="2" t="s">
        <v>785</v>
      </c>
      <c r="Q229" s="2">
        <v>836.59199999999998</v>
      </c>
      <c r="R229" s="2">
        <v>8</v>
      </c>
      <c r="S229" s="2">
        <v>-264.92079999999999</v>
      </c>
      <c r="T229" s="2" t="s">
        <v>83</v>
      </c>
      <c r="U229" s="2" t="s">
        <v>195</v>
      </c>
    </row>
    <row r="230" spans="1:21" ht="14.25" customHeight="1" x14ac:dyDescent="0.3">
      <c r="A230" s="2" t="s">
        <v>1034</v>
      </c>
      <c r="B230" s="5">
        <v>42890</v>
      </c>
      <c r="C230" s="2" t="str">
        <f>TEXT(data[[#This Row],[Order Date]],"YYYY")</f>
        <v>2017</v>
      </c>
      <c r="D230" s="2">
        <v>42896</v>
      </c>
      <c r="E230" s="2" t="s">
        <v>39</v>
      </c>
      <c r="F230" s="2" t="s">
        <v>938</v>
      </c>
      <c r="G230" s="2" t="s">
        <v>939</v>
      </c>
      <c r="H230" s="2" t="s">
        <v>90</v>
      </c>
      <c r="I230" s="2" t="s">
        <v>25</v>
      </c>
      <c r="J230" s="2" t="s">
        <v>1035</v>
      </c>
      <c r="K230" s="2" t="s">
        <v>1036</v>
      </c>
      <c r="L230" s="2" t="s">
        <v>28</v>
      </c>
      <c r="M230" s="2" t="s">
        <v>400</v>
      </c>
      <c r="N230" s="2" t="s">
        <v>30</v>
      </c>
      <c r="O230" s="2" t="s">
        <v>56</v>
      </c>
      <c r="P230" s="2" t="s">
        <v>401</v>
      </c>
      <c r="Q230" s="2">
        <v>31.984000000000002</v>
      </c>
      <c r="R230" s="2">
        <v>2</v>
      </c>
      <c r="S230" s="2">
        <v>1.9990000000000001</v>
      </c>
      <c r="T230" s="2" t="s">
        <v>129</v>
      </c>
      <c r="U230" s="2" t="s">
        <v>59</v>
      </c>
    </row>
    <row r="231" spans="1:21" ht="14.25" customHeight="1" x14ac:dyDescent="0.3">
      <c r="A231" s="2" t="s">
        <v>1037</v>
      </c>
      <c r="B231" s="5">
        <v>41815</v>
      </c>
      <c r="C231" s="2" t="str">
        <f>TEXT(data[[#This Row],[Order Date]],"YYYY")</f>
        <v>2014</v>
      </c>
      <c r="D231" s="2">
        <v>41818</v>
      </c>
      <c r="E231" s="2" t="s">
        <v>87</v>
      </c>
      <c r="F231" s="2" t="s">
        <v>1038</v>
      </c>
      <c r="G231" s="2" t="s">
        <v>1039</v>
      </c>
      <c r="H231" s="2" t="s">
        <v>90</v>
      </c>
      <c r="I231" s="2" t="s">
        <v>25</v>
      </c>
      <c r="J231" s="2" t="s">
        <v>52</v>
      </c>
      <c r="K231" s="2" t="s">
        <v>53</v>
      </c>
      <c r="L231" s="2" t="s">
        <v>54</v>
      </c>
      <c r="M231" s="2" t="s">
        <v>1040</v>
      </c>
      <c r="N231" s="2" t="s">
        <v>30</v>
      </c>
      <c r="O231" s="2" t="s">
        <v>45</v>
      </c>
      <c r="P231" s="2" t="s">
        <v>1041</v>
      </c>
      <c r="Q231" s="2">
        <v>447.84</v>
      </c>
      <c r="R231" s="2">
        <v>5</v>
      </c>
      <c r="S231" s="2">
        <v>11.196</v>
      </c>
      <c r="T231" s="2" t="s">
        <v>33</v>
      </c>
      <c r="U231" s="2" t="s">
        <v>59</v>
      </c>
    </row>
    <row r="232" spans="1:21" ht="14.25" customHeight="1" x14ac:dyDescent="0.3">
      <c r="A232" s="2" t="s">
        <v>1042</v>
      </c>
      <c r="B232" s="5">
        <v>42535</v>
      </c>
      <c r="C232" s="2" t="str">
        <f>TEXT(data[[#This Row],[Order Date]],"YYYY")</f>
        <v>2016</v>
      </c>
      <c r="D232" s="2">
        <v>42538</v>
      </c>
      <c r="E232" s="2" t="s">
        <v>87</v>
      </c>
      <c r="F232" s="2" t="s">
        <v>1043</v>
      </c>
      <c r="G232" s="2" t="s">
        <v>1044</v>
      </c>
      <c r="H232" s="2" t="s">
        <v>100</v>
      </c>
      <c r="I232" s="2" t="s">
        <v>25</v>
      </c>
      <c r="J232" s="2" t="s">
        <v>328</v>
      </c>
      <c r="K232" s="2" t="s">
        <v>53</v>
      </c>
      <c r="L232" s="2" t="s">
        <v>54</v>
      </c>
      <c r="M232" s="2" t="s">
        <v>500</v>
      </c>
      <c r="N232" s="2" t="s">
        <v>30</v>
      </c>
      <c r="O232" s="2" t="s">
        <v>56</v>
      </c>
      <c r="P232" s="2" t="s">
        <v>501</v>
      </c>
      <c r="Q232" s="2">
        <v>8.73</v>
      </c>
      <c r="R232" s="2">
        <v>3</v>
      </c>
      <c r="S232" s="2">
        <v>4.1031000000000004</v>
      </c>
      <c r="T232" s="2" t="s">
        <v>33</v>
      </c>
      <c r="U232" s="2" t="s">
        <v>59</v>
      </c>
    </row>
    <row r="233" spans="1:21" ht="14.25" customHeight="1" x14ac:dyDescent="0.3">
      <c r="A233" s="2" t="s">
        <v>1045</v>
      </c>
      <c r="B233" s="5">
        <v>42693</v>
      </c>
      <c r="C233" s="2" t="str">
        <f>TEXT(data[[#This Row],[Order Date]],"YYYY")</f>
        <v>2016</v>
      </c>
      <c r="D233" s="2">
        <v>42698</v>
      </c>
      <c r="E233" s="2" t="s">
        <v>39</v>
      </c>
      <c r="F233" s="2" t="s">
        <v>1046</v>
      </c>
      <c r="G233" s="2" t="s">
        <v>1047</v>
      </c>
      <c r="H233" s="2" t="s">
        <v>24</v>
      </c>
      <c r="I233" s="2" t="s">
        <v>25</v>
      </c>
      <c r="J233" s="2" t="s">
        <v>101</v>
      </c>
      <c r="K233" s="2" t="s">
        <v>92</v>
      </c>
      <c r="L233" s="2" t="s">
        <v>93</v>
      </c>
      <c r="M233" s="2" t="s">
        <v>500</v>
      </c>
      <c r="N233" s="2" t="s">
        <v>30</v>
      </c>
      <c r="O233" s="2" t="s">
        <v>56</v>
      </c>
      <c r="P233" s="2" t="s">
        <v>501</v>
      </c>
      <c r="Q233" s="2">
        <v>2.3279999999999998</v>
      </c>
      <c r="R233" s="2">
        <v>2</v>
      </c>
      <c r="S233" s="2">
        <v>-0.75660000000000005</v>
      </c>
      <c r="T233" s="2" t="s">
        <v>58</v>
      </c>
      <c r="U233" s="2" t="s">
        <v>34</v>
      </c>
    </row>
    <row r="234" spans="1:21" ht="14.25" customHeight="1" x14ac:dyDescent="0.3">
      <c r="A234" s="2" t="s">
        <v>1048</v>
      </c>
      <c r="B234" s="5">
        <v>43087</v>
      </c>
      <c r="C234" s="2" t="str">
        <f>TEXT(data[[#This Row],[Order Date]],"YYYY")</f>
        <v>2017</v>
      </c>
      <c r="D234" s="2">
        <v>43092</v>
      </c>
      <c r="E234" s="2" t="s">
        <v>21</v>
      </c>
      <c r="F234" s="2" t="s">
        <v>1049</v>
      </c>
      <c r="G234" s="2" t="s">
        <v>1050</v>
      </c>
      <c r="H234" s="2" t="s">
        <v>24</v>
      </c>
      <c r="I234" s="2" t="s">
        <v>25</v>
      </c>
      <c r="J234" s="2" t="s">
        <v>1051</v>
      </c>
      <c r="K234" s="2" t="s">
        <v>53</v>
      </c>
      <c r="L234" s="2" t="s">
        <v>54</v>
      </c>
      <c r="M234" s="2" t="s">
        <v>1052</v>
      </c>
      <c r="N234" s="2" t="s">
        <v>30</v>
      </c>
      <c r="O234" s="2" t="s">
        <v>31</v>
      </c>
      <c r="P234" s="2" t="s">
        <v>1053</v>
      </c>
      <c r="Q234" s="2">
        <v>119.833</v>
      </c>
      <c r="R234" s="2">
        <v>1</v>
      </c>
      <c r="S234" s="2">
        <v>-12.6882</v>
      </c>
      <c r="T234" s="2" t="s">
        <v>58</v>
      </c>
      <c r="U234" s="2" t="s">
        <v>96</v>
      </c>
    </row>
    <row r="235" spans="1:21" ht="14.25" customHeight="1" x14ac:dyDescent="0.3">
      <c r="A235" s="2" t="s">
        <v>1054</v>
      </c>
      <c r="B235" s="5">
        <v>41659</v>
      </c>
      <c r="C235" s="2" t="str">
        <f>TEXT(data[[#This Row],[Order Date]],"YYYY")</f>
        <v>2014</v>
      </c>
      <c r="D235" s="2">
        <v>41665</v>
      </c>
      <c r="E235" s="2" t="s">
        <v>39</v>
      </c>
      <c r="F235" s="2" t="s">
        <v>1055</v>
      </c>
      <c r="G235" s="2" t="s">
        <v>1056</v>
      </c>
      <c r="H235" s="2" t="s">
        <v>24</v>
      </c>
      <c r="I235" s="2" t="s">
        <v>25</v>
      </c>
      <c r="J235" s="2" t="s">
        <v>1057</v>
      </c>
      <c r="K235" s="2" t="s">
        <v>1058</v>
      </c>
      <c r="L235" s="2" t="s">
        <v>28</v>
      </c>
      <c r="M235" s="2" t="s">
        <v>152</v>
      </c>
      <c r="N235" s="2" t="s">
        <v>30</v>
      </c>
      <c r="O235" s="2" t="s">
        <v>56</v>
      </c>
      <c r="P235" s="2" t="s">
        <v>153</v>
      </c>
      <c r="Q235" s="2">
        <v>38.6</v>
      </c>
      <c r="R235" s="2">
        <v>4</v>
      </c>
      <c r="S235" s="2">
        <v>11.58</v>
      </c>
      <c r="T235" s="2" t="s">
        <v>129</v>
      </c>
      <c r="U235" s="2" t="s">
        <v>169</v>
      </c>
    </row>
    <row r="236" spans="1:21" ht="14.25" customHeight="1" x14ac:dyDescent="0.3">
      <c r="A236" s="2" t="s">
        <v>1054</v>
      </c>
      <c r="B236" s="5">
        <v>41659</v>
      </c>
      <c r="C236" s="2" t="str">
        <f>TEXT(data[[#This Row],[Order Date]],"YYYY")</f>
        <v>2014</v>
      </c>
      <c r="D236" s="2">
        <v>41665</v>
      </c>
      <c r="E236" s="2" t="s">
        <v>39</v>
      </c>
      <c r="F236" s="2" t="s">
        <v>1055</v>
      </c>
      <c r="G236" s="2" t="s">
        <v>1056</v>
      </c>
      <c r="H236" s="2" t="s">
        <v>24</v>
      </c>
      <c r="I236" s="2" t="s">
        <v>25</v>
      </c>
      <c r="J236" s="2" t="s">
        <v>1057</v>
      </c>
      <c r="K236" s="2" t="s">
        <v>1058</v>
      </c>
      <c r="L236" s="2" t="s">
        <v>28</v>
      </c>
      <c r="M236" s="2" t="s">
        <v>514</v>
      </c>
      <c r="N236" s="2" t="s">
        <v>30</v>
      </c>
      <c r="O236" s="2" t="s">
        <v>36</v>
      </c>
      <c r="P236" s="2" t="s">
        <v>515</v>
      </c>
      <c r="Q236" s="2">
        <v>1067.94</v>
      </c>
      <c r="R236" s="2">
        <v>3</v>
      </c>
      <c r="S236" s="2">
        <v>224.26740000000001</v>
      </c>
      <c r="T236" s="2" t="s">
        <v>129</v>
      </c>
      <c r="U236" s="2" t="s">
        <v>169</v>
      </c>
    </row>
    <row r="237" spans="1:21" ht="14.25" customHeight="1" x14ac:dyDescent="0.3">
      <c r="A237" s="2" t="s">
        <v>1059</v>
      </c>
      <c r="B237" s="5">
        <v>42472</v>
      </c>
      <c r="C237" s="2" t="str">
        <f>TEXT(data[[#This Row],[Order Date]],"YYYY")</f>
        <v>2016</v>
      </c>
      <c r="D237" s="2">
        <v>42476</v>
      </c>
      <c r="E237" s="2" t="s">
        <v>39</v>
      </c>
      <c r="F237" s="2" t="s">
        <v>1060</v>
      </c>
      <c r="G237" s="2" t="s">
        <v>1061</v>
      </c>
      <c r="H237" s="2" t="s">
        <v>24</v>
      </c>
      <c r="I237" s="2" t="s">
        <v>25</v>
      </c>
      <c r="J237" s="2" t="s">
        <v>878</v>
      </c>
      <c r="K237" s="2" t="s">
        <v>716</v>
      </c>
      <c r="L237" s="2" t="s">
        <v>28</v>
      </c>
      <c r="M237" s="2" t="s">
        <v>1062</v>
      </c>
      <c r="N237" s="2" t="s">
        <v>30</v>
      </c>
      <c r="O237" s="2" t="s">
        <v>45</v>
      </c>
      <c r="P237" s="2" t="s">
        <v>1063</v>
      </c>
      <c r="Q237" s="2">
        <v>343.92</v>
      </c>
      <c r="R237" s="2">
        <v>4</v>
      </c>
      <c r="S237" s="2">
        <v>75.662400000000005</v>
      </c>
      <c r="T237" s="2" t="s">
        <v>83</v>
      </c>
      <c r="U237" s="2" t="s">
        <v>113</v>
      </c>
    </row>
    <row r="238" spans="1:21" ht="14.25" customHeight="1" x14ac:dyDescent="0.3">
      <c r="A238" s="2" t="s">
        <v>1064</v>
      </c>
      <c r="B238" s="5">
        <v>41911</v>
      </c>
      <c r="C238" s="2" t="str">
        <f>TEXT(data[[#This Row],[Order Date]],"YYYY")</f>
        <v>2014</v>
      </c>
      <c r="D238" s="2">
        <v>41915</v>
      </c>
      <c r="E238" s="2" t="s">
        <v>39</v>
      </c>
      <c r="F238" s="2" t="s">
        <v>1065</v>
      </c>
      <c r="G238" s="2" t="s">
        <v>1066</v>
      </c>
      <c r="H238" s="2" t="s">
        <v>24</v>
      </c>
      <c r="I238" s="2" t="s">
        <v>25</v>
      </c>
      <c r="J238" s="2" t="s">
        <v>52</v>
      </c>
      <c r="K238" s="2" t="s">
        <v>53</v>
      </c>
      <c r="L238" s="2" t="s">
        <v>54</v>
      </c>
      <c r="M238" s="2" t="s">
        <v>935</v>
      </c>
      <c r="N238" s="2" t="s">
        <v>30</v>
      </c>
      <c r="O238" s="2" t="s">
        <v>56</v>
      </c>
      <c r="P238" s="2" t="s">
        <v>936</v>
      </c>
      <c r="Q238" s="2">
        <v>204.6</v>
      </c>
      <c r="R238" s="2">
        <v>2</v>
      </c>
      <c r="S238" s="2">
        <v>53.195999999999998</v>
      </c>
      <c r="T238" s="2" t="s">
        <v>83</v>
      </c>
      <c r="U238" s="2" t="s">
        <v>77</v>
      </c>
    </row>
    <row r="239" spans="1:21" ht="14.25" customHeight="1" x14ac:dyDescent="0.3">
      <c r="A239" s="2" t="s">
        <v>1067</v>
      </c>
      <c r="B239" s="5">
        <v>42132</v>
      </c>
      <c r="C239" s="2" t="str">
        <f>TEXT(data[[#This Row],[Order Date]],"YYYY")</f>
        <v>2015</v>
      </c>
      <c r="D239" s="2">
        <v>42138</v>
      </c>
      <c r="E239" s="2" t="s">
        <v>39</v>
      </c>
      <c r="F239" s="2" t="s">
        <v>1068</v>
      </c>
      <c r="G239" s="2" t="s">
        <v>1069</v>
      </c>
      <c r="H239" s="2" t="s">
        <v>90</v>
      </c>
      <c r="I239" s="2" t="s">
        <v>25</v>
      </c>
      <c r="J239" s="2" t="s">
        <v>1070</v>
      </c>
      <c r="K239" s="2" t="s">
        <v>231</v>
      </c>
      <c r="L239" s="2" t="s">
        <v>67</v>
      </c>
      <c r="M239" s="2" t="s">
        <v>1071</v>
      </c>
      <c r="N239" s="2" t="s">
        <v>30</v>
      </c>
      <c r="O239" s="2" t="s">
        <v>56</v>
      </c>
      <c r="P239" s="2" t="s">
        <v>1072</v>
      </c>
      <c r="Q239" s="2">
        <v>8.3520000000000003</v>
      </c>
      <c r="R239" s="2">
        <v>6</v>
      </c>
      <c r="S239" s="2">
        <v>1.2527999999999999</v>
      </c>
      <c r="T239" s="2" t="s">
        <v>129</v>
      </c>
      <c r="U239" s="2" t="s">
        <v>161</v>
      </c>
    </row>
    <row r="240" spans="1:21" ht="14.25" customHeight="1" x14ac:dyDescent="0.3">
      <c r="A240" s="2" t="s">
        <v>1073</v>
      </c>
      <c r="B240" s="5">
        <v>41993</v>
      </c>
      <c r="C240" s="2" t="str">
        <f>TEXT(data[[#This Row],[Order Date]],"YYYY")</f>
        <v>2014</v>
      </c>
      <c r="D240" s="2">
        <v>41994</v>
      </c>
      <c r="E240" s="2" t="s">
        <v>87</v>
      </c>
      <c r="F240" s="2" t="s">
        <v>1074</v>
      </c>
      <c r="G240" s="2" t="s">
        <v>1075</v>
      </c>
      <c r="H240" s="2" t="s">
        <v>100</v>
      </c>
      <c r="I240" s="2" t="s">
        <v>25</v>
      </c>
      <c r="J240" s="2" t="s">
        <v>1076</v>
      </c>
      <c r="K240" s="2" t="s">
        <v>716</v>
      </c>
      <c r="L240" s="2" t="s">
        <v>28</v>
      </c>
      <c r="M240" s="2" t="s">
        <v>1077</v>
      </c>
      <c r="N240" s="2" t="s">
        <v>30</v>
      </c>
      <c r="O240" s="2" t="s">
        <v>45</v>
      </c>
      <c r="P240" s="2" t="s">
        <v>1078</v>
      </c>
      <c r="Q240" s="2">
        <v>2244.48</v>
      </c>
      <c r="R240" s="2">
        <v>7</v>
      </c>
      <c r="S240" s="2">
        <v>493.78559999999999</v>
      </c>
      <c r="T240" s="2" t="s">
        <v>123</v>
      </c>
      <c r="U240" s="2" t="s">
        <v>96</v>
      </c>
    </row>
    <row r="241" spans="1:21" ht="14.25" customHeight="1" x14ac:dyDescent="0.3">
      <c r="A241" s="2" t="s">
        <v>1073</v>
      </c>
      <c r="B241" s="5">
        <v>41993</v>
      </c>
      <c r="C241" s="2" t="str">
        <f>TEXT(data[[#This Row],[Order Date]],"YYYY")</f>
        <v>2014</v>
      </c>
      <c r="D241" s="2">
        <v>41994</v>
      </c>
      <c r="E241" s="2" t="s">
        <v>87</v>
      </c>
      <c r="F241" s="2" t="s">
        <v>1074</v>
      </c>
      <c r="G241" s="2" t="s">
        <v>1075</v>
      </c>
      <c r="H241" s="2" t="s">
        <v>100</v>
      </c>
      <c r="I241" s="2" t="s">
        <v>25</v>
      </c>
      <c r="J241" s="2" t="s">
        <v>1076</v>
      </c>
      <c r="K241" s="2" t="s">
        <v>716</v>
      </c>
      <c r="L241" s="2" t="s">
        <v>28</v>
      </c>
      <c r="M241" s="2" t="s">
        <v>441</v>
      </c>
      <c r="N241" s="2" t="s">
        <v>30</v>
      </c>
      <c r="O241" s="2" t="s">
        <v>45</v>
      </c>
      <c r="P241" s="2" t="s">
        <v>442</v>
      </c>
      <c r="Q241" s="2">
        <v>455.1</v>
      </c>
      <c r="R241" s="2">
        <v>2</v>
      </c>
      <c r="S241" s="2">
        <v>100.122</v>
      </c>
      <c r="T241" s="2" t="s">
        <v>123</v>
      </c>
      <c r="U241" s="2" t="s">
        <v>96</v>
      </c>
    </row>
    <row r="242" spans="1:21" ht="14.25" customHeight="1" x14ac:dyDescent="0.3">
      <c r="A242" s="2" t="s">
        <v>1079</v>
      </c>
      <c r="B242" s="5">
        <v>42553</v>
      </c>
      <c r="C242" s="2" t="str">
        <f>TEXT(data[[#This Row],[Order Date]],"YYYY")</f>
        <v>2016</v>
      </c>
      <c r="D242" s="2">
        <v>42558</v>
      </c>
      <c r="E242" s="2" t="s">
        <v>21</v>
      </c>
      <c r="F242" s="2" t="s">
        <v>1080</v>
      </c>
      <c r="G242" s="2" t="s">
        <v>1081</v>
      </c>
      <c r="H242" s="2" t="s">
        <v>90</v>
      </c>
      <c r="I242" s="2" t="s">
        <v>25</v>
      </c>
      <c r="J242" s="2" t="s">
        <v>52</v>
      </c>
      <c r="K242" s="2" t="s">
        <v>53</v>
      </c>
      <c r="L242" s="2" t="s">
        <v>54</v>
      </c>
      <c r="M242" s="2" t="s">
        <v>1082</v>
      </c>
      <c r="N242" s="2" t="s">
        <v>30</v>
      </c>
      <c r="O242" s="2" t="s">
        <v>36</v>
      </c>
      <c r="P242" s="2" t="s">
        <v>1083</v>
      </c>
      <c r="Q242" s="2">
        <v>195.184</v>
      </c>
      <c r="R242" s="2">
        <v>1</v>
      </c>
      <c r="S242" s="2">
        <v>19.5184</v>
      </c>
      <c r="T242" s="2" t="s">
        <v>58</v>
      </c>
      <c r="U242" s="2" t="s">
        <v>71</v>
      </c>
    </row>
    <row r="243" spans="1:21" ht="14.25" customHeight="1" x14ac:dyDescent="0.3">
      <c r="A243" s="2" t="s">
        <v>1084</v>
      </c>
      <c r="B243" s="5">
        <v>43077</v>
      </c>
      <c r="C243" s="2" t="str">
        <f>TEXT(data[[#This Row],[Order Date]],"YYYY")</f>
        <v>2017</v>
      </c>
      <c r="D243" s="2">
        <v>43079</v>
      </c>
      <c r="E243" s="2" t="s">
        <v>21</v>
      </c>
      <c r="F243" s="2" t="s">
        <v>941</v>
      </c>
      <c r="G243" s="2" t="s">
        <v>942</v>
      </c>
      <c r="H243" s="2" t="s">
        <v>24</v>
      </c>
      <c r="I243" s="2" t="s">
        <v>25</v>
      </c>
      <c r="J243" s="2" t="s">
        <v>173</v>
      </c>
      <c r="K243" s="2" t="s">
        <v>120</v>
      </c>
      <c r="L243" s="2" t="s">
        <v>67</v>
      </c>
      <c r="M243" s="2" t="s">
        <v>1085</v>
      </c>
      <c r="N243" s="2" t="s">
        <v>30</v>
      </c>
      <c r="O243" s="2" t="s">
        <v>56</v>
      </c>
      <c r="P243" s="2" t="s">
        <v>1086</v>
      </c>
      <c r="Q243" s="2">
        <v>109.48</v>
      </c>
      <c r="R243" s="2">
        <v>2</v>
      </c>
      <c r="S243" s="2">
        <v>33.938800000000001</v>
      </c>
      <c r="T243" s="2" t="s">
        <v>70</v>
      </c>
      <c r="U243" s="2" t="s">
        <v>96</v>
      </c>
    </row>
    <row r="244" spans="1:21" ht="14.25" customHeight="1" x14ac:dyDescent="0.3">
      <c r="A244" s="2" t="s">
        <v>1087</v>
      </c>
      <c r="B244" s="5">
        <v>42705</v>
      </c>
      <c r="C244" s="2" t="str">
        <f>TEXT(data[[#This Row],[Order Date]],"YYYY")</f>
        <v>2016</v>
      </c>
      <c r="D244" s="2">
        <v>42709</v>
      </c>
      <c r="E244" s="2" t="s">
        <v>39</v>
      </c>
      <c r="F244" s="2" t="s">
        <v>138</v>
      </c>
      <c r="G244" s="2" t="s">
        <v>139</v>
      </c>
      <c r="H244" s="2" t="s">
        <v>24</v>
      </c>
      <c r="I244" s="2" t="s">
        <v>25</v>
      </c>
      <c r="J244" s="2" t="s">
        <v>1088</v>
      </c>
      <c r="K244" s="2" t="s">
        <v>1089</v>
      </c>
      <c r="L244" s="2" t="s">
        <v>67</v>
      </c>
      <c r="M244" s="2" t="s">
        <v>1090</v>
      </c>
      <c r="N244" s="2" t="s">
        <v>30</v>
      </c>
      <c r="O244" s="2" t="s">
        <v>36</v>
      </c>
      <c r="P244" s="2" t="s">
        <v>1091</v>
      </c>
      <c r="Q244" s="2">
        <v>172.5</v>
      </c>
      <c r="R244" s="2">
        <v>2</v>
      </c>
      <c r="S244" s="2">
        <v>51.75</v>
      </c>
      <c r="T244" s="2" t="s">
        <v>83</v>
      </c>
      <c r="U244" s="2" t="s">
        <v>96</v>
      </c>
    </row>
    <row r="245" spans="1:21" ht="14.25" customHeight="1" x14ac:dyDescent="0.3">
      <c r="A245" s="2" t="s">
        <v>1092</v>
      </c>
      <c r="B245" s="5">
        <v>42792</v>
      </c>
      <c r="C245" s="2" t="str">
        <f>TEXT(data[[#This Row],[Order Date]],"YYYY")</f>
        <v>2017</v>
      </c>
      <c r="D245" s="2">
        <v>42794</v>
      </c>
      <c r="E245" s="2" t="s">
        <v>21</v>
      </c>
      <c r="F245" s="2" t="s">
        <v>1093</v>
      </c>
      <c r="G245" s="2" t="s">
        <v>1094</v>
      </c>
      <c r="H245" s="2" t="s">
        <v>100</v>
      </c>
      <c r="I245" s="2" t="s">
        <v>25</v>
      </c>
      <c r="J245" s="2" t="s">
        <v>52</v>
      </c>
      <c r="K245" s="2" t="s">
        <v>53</v>
      </c>
      <c r="L245" s="2" t="s">
        <v>54</v>
      </c>
      <c r="M245" s="2" t="s">
        <v>1095</v>
      </c>
      <c r="N245" s="2" t="s">
        <v>30</v>
      </c>
      <c r="O245" s="2" t="s">
        <v>36</v>
      </c>
      <c r="P245" s="2" t="s">
        <v>1096</v>
      </c>
      <c r="Q245" s="2">
        <v>892.22400000000005</v>
      </c>
      <c r="R245" s="2">
        <v>3</v>
      </c>
      <c r="S245" s="2">
        <v>89.222399999999993</v>
      </c>
      <c r="T245" s="2" t="s">
        <v>70</v>
      </c>
      <c r="U245" s="2" t="s">
        <v>297</v>
      </c>
    </row>
    <row r="246" spans="1:21" ht="14.25" customHeight="1" x14ac:dyDescent="0.3">
      <c r="A246" s="2" t="s">
        <v>1097</v>
      </c>
      <c r="B246" s="5">
        <v>42262</v>
      </c>
      <c r="C246" s="2" t="str">
        <f>TEXT(data[[#This Row],[Order Date]],"YYYY")</f>
        <v>2015</v>
      </c>
      <c r="D246" s="2">
        <v>42262</v>
      </c>
      <c r="E246" s="2" t="s">
        <v>425</v>
      </c>
      <c r="F246" s="2" t="s">
        <v>646</v>
      </c>
      <c r="G246" s="2" t="s">
        <v>647</v>
      </c>
      <c r="H246" s="2" t="s">
        <v>90</v>
      </c>
      <c r="I246" s="2" t="s">
        <v>25</v>
      </c>
      <c r="J246" s="2" t="s">
        <v>1098</v>
      </c>
      <c r="K246" s="2" t="s">
        <v>43</v>
      </c>
      <c r="L246" s="2" t="s">
        <v>28</v>
      </c>
      <c r="M246" s="2" t="s">
        <v>1099</v>
      </c>
      <c r="N246" s="2" t="s">
        <v>30</v>
      </c>
      <c r="O246" s="2" t="s">
        <v>56</v>
      </c>
      <c r="P246" s="2" t="s">
        <v>1100</v>
      </c>
      <c r="Q246" s="2">
        <v>15.712</v>
      </c>
      <c r="R246" s="2">
        <v>4</v>
      </c>
      <c r="S246" s="2">
        <v>2.5531999999999999</v>
      </c>
      <c r="T246" s="2" t="s">
        <v>430</v>
      </c>
      <c r="U246" s="2" t="s">
        <v>77</v>
      </c>
    </row>
    <row r="247" spans="1:21" ht="14.25" customHeight="1" x14ac:dyDescent="0.3">
      <c r="A247" s="2" t="s">
        <v>1097</v>
      </c>
      <c r="B247" s="5">
        <v>42262</v>
      </c>
      <c r="C247" s="2" t="str">
        <f>TEXT(data[[#This Row],[Order Date]],"YYYY")</f>
        <v>2015</v>
      </c>
      <c r="D247" s="2">
        <v>42262</v>
      </c>
      <c r="E247" s="2" t="s">
        <v>425</v>
      </c>
      <c r="F247" s="2" t="s">
        <v>646</v>
      </c>
      <c r="G247" s="2" t="s">
        <v>647</v>
      </c>
      <c r="H247" s="2" t="s">
        <v>90</v>
      </c>
      <c r="I247" s="2" t="s">
        <v>25</v>
      </c>
      <c r="J247" s="2" t="s">
        <v>1098</v>
      </c>
      <c r="K247" s="2" t="s">
        <v>43</v>
      </c>
      <c r="L247" s="2" t="s">
        <v>28</v>
      </c>
      <c r="M247" s="2" t="s">
        <v>725</v>
      </c>
      <c r="N247" s="2" t="s">
        <v>30</v>
      </c>
      <c r="O247" s="2" t="s">
        <v>56</v>
      </c>
      <c r="P247" s="2" t="s">
        <v>726</v>
      </c>
      <c r="Q247" s="2">
        <v>55.968000000000004</v>
      </c>
      <c r="R247" s="2">
        <v>1</v>
      </c>
      <c r="S247" s="2">
        <v>-2.0988000000000002</v>
      </c>
      <c r="T247" s="2" t="s">
        <v>430</v>
      </c>
      <c r="U247" s="2" t="s">
        <v>77</v>
      </c>
    </row>
    <row r="248" spans="1:21" ht="14.25" customHeight="1" x14ac:dyDescent="0.3">
      <c r="A248" s="2" t="s">
        <v>1101</v>
      </c>
      <c r="B248" s="5">
        <v>42468</v>
      </c>
      <c r="C248" s="2" t="str">
        <f>TEXT(data[[#This Row],[Order Date]],"YYYY")</f>
        <v>2016</v>
      </c>
      <c r="D248" s="2">
        <v>42472</v>
      </c>
      <c r="E248" s="2" t="s">
        <v>39</v>
      </c>
      <c r="F248" s="2" t="s">
        <v>843</v>
      </c>
      <c r="G248" s="2" t="s">
        <v>844</v>
      </c>
      <c r="H248" s="2" t="s">
        <v>24</v>
      </c>
      <c r="I248" s="2" t="s">
        <v>25</v>
      </c>
      <c r="J248" s="2" t="s">
        <v>101</v>
      </c>
      <c r="K248" s="2" t="s">
        <v>92</v>
      </c>
      <c r="L248" s="2" t="s">
        <v>93</v>
      </c>
      <c r="M248" s="2" t="s">
        <v>1102</v>
      </c>
      <c r="N248" s="2" t="s">
        <v>30</v>
      </c>
      <c r="O248" s="2" t="s">
        <v>36</v>
      </c>
      <c r="P248" s="2" t="s">
        <v>1103</v>
      </c>
      <c r="Q248" s="2">
        <v>95.983999999999995</v>
      </c>
      <c r="R248" s="2">
        <v>4</v>
      </c>
      <c r="S248" s="2">
        <v>-4.1135999999999999</v>
      </c>
      <c r="T248" s="2" t="s">
        <v>83</v>
      </c>
      <c r="U248" s="2" t="s">
        <v>113</v>
      </c>
    </row>
    <row r="249" spans="1:21" ht="14.25" customHeight="1" x14ac:dyDescent="0.3">
      <c r="A249" s="2" t="s">
        <v>1104</v>
      </c>
      <c r="B249" s="5">
        <v>42569</v>
      </c>
      <c r="C249" s="2" t="str">
        <f>TEXT(data[[#This Row],[Order Date]],"YYYY")</f>
        <v>2016</v>
      </c>
      <c r="D249" s="2">
        <v>42575</v>
      </c>
      <c r="E249" s="2" t="s">
        <v>39</v>
      </c>
      <c r="F249" s="2" t="s">
        <v>1105</v>
      </c>
      <c r="G249" s="2" t="s">
        <v>1106</v>
      </c>
      <c r="H249" s="2" t="s">
        <v>90</v>
      </c>
      <c r="I249" s="2" t="s">
        <v>25</v>
      </c>
      <c r="J249" s="2" t="s">
        <v>265</v>
      </c>
      <c r="K249" s="2" t="s">
        <v>180</v>
      </c>
      <c r="L249" s="2" t="s">
        <v>54</v>
      </c>
      <c r="M249" s="2" t="s">
        <v>805</v>
      </c>
      <c r="N249" s="2" t="s">
        <v>30</v>
      </c>
      <c r="O249" s="2" t="s">
        <v>36</v>
      </c>
      <c r="P249" s="2" t="s">
        <v>806</v>
      </c>
      <c r="Q249" s="2">
        <v>544.00800000000004</v>
      </c>
      <c r="R249" s="2">
        <v>3</v>
      </c>
      <c r="S249" s="2">
        <v>40.800600000000003</v>
      </c>
      <c r="T249" s="2" t="s">
        <v>129</v>
      </c>
      <c r="U249" s="2" t="s">
        <v>71</v>
      </c>
    </row>
    <row r="250" spans="1:21" ht="14.25" customHeight="1" x14ac:dyDescent="0.3">
      <c r="A250" s="2" t="s">
        <v>1104</v>
      </c>
      <c r="B250" s="5">
        <v>42569</v>
      </c>
      <c r="C250" s="2" t="str">
        <f>TEXT(data[[#This Row],[Order Date]],"YYYY")</f>
        <v>2016</v>
      </c>
      <c r="D250" s="2">
        <v>42575</v>
      </c>
      <c r="E250" s="2" t="s">
        <v>39</v>
      </c>
      <c r="F250" s="2" t="s">
        <v>1105</v>
      </c>
      <c r="G250" s="2" t="s">
        <v>1106</v>
      </c>
      <c r="H250" s="2" t="s">
        <v>90</v>
      </c>
      <c r="I250" s="2" t="s">
        <v>25</v>
      </c>
      <c r="J250" s="2" t="s">
        <v>265</v>
      </c>
      <c r="K250" s="2" t="s">
        <v>180</v>
      </c>
      <c r="L250" s="2" t="s">
        <v>54</v>
      </c>
      <c r="M250" s="2" t="s">
        <v>514</v>
      </c>
      <c r="N250" s="2" t="s">
        <v>30</v>
      </c>
      <c r="O250" s="2" t="s">
        <v>36</v>
      </c>
      <c r="P250" s="2" t="s">
        <v>515</v>
      </c>
      <c r="Q250" s="2">
        <v>854.35199999999998</v>
      </c>
      <c r="R250" s="2">
        <v>3</v>
      </c>
      <c r="S250" s="2">
        <v>10.679399999999999</v>
      </c>
      <c r="T250" s="2" t="s">
        <v>129</v>
      </c>
      <c r="U250" s="2" t="s">
        <v>71</v>
      </c>
    </row>
    <row r="251" spans="1:21" ht="14.25" customHeight="1" x14ac:dyDescent="0.3">
      <c r="A251" s="2" t="s">
        <v>1107</v>
      </c>
      <c r="B251" s="5">
        <v>42565</v>
      </c>
      <c r="C251" s="2" t="str">
        <f>TEXT(data[[#This Row],[Order Date]],"YYYY")</f>
        <v>2016</v>
      </c>
      <c r="D251" s="2">
        <v>42569</v>
      </c>
      <c r="E251" s="2" t="s">
        <v>21</v>
      </c>
      <c r="F251" s="2" t="s">
        <v>1108</v>
      </c>
      <c r="G251" s="2" t="s">
        <v>1109</v>
      </c>
      <c r="H251" s="2" t="s">
        <v>90</v>
      </c>
      <c r="I251" s="2" t="s">
        <v>25</v>
      </c>
      <c r="J251" s="2" t="s">
        <v>173</v>
      </c>
      <c r="K251" s="2" t="s">
        <v>120</v>
      </c>
      <c r="L251" s="2" t="s">
        <v>67</v>
      </c>
      <c r="M251" s="2" t="s">
        <v>277</v>
      </c>
      <c r="N251" s="2" t="s">
        <v>30</v>
      </c>
      <c r="O251" s="2" t="s">
        <v>31</v>
      </c>
      <c r="P251" s="2" t="s">
        <v>278</v>
      </c>
      <c r="Q251" s="2">
        <v>579.13599999999997</v>
      </c>
      <c r="R251" s="2">
        <v>4</v>
      </c>
      <c r="S251" s="2">
        <v>21.717600000000001</v>
      </c>
      <c r="T251" s="2" t="s">
        <v>83</v>
      </c>
      <c r="U251" s="2" t="s">
        <v>71</v>
      </c>
    </row>
    <row r="252" spans="1:21" ht="14.25" customHeight="1" x14ac:dyDescent="0.3">
      <c r="A252" s="2" t="s">
        <v>1110</v>
      </c>
      <c r="B252" s="5">
        <v>42987</v>
      </c>
      <c r="C252" s="2" t="str">
        <f>TEXT(data[[#This Row],[Order Date]],"YYYY")</f>
        <v>2017</v>
      </c>
      <c r="D252" s="2">
        <v>42991</v>
      </c>
      <c r="E252" s="2" t="s">
        <v>39</v>
      </c>
      <c r="F252" s="2" t="s">
        <v>1111</v>
      </c>
      <c r="G252" s="2" t="s">
        <v>1112</v>
      </c>
      <c r="H252" s="2" t="s">
        <v>90</v>
      </c>
      <c r="I252" s="2" t="s">
        <v>25</v>
      </c>
      <c r="J252" s="2" t="s">
        <v>65</v>
      </c>
      <c r="K252" s="2" t="s">
        <v>66</v>
      </c>
      <c r="L252" s="2" t="s">
        <v>67</v>
      </c>
      <c r="M252" s="2" t="s">
        <v>295</v>
      </c>
      <c r="N252" s="2" t="s">
        <v>30</v>
      </c>
      <c r="O252" s="2" t="s">
        <v>36</v>
      </c>
      <c r="P252" s="2" t="s">
        <v>296</v>
      </c>
      <c r="Q252" s="2">
        <v>141.37200000000001</v>
      </c>
      <c r="R252" s="2">
        <v>2</v>
      </c>
      <c r="S252" s="2">
        <v>-48.470399999999998</v>
      </c>
      <c r="T252" s="2" t="s">
        <v>83</v>
      </c>
      <c r="U252" s="2" t="s">
        <v>77</v>
      </c>
    </row>
    <row r="253" spans="1:21" ht="14.25" customHeight="1" x14ac:dyDescent="0.3">
      <c r="A253" s="2" t="s">
        <v>1110</v>
      </c>
      <c r="B253" s="5">
        <v>42987</v>
      </c>
      <c r="C253" s="2" t="str">
        <f>TEXT(data[[#This Row],[Order Date]],"YYYY")</f>
        <v>2017</v>
      </c>
      <c r="D253" s="2">
        <v>42991</v>
      </c>
      <c r="E253" s="2" t="s">
        <v>39</v>
      </c>
      <c r="F253" s="2" t="s">
        <v>1111</v>
      </c>
      <c r="G253" s="2" t="s">
        <v>1112</v>
      </c>
      <c r="H253" s="2" t="s">
        <v>90</v>
      </c>
      <c r="I253" s="2" t="s">
        <v>25</v>
      </c>
      <c r="J253" s="2" t="s">
        <v>65</v>
      </c>
      <c r="K253" s="2" t="s">
        <v>66</v>
      </c>
      <c r="L253" s="2" t="s">
        <v>67</v>
      </c>
      <c r="M253" s="2" t="s">
        <v>1113</v>
      </c>
      <c r="N253" s="2" t="s">
        <v>30</v>
      </c>
      <c r="O253" s="2" t="s">
        <v>56</v>
      </c>
      <c r="P253" s="2" t="s">
        <v>1114</v>
      </c>
      <c r="Q253" s="2">
        <v>17.024000000000001</v>
      </c>
      <c r="R253" s="2">
        <v>2</v>
      </c>
      <c r="S253" s="2">
        <v>1.7023999999999999</v>
      </c>
      <c r="T253" s="2" t="s">
        <v>83</v>
      </c>
      <c r="U253" s="2" t="s">
        <v>77</v>
      </c>
    </row>
    <row r="254" spans="1:21" ht="14.25" customHeight="1" x14ac:dyDescent="0.3">
      <c r="A254" s="2" t="s">
        <v>1115</v>
      </c>
      <c r="B254" s="5">
        <v>42708</v>
      </c>
      <c r="C254" s="2" t="str">
        <f>TEXT(data[[#This Row],[Order Date]],"YYYY")</f>
        <v>2016</v>
      </c>
      <c r="D254" s="2">
        <v>42709</v>
      </c>
      <c r="E254" s="2" t="s">
        <v>87</v>
      </c>
      <c r="F254" s="2" t="s">
        <v>243</v>
      </c>
      <c r="G254" s="2" t="s">
        <v>244</v>
      </c>
      <c r="H254" s="2" t="s">
        <v>24</v>
      </c>
      <c r="I254" s="2" t="s">
        <v>25</v>
      </c>
      <c r="J254" s="2" t="s">
        <v>173</v>
      </c>
      <c r="K254" s="2" t="s">
        <v>120</v>
      </c>
      <c r="L254" s="2" t="s">
        <v>67</v>
      </c>
      <c r="M254" s="2" t="s">
        <v>967</v>
      </c>
      <c r="N254" s="2" t="s">
        <v>30</v>
      </c>
      <c r="O254" s="2" t="s">
        <v>56</v>
      </c>
      <c r="P254" s="2" t="s">
        <v>968</v>
      </c>
      <c r="Q254" s="2">
        <v>113.79</v>
      </c>
      <c r="R254" s="2">
        <v>3</v>
      </c>
      <c r="S254" s="2">
        <v>20.482199999999999</v>
      </c>
      <c r="T254" s="2" t="s">
        <v>123</v>
      </c>
      <c r="U254" s="2" t="s">
        <v>96</v>
      </c>
    </row>
    <row r="255" spans="1:21" ht="14.25" customHeight="1" x14ac:dyDescent="0.3">
      <c r="A255" s="2" t="s">
        <v>1116</v>
      </c>
      <c r="B255" s="5">
        <v>43045</v>
      </c>
      <c r="C255" s="2" t="str">
        <f>TEXT(data[[#This Row],[Order Date]],"YYYY")</f>
        <v>2017</v>
      </c>
      <c r="D255" s="2">
        <v>43050</v>
      </c>
      <c r="E255" s="2" t="s">
        <v>39</v>
      </c>
      <c r="F255" s="2" t="s">
        <v>843</v>
      </c>
      <c r="G255" s="2" t="s">
        <v>844</v>
      </c>
      <c r="H255" s="2" t="s">
        <v>24</v>
      </c>
      <c r="I255" s="2" t="s">
        <v>25</v>
      </c>
      <c r="J255" s="2" t="s">
        <v>52</v>
      </c>
      <c r="K255" s="2" t="s">
        <v>53</v>
      </c>
      <c r="L255" s="2" t="s">
        <v>54</v>
      </c>
      <c r="M255" s="2" t="s">
        <v>895</v>
      </c>
      <c r="N255" s="2" t="s">
        <v>30</v>
      </c>
      <c r="O255" s="2" t="s">
        <v>56</v>
      </c>
      <c r="P255" s="2" t="s">
        <v>896</v>
      </c>
      <c r="Q255" s="2">
        <v>8.73</v>
      </c>
      <c r="R255" s="2">
        <v>1</v>
      </c>
      <c r="S255" s="2">
        <v>2.9681999999999999</v>
      </c>
      <c r="T255" s="2" t="s">
        <v>58</v>
      </c>
      <c r="U255" s="2" t="s">
        <v>34</v>
      </c>
    </row>
    <row r="256" spans="1:21" ht="14.25" customHeight="1" x14ac:dyDescent="0.3">
      <c r="A256" s="2" t="s">
        <v>1117</v>
      </c>
      <c r="B256" s="5">
        <v>42671</v>
      </c>
      <c r="C256" s="2" t="str">
        <f>TEXT(data[[#This Row],[Order Date]],"YYYY")</f>
        <v>2016</v>
      </c>
      <c r="D256" s="2">
        <v>42671</v>
      </c>
      <c r="E256" s="2" t="s">
        <v>425</v>
      </c>
      <c r="F256" s="2" t="s">
        <v>1118</v>
      </c>
      <c r="G256" s="2" t="s">
        <v>1119</v>
      </c>
      <c r="H256" s="2" t="s">
        <v>24</v>
      </c>
      <c r="I256" s="2" t="s">
        <v>25</v>
      </c>
      <c r="J256" s="2" t="s">
        <v>1120</v>
      </c>
      <c r="K256" s="2" t="s">
        <v>43</v>
      </c>
      <c r="L256" s="2" t="s">
        <v>28</v>
      </c>
      <c r="M256" s="2" t="s">
        <v>1121</v>
      </c>
      <c r="N256" s="2" t="s">
        <v>30</v>
      </c>
      <c r="O256" s="2" t="s">
        <v>56</v>
      </c>
      <c r="P256" s="2" t="s">
        <v>1122</v>
      </c>
      <c r="Q256" s="2">
        <v>47.951999999999998</v>
      </c>
      <c r="R256" s="2">
        <v>3</v>
      </c>
      <c r="S256" s="2">
        <v>13.786199999999999</v>
      </c>
      <c r="T256" s="2" t="s">
        <v>430</v>
      </c>
      <c r="U256" s="2" t="s">
        <v>48</v>
      </c>
    </row>
    <row r="257" spans="1:21" ht="14.25" customHeight="1" x14ac:dyDescent="0.3">
      <c r="A257" s="2" t="s">
        <v>1117</v>
      </c>
      <c r="B257" s="5">
        <v>42671</v>
      </c>
      <c r="C257" s="2" t="str">
        <f>TEXT(data[[#This Row],[Order Date]],"YYYY")</f>
        <v>2016</v>
      </c>
      <c r="D257" s="2">
        <v>42671</v>
      </c>
      <c r="E257" s="2" t="s">
        <v>425</v>
      </c>
      <c r="F257" s="2" t="s">
        <v>1118</v>
      </c>
      <c r="G257" s="2" t="s">
        <v>1119</v>
      </c>
      <c r="H257" s="2" t="s">
        <v>24</v>
      </c>
      <c r="I257" s="2" t="s">
        <v>25</v>
      </c>
      <c r="J257" s="2" t="s">
        <v>1120</v>
      </c>
      <c r="K257" s="2" t="s">
        <v>43</v>
      </c>
      <c r="L257" s="2" t="s">
        <v>28</v>
      </c>
      <c r="M257" s="2" t="s">
        <v>1123</v>
      </c>
      <c r="N257" s="2" t="s">
        <v>30</v>
      </c>
      <c r="O257" s="2" t="s">
        <v>56</v>
      </c>
      <c r="P257" s="2" t="s">
        <v>1124</v>
      </c>
      <c r="Q257" s="2">
        <v>63.968000000000004</v>
      </c>
      <c r="R257" s="2">
        <v>2</v>
      </c>
      <c r="S257" s="2">
        <v>0</v>
      </c>
      <c r="T257" s="2" t="s">
        <v>430</v>
      </c>
      <c r="U257" s="2" t="s">
        <v>48</v>
      </c>
    </row>
    <row r="258" spans="1:21" ht="14.25" customHeight="1" x14ac:dyDescent="0.3">
      <c r="A258" s="2" t="s">
        <v>1117</v>
      </c>
      <c r="B258" s="5">
        <v>42671</v>
      </c>
      <c r="C258" s="2" t="str">
        <f>TEXT(data[[#This Row],[Order Date]],"YYYY")</f>
        <v>2016</v>
      </c>
      <c r="D258" s="2">
        <v>42671</v>
      </c>
      <c r="E258" s="2" t="s">
        <v>425</v>
      </c>
      <c r="F258" s="2" t="s">
        <v>1118</v>
      </c>
      <c r="G258" s="2" t="s">
        <v>1119</v>
      </c>
      <c r="H258" s="2" t="s">
        <v>24</v>
      </c>
      <c r="I258" s="2" t="s">
        <v>25</v>
      </c>
      <c r="J258" s="2" t="s">
        <v>1120</v>
      </c>
      <c r="K258" s="2" t="s">
        <v>43</v>
      </c>
      <c r="L258" s="2" t="s">
        <v>28</v>
      </c>
      <c r="M258" s="2" t="s">
        <v>705</v>
      </c>
      <c r="N258" s="2" t="s">
        <v>30</v>
      </c>
      <c r="O258" s="2" t="s">
        <v>56</v>
      </c>
      <c r="P258" s="2" t="s">
        <v>706</v>
      </c>
      <c r="Q258" s="2">
        <v>165.048</v>
      </c>
      <c r="R258" s="2">
        <v>3</v>
      </c>
      <c r="S258" s="2">
        <v>41.262</v>
      </c>
      <c r="T258" s="2" t="s">
        <v>430</v>
      </c>
      <c r="U258" s="2" t="s">
        <v>48</v>
      </c>
    </row>
    <row r="259" spans="1:21" ht="14.25" customHeight="1" x14ac:dyDescent="0.3">
      <c r="A259" s="2" t="s">
        <v>1125</v>
      </c>
      <c r="B259" s="5">
        <v>41862</v>
      </c>
      <c r="C259" s="2" t="str">
        <f>TEXT(data[[#This Row],[Order Date]],"YYYY")</f>
        <v>2014</v>
      </c>
      <c r="D259" s="2">
        <v>41866</v>
      </c>
      <c r="E259" s="2" t="s">
        <v>39</v>
      </c>
      <c r="F259" s="2" t="s">
        <v>1126</v>
      </c>
      <c r="G259" s="2" t="s">
        <v>1127</v>
      </c>
      <c r="H259" s="2" t="s">
        <v>24</v>
      </c>
      <c r="I259" s="2" t="s">
        <v>25</v>
      </c>
      <c r="J259" s="2" t="s">
        <v>191</v>
      </c>
      <c r="K259" s="2" t="s">
        <v>192</v>
      </c>
      <c r="L259" s="2" t="s">
        <v>54</v>
      </c>
      <c r="M259" s="2" t="s">
        <v>1128</v>
      </c>
      <c r="N259" s="2" t="s">
        <v>30</v>
      </c>
      <c r="O259" s="2" t="s">
        <v>56</v>
      </c>
      <c r="P259" s="2" t="s">
        <v>1129</v>
      </c>
      <c r="Q259" s="2">
        <v>12.35</v>
      </c>
      <c r="R259" s="2">
        <v>1</v>
      </c>
      <c r="S259" s="2">
        <v>5.4340000000000002</v>
      </c>
      <c r="T259" s="2" t="s">
        <v>83</v>
      </c>
      <c r="U259" s="2" t="s">
        <v>253</v>
      </c>
    </row>
    <row r="260" spans="1:21" ht="14.25" customHeight="1" x14ac:dyDescent="0.3">
      <c r="A260" s="2" t="s">
        <v>1130</v>
      </c>
      <c r="B260" s="5">
        <v>41985</v>
      </c>
      <c r="C260" s="2" t="str">
        <f>TEXT(data[[#This Row],[Order Date]],"YYYY")</f>
        <v>2014</v>
      </c>
      <c r="D260" s="2">
        <v>41987</v>
      </c>
      <c r="E260" s="2" t="s">
        <v>21</v>
      </c>
      <c r="F260" s="2" t="s">
        <v>1131</v>
      </c>
      <c r="G260" s="2" t="s">
        <v>1132</v>
      </c>
      <c r="H260" s="2" t="s">
        <v>24</v>
      </c>
      <c r="I260" s="2" t="s">
        <v>25</v>
      </c>
      <c r="J260" s="2" t="s">
        <v>1133</v>
      </c>
      <c r="K260" s="2" t="s">
        <v>53</v>
      </c>
      <c r="L260" s="2" t="s">
        <v>54</v>
      </c>
      <c r="M260" s="2" t="s">
        <v>1134</v>
      </c>
      <c r="N260" s="2" t="s">
        <v>30</v>
      </c>
      <c r="O260" s="2" t="s">
        <v>45</v>
      </c>
      <c r="P260" s="2" t="s">
        <v>1135</v>
      </c>
      <c r="Q260" s="2">
        <v>764.68799999999999</v>
      </c>
      <c r="R260" s="2">
        <v>6</v>
      </c>
      <c r="S260" s="2">
        <v>95.585999999999999</v>
      </c>
      <c r="T260" s="2" t="s">
        <v>70</v>
      </c>
      <c r="U260" s="2" t="s">
        <v>96</v>
      </c>
    </row>
    <row r="261" spans="1:21" ht="14.25" customHeight="1" x14ac:dyDescent="0.3">
      <c r="A261" s="2" t="s">
        <v>1130</v>
      </c>
      <c r="B261" s="5">
        <v>41985</v>
      </c>
      <c r="C261" s="2" t="str">
        <f>TEXT(data[[#This Row],[Order Date]],"YYYY")</f>
        <v>2014</v>
      </c>
      <c r="D261" s="2">
        <v>41987</v>
      </c>
      <c r="E261" s="2" t="s">
        <v>21</v>
      </c>
      <c r="F261" s="2" t="s">
        <v>1131</v>
      </c>
      <c r="G261" s="2" t="s">
        <v>1132</v>
      </c>
      <c r="H261" s="2" t="s">
        <v>24</v>
      </c>
      <c r="I261" s="2" t="s">
        <v>25</v>
      </c>
      <c r="J261" s="2" t="s">
        <v>1133</v>
      </c>
      <c r="K261" s="2" t="s">
        <v>53</v>
      </c>
      <c r="L261" s="2" t="s">
        <v>54</v>
      </c>
      <c r="M261" s="2" t="s">
        <v>306</v>
      </c>
      <c r="N261" s="2" t="s">
        <v>30</v>
      </c>
      <c r="O261" s="2" t="s">
        <v>45</v>
      </c>
      <c r="P261" s="2" t="s">
        <v>307</v>
      </c>
      <c r="Q261" s="2">
        <v>3610.848</v>
      </c>
      <c r="R261" s="2">
        <v>12</v>
      </c>
      <c r="S261" s="2">
        <v>135.4068</v>
      </c>
      <c r="T261" s="2" t="s">
        <v>70</v>
      </c>
      <c r="U261" s="2" t="s">
        <v>96</v>
      </c>
    </row>
    <row r="262" spans="1:21" ht="14.25" customHeight="1" x14ac:dyDescent="0.3">
      <c r="A262" s="2" t="s">
        <v>1130</v>
      </c>
      <c r="B262" s="5">
        <v>41985</v>
      </c>
      <c r="C262" s="2" t="str">
        <f>TEXT(data[[#This Row],[Order Date]],"YYYY")</f>
        <v>2014</v>
      </c>
      <c r="D262" s="2">
        <v>41987</v>
      </c>
      <c r="E262" s="2" t="s">
        <v>21</v>
      </c>
      <c r="F262" s="2" t="s">
        <v>1131</v>
      </c>
      <c r="G262" s="2" t="s">
        <v>1132</v>
      </c>
      <c r="H262" s="2" t="s">
        <v>24</v>
      </c>
      <c r="I262" s="2" t="s">
        <v>25</v>
      </c>
      <c r="J262" s="2" t="s">
        <v>1133</v>
      </c>
      <c r="K262" s="2" t="s">
        <v>53</v>
      </c>
      <c r="L262" s="2" t="s">
        <v>54</v>
      </c>
      <c r="M262" s="2" t="s">
        <v>1136</v>
      </c>
      <c r="N262" s="2" t="s">
        <v>30</v>
      </c>
      <c r="O262" s="2" t="s">
        <v>31</v>
      </c>
      <c r="P262" s="2" t="s">
        <v>1137</v>
      </c>
      <c r="Q262" s="2">
        <v>254.97450000000001</v>
      </c>
      <c r="R262" s="2">
        <v>3</v>
      </c>
      <c r="S262" s="2">
        <v>11.998799999999999</v>
      </c>
      <c r="T262" s="2" t="s">
        <v>70</v>
      </c>
      <c r="U262" s="2" t="s">
        <v>96</v>
      </c>
    </row>
    <row r="263" spans="1:21" ht="14.25" customHeight="1" x14ac:dyDescent="0.3">
      <c r="A263" s="2" t="s">
        <v>1138</v>
      </c>
      <c r="B263" s="5">
        <v>43087</v>
      </c>
      <c r="C263" s="2" t="str">
        <f>TEXT(data[[#This Row],[Order Date]],"YYYY")</f>
        <v>2017</v>
      </c>
      <c r="D263" s="2">
        <v>43093</v>
      </c>
      <c r="E263" s="2" t="s">
        <v>39</v>
      </c>
      <c r="F263" s="2" t="s">
        <v>1139</v>
      </c>
      <c r="G263" s="2" t="s">
        <v>1140</v>
      </c>
      <c r="H263" s="2" t="s">
        <v>24</v>
      </c>
      <c r="I263" s="2" t="s">
        <v>25</v>
      </c>
      <c r="J263" s="2" t="s">
        <v>173</v>
      </c>
      <c r="K263" s="2" t="s">
        <v>120</v>
      </c>
      <c r="L263" s="2" t="s">
        <v>67</v>
      </c>
      <c r="M263" s="2" t="s">
        <v>1141</v>
      </c>
      <c r="N263" s="2" t="s">
        <v>30</v>
      </c>
      <c r="O263" s="2" t="s">
        <v>36</v>
      </c>
      <c r="P263" s="2" t="s">
        <v>1142</v>
      </c>
      <c r="Q263" s="2">
        <v>1141.9380000000001</v>
      </c>
      <c r="R263" s="2">
        <v>9</v>
      </c>
      <c r="S263" s="2">
        <v>139.5702</v>
      </c>
      <c r="T263" s="2" t="s">
        <v>129</v>
      </c>
      <c r="U263" s="2" t="s">
        <v>96</v>
      </c>
    </row>
    <row r="264" spans="1:21" ht="14.25" customHeight="1" x14ac:dyDescent="0.3">
      <c r="A264" s="2" t="s">
        <v>1143</v>
      </c>
      <c r="B264" s="5">
        <v>42804</v>
      </c>
      <c r="C264" s="2" t="str">
        <f>TEXT(data[[#This Row],[Order Date]],"YYYY")</f>
        <v>2017</v>
      </c>
      <c r="D264" s="2">
        <v>42808</v>
      </c>
      <c r="E264" s="2" t="s">
        <v>39</v>
      </c>
      <c r="F264" s="2" t="s">
        <v>1144</v>
      </c>
      <c r="G264" s="2" t="s">
        <v>1145</v>
      </c>
      <c r="H264" s="2" t="s">
        <v>100</v>
      </c>
      <c r="I264" s="2" t="s">
        <v>25</v>
      </c>
      <c r="J264" s="2" t="s">
        <v>1146</v>
      </c>
      <c r="K264" s="2" t="s">
        <v>66</v>
      </c>
      <c r="L264" s="2" t="s">
        <v>67</v>
      </c>
      <c r="M264" s="2" t="s">
        <v>1147</v>
      </c>
      <c r="N264" s="2" t="s">
        <v>30</v>
      </c>
      <c r="O264" s="2" t="s">
        <v>56</v>
      </c>
      <c r="P264" s="2" t="s">
        <v>1148</v>
      </c>
      <c r="Q264" s="2">
        <v>6.6959999999999997</v>
      </c>
      <c r="R264" s="2">
        <v>1</v>
      </c>
      <c r="S264" s="2">
        <v>0.50219999999999998</v>
      </c>
      <c r="T264" s="2" t="s">
        <v>83</v>
      </c>
      <c r="U264" s="2" t="s">
        <v>195</v>
      </c>
    </row>
    <row r="265" spans="1:21" ht="14.25" customHeight="1" x14ac:dyDescent="0.3">
      <c r="A265" s="2" t="s">
        <v>1143</v>
      </c>
      <c r="B265" s="5">
        <v>42804</v>
      </c>
      <c r="C265" s="2" t="str">
        <f>TEXT(data[[#This Row],[Order Date]],"YYYY")</f>
        <v>2017</v>
      </c>
      <c r="D265" s="2">
        <v>42808</v>
      </c>
      <c r="E265" s="2" t="s">
        <v>39</v>
      </c>
      <c r="F265" s="2" t="s">
        <v>1144</v>
      </c>
      <c r="G265" s="2" t="s">
        <v>1145</v>
      </c>
      <c r="H265" s="2" t="s">
        <v>100</v>
      </c>
      <c r="I265" s="2" t="s">
        <v>25</v>
      </c>
      <c r="J265" s="2" t="s">
        <v>1146</v>
      </c>
      <c r="K265" s="2" t="s">
        <v>66</v>
      </c>
      <c r="L265" s="2" t="s">
        <v>67</v>
      </c>
      <c r="M265" s="2" t="s">
        <v>1149</v>
      </c>
      <c r="N265" s="2" t="s">
        <v>30</v>
      </c>
      <c r="O265" s="2" t="s">
        <v>56</v>
      </c>
      <c r="P265" s="2" t="s">
        <v>1150</v>
      </c>
      <c r="Q265" s="2">
        <v>43.872</v>
      </c>
      <c r="R265" s="2">
        <v>2</v>
      </c>
      <c r="S265" s="2">
        <v>11.516400000000001</v>
      </c>
      <c r="T265" s="2" t="s">
        <v>83</v>
      </c>
      <c r="U265" s="2" t="s">
        <v>195</v>
      </c>
    </row>
    <row r="266" spans="1:21" ht="14.25" customHeight="1" x14ac:dyDescent="0.3">
      <c r="A266" s="2" t="s">
        <v>1151</v>
      </c>
      <c r="B266" s="5">
        <v>42644</v>
      </c>
      <c r="C266" s="2" t="str">
        <f>TEXT(data[[#This Row],[Order Date]],"YYYY")</f>
        <v>2016</v>
      </c>
      <c r="D266" s="2">
        <v>42645</v>
      </c>
      <c r="E266" s="2" t="s">
        <v>87</v>
      </c>
      <c r="F266" s="2" t="s">
        <v>1152</v>
      </c>
      <c r="G266" s="2" t="s">
        <v>1153</v>
      </c>
      <c r="H266" s="2" t="s">
        <v>24</v>
      </c>
      <c r="I266" s="2" t="s">
        <v>25</v>
      </c>
      <c r="J266" s="2" t="s">
        <v>1154</v>
      </c>
      <c r="K266" s="2" t="s">
        <v>110</v>
      </c>
      <c r="L266" s="2" t="s">
        <v>93</v>
      </c>
      <c r="M266" s="2" t="s">
        <v>1147</v>
      </c>
      <c r="N266" s="2" t="s">
        <v>30</v>
      </c>
      <c r="O266" s="2" t="s">
        <v>56</v>
      </c>
      <c r="P266" s="2" t="s">
        <v>1148</v>
      </c>
      <c r="Q266" s="2">
        <v>41.85</v>
      </c>
      <c r="R266" s="2">
        <v>5</v>
      </c>
      <c r="S266" s="2">
        <v>10.881</v>
      </c>
      <c r="T266" s="2" t="s">
        <v>123</v>
      </c>
      <c r="U266" s="2" t="s">
        <v>48</v>
      </c>
    </row>
    <row r="267" spans="1:21" ht="14.25" customHeight="1" x14ac:dyDescent="0.3">
      <c r="A267" s="2" t="s">
        <v>1155</v>
      </c>
      <c r="B267" s="5">
        <v>41997</v>
      </c>
      <c r="C267" s="2" t="str">
        <f>TEXT(data[[#This Row],[Order Date]],"YYYY")</f>
        <v>2014</v>
      </c>
      <c r="D267" s="2">
        <v>42002</v>
      </c>
      <c r="E267" s="2" t="s">
        <v>39</v>
      </c>
      <c r="F267" s="2" t="s">
        <v>1156</v>
      </c>
      <c r="G267" s="2" t="s">
        <v>1157</v>
      </c>
      <c r="H267" s="2" t="s">
        <v>90</v>
      </c>
      <c r="I267" s="2" t="s">
        <v>25</v>
      </c>
      <c r="J267" s="2" t="s">
        <v>52</v>
      </c>
      <c r="K267" s="2" t="s">
        <v>53</v>
      </c>
      <c r="L267" s="2" t="s">
        <v>54</v>
      </c>
      <c r="M267" s="2" t="s">
        <v>135</v>
      </c>
      <c r="N267" s="2" t="s">
        <v>30</v>
      </c>
      <c r="O267" s="2" t="s">
        <v>36</v>
      </c>
      <c r="P267" s="2" t="s">
        <v>136</v>
      </c>
      <c r="Q267" s="2">
        <v>292.27199999999999</v>
      </c>
      <c r="R267" s="2">
        <v>6</v>
      </c>
      <c r="S267" s="2">
        <v>18.266999999999999</v>
      </c>
      <c r="T267" s="2" t="s">
        <v>58</v>
      </c>
      <c r="U267" s="2" t="s">
        <v>96</v>
      </c>
    </row>
    <row r="268" spans="1:21" ht="14.25" customHeight="1" x14ac:dyDescent="0.3">
      <c r="A268" s="2" t="s">
        <v>1158</v>
      </c>
      <c r="B268" s="5">
        <v>43001</v>
      </c>
      <c r="C268" s="2" t="str">
        <f>TEXT(data[[#This Row],[Order Date]],"YYYY")</f>
        <v>2017</v>
      </c>
      <c r="D268" s="2">
        <v>43005</v>
      </c>
      <c r="E268" s="2" t="s">
        <v>39</v>
      </c>
      <c r="F268" s="2" t="s">
        <v>1159</v>
      </c>
      <c r="G268" s="2" t="s">
        <v>1160</v>
      </c>
      <c r="H268" s="2" t="s">
        <v>90</v>
      </c>
      <c r="I268" s="2" t="s">
        <v>25</v>
      </c>
      <c r="J268" s="2" t="s">
        <v>865</v>
      </c>
      <c r="K268" s="2" t="s">
        <v>180</v>
      </c>
      <c r="L268" s="2" t="s">
        <v>54</v>
      </c>
      <c r="M268" s="2" t="s">
        <v>493</v>
      </c>
      <c r="N268" s="2" t="s">
        <v>30</v>
      </c>
      <c r="O268" s="2" t="s">
        <v>56</v>
      </c>
      <c r="P268" s="2" t="s">
        <v>494</v>
      </c>
      <c r="Q268" s="2">
        <v>29.327999999999999</v>
      </c>
      <c r="R268" s="2">
        <v>3</v>
      </c>
      <c r="S268" s="2">
        <v>3.6659999999999999</v>
      </c>
      <c r="T268" s="2" t="s">
        <v>83</v>
      </c>
      <c r="U268" s="2" t="s">
        <v>77</v>
      </c>
    </row>
    <row r="269" spans="1:21" ht="14.25" customHeight="1" x14ac:dyDescent="0.3">
      <c r="A269" s="2" t="s">
        <v>1161</v>
      </c>
      <c r="B269" s="5">
        <v>42516</v>
      </c>
      <c r="C269" s="2" t="str">
        <f>TEXT(data[[#This Row],[Order Date]],"YYYY")</f>
        <v>2016</v>
      </c>
      <c r="D269" s="2">
        <v>42516</v>
      </c>
      <c r="E269" s="2" t="s">
        <v>425</v>
      </c>
      <c r="F269" s="2" t="s">
        <v>1162</v>
      </c>
      <c r="G269" s="2" t="s">
        <v>1163</v>
      </c>
      <c r="H269" s="2" t="s">
        <v>24</v>
      </c>
      <c r="I269" s="2" t="s">
        <v>25</v>
      </c>
      <c r="J269" s="2" t="s">
        <v>595</v>
      </c>
      <c r="K269" s="2" t="s">
        <v>92</v>
      </c>
      <c r="L269" s="2" t="s">
        <v>93</v>
      </c>
      <c r="M269" s="2" t="s">
        <v>1164</v>
      </c>
      <c r="N269" s="2" t="s">
        <v>30</v>
      </c>
      <c r="O269" s="2" t="s">
        <v>36</v>
      </c>
      <c r="P269" s="2" t="s">
        <v>1165</v>
      </c>
      <c r="Q269" s="2">
        <v>388.43</v>
      </c>
      <c r="R269" s="2">
        <v>5</v>
      </c>
      <c r="S269" s="2">
        <v>-88.784000000000006</v>
      </c>
      <c r="T269" s="2" t="s">
        <v>430</v>
      </c>
      <c r="U269" s="2" t="s">
        <v>161</v>
      </c>
    </row>
    <row r="270" spans="1:21" ht="14.25" customHeight="1" x14ac:dyDescent="0.3">
      <c r="A270" s="2" t="s">
        <v>1166</v>
      </c>
      <c r="B270" s="5">
        <v>42696</v>
      </c>
      <c r="C270" s="2" t="str">
        <f>TEXT(data[[#This Row],[Order Date]],"YYYY")</f>
        <v>2016</v>
      </c>
      <c r="D270" s="2">
        <v>42700</v>
      </c>
      <c r="E270" s="2" t="s">
        <v>39</v>
      </c>
      <c r="F270" s="2" t="s">
        <v>1167</v>
      </c>
      <c r="G270" s="2" t="s">
        <v>1168</v>
      </c>
      <c r="H270" s="2" t="s">
        <v>90</v>
      </c>
      <c r="I270" s="2" t="s">
        <v>25</v>
      </c>
      <c r="J270" s="2" t="s">
        <v>173</v>
      </c>
      <c r="K270" s="2" t="s">
        <v>120</v>
      </c>
      <c r="L270" s="2" t="s">
        <v>67</v>
      </c>
      <c r="M270" s="2" t="s">
        <v>127</v>
      </c>
      <c r="N270" s="2" t="s">
        <v>30</v>
      </c>
      <c r="O270" s="2" t="s">
        <v>56</v>
      </c>
      <c r="P270" s="2" t="s">
        <v>128</v>
      </c>
      <c r="Q270" s="2">
        <v>39.880000000000003</v>
      </c>
      <c r="R270" s="2">
        <v>2</v>
      </c>
      <c r="S270" s="2">
        <v>11.166399999999999</v>
      </c>
      <c r="T270" s="2" t="s">
        <v>83</v>
      </c>
      <c r="U270" s="2" t="s">
        <v>34</v>
      </c>
    </row>
    <row r="271" spans="1:21" ht="14.25" customHeight="1" x14ac:dyDescent="0.3">
      <c r="A271" s="2" t="s">
        <v>1169</v>
      </c>
      <c r="B271" s="5">
        <v>42727</v>
      </c>
      <c r="C271" s="2" t="str">
        <f>TEXT(data[[#This Row],[Order Date]],"YYYY")</f>
        <v>2016</v>
      </c>
      <c r="D271" s="2">
        <v>42729</v>
      </c>
      <c r="E271" s="2" t="s">
        <v>21</v>
      </c>
      <c r="F271" s="2" t="s">
        <v>1170</v>
      </c>
      <c r="G271" s="2" t="s">
        <v>1171</v>
      </c>
      <c r="H271" s="2" t="s">
        <v>24</v>
      </c>
      <c r="I271" s="2" t="s">
        <v>25</v>
      </c>
      <c r="J271" s="2" t="s">
        <v>878</v>
      </c>
      <c r="K271" s="2" t="s">
        <v>716</v>
      </c>
      <c r="L271" s="2" t="s">
        <v>28</v>
      </c>
      <c r="M271" s="2" t="s">
        <v>94</v>
      </c>
      <c r="N271" s="2" t="s">
        <v>30</v>
      </c>
      <c r="O271" s="2" t="s">
        <v>56</v>
      </c>
      <c r="P271" s="2" t="s">
        <v>95</v>
      </c>
      <c r="Q271" s="2">
        <v>572.76</v>
      </c>
      <c r="R271" s="2">
        <v>6</v>
      </c>
      <c r="S271" s="2">
        <v>166.10040000000001</v>
      </c>
      <c r="T271" s="2" t="s">
        <v>70</v>
      </c>
      <c r="U271" s="2" t="s">
        <v>96</v>
      </c>
    </row>
    <row r="272" spans="1:21" ht="14.25" customHeight="1" x14ac:dyDescent="0.3">
      <c r="A272" s="2" t="s">
        <v>1169</v>
      </c>
      <c r="B272" s="5">
        <v>42727</v>
      </c>
      <c r="C272" s="2" t="str">
        <f>TEXT(data[[#This Row],[Order Date]],"YYYY")</f>
        <v>2016</v>
      </c>
      <c r="D272" s="2">
        <v>42729</v>
      </c>
      <c r="E272" s="2" t="s">
        <v>21</v>
      </c>
      <c r="F272" s="2" t="s">
        <v>1170</v>
      </c>
      <c r="G272" s="2" t="s">
        <v>1171</v>
      </c>
      <c r="H272" s="2" t="s">
        <v>24</v>
      </c>
      <c r="I272" s="2" t="s">
        <v>25</v>
      </c>
      <c r="J272" s="2" t="s">
        <v>878</v>
      </c>
      <c r="K272" s="2" t="s">
        <v>716</v>
      </c>
      <c r="L272" s="2" t="s">
        <v>28</v>
      </c>
      <c r="M272" s="2" t="s">
        <v>94</v>
      </c>
      <c r="N272" s="2" t="s">
        <v>30</v>
      </c>
      <c r="O272" s="2" t="s">
        <v>56</v>
      </c>
      <c r="P272" s="2" t="s">
        <v>95</v>
      </c>
      <c r="Q272" s="2">
        <v>286.38</v>
      </c>
      <c r="R272" s="2">
        <v>3</v>
      </c>
      <c r="S272" s="2">
        <v>83.050200000000004</v>
      </c>
      <c r="T272" s="2" t="s">
        <v>70</v>
      </c>
      <c r="U272" s="2" t="s">
        <v>96</v>
      </c>
    </row>
    <row r="273" spans="1:21" ht="14.25" customHeight="1" x14ac:dyDescent="0.3">
      <c r="A273" s="2" t="s">
        <v>1172</v>
      </c>
      <c r="B273" s="5">
        <v>42266</v>
      </c>
      <c r="C273" s="2" t="str">
        <f>TEXT(data[[#This Row],[Order Date]],"YYYY")</f>
        <v>2015</v>
      </c>
      <c r="D273" s="2">
        <v>42271</v>
      </c>
      <c r="E273" s="2" t="s">
        <v>21</v>
      </c>
      <c r="F273" s="2" t="s">
        <v>1173</v>
      </c>
      <c r="G273" s="2" t="s">
        <v>1174</v>
      </c>
      <c r="H273" s="2" t="s">
        <v>100</v>
      </c>
      <c r="I273" s="2" t="s">
        <v>25</v>
      </c>
      <c r="J273" s="2" t="s">
        <v>689</v>
      </c>
      <c r="K273" s="2" t="s">
        <v>716</v>
      </c>
      <c r="L273" s="2" t="s">
        <v>28</v>
      </c>
      <c r="M273" s="2" t="s">
        <v>1175</v>
      </c>
      <c r="N273" s="2" t="s">
        <v>30</v>
      </c>
      <c r="O273" s="2" t="s">
        <v>31</v>
      </c>
      <c r="P273" s="2" t="s">
        <v>1176</v>
      </c>
      <c r="Q273" s="2">
        <v>61.96</v>
      </c>
      <c r="R273" s="2">
        <v>2</v>
      </c>
      <c r="S273" s="2">
        <v>4.3372000000000002</v>
      </c>
      <c r="T273" s="2" t="s">
        <v>58</v>
      </c>
      <c r="U273" s="2" t="s">
        <v>77</v>
      </c>
    </row>
    <row r="274" spans="1:21" ht="14.25" customHeight="1" x14ac:dyDescent="0.3">
      <c r="A274" s="2" t="s">
        <v>1177</v>
      </c>
      <c r="B274" s="5">
        <v>42919</v>
      </c>
      <c r="C274" s="2" t="str">
        <f>TEXT(data[[#This Row],[Order Date]],"YYYY")</f>
        <v>2017</v>
      </c>
      <c r="D274" s="2">
        <v>42923</v>
      </c>
      <c r="E274" s="2" t="s">
        <v>39</v>
      </c>
      <c r="F274" s="2" t="s">
        <v>1178</v>
      </c>
      <c r="G274" s="2" t="s">
        <v>1179</v>
      </c>
      <c r="H274" s="2" t="s">
        <v>24</v>
      </c>
      <c r="I274" s="2" t="s">
        <v>25</v>
      </c>
      <c r="J274" s="2" t="s">
        <v>347</v>
      </c>
      <c r="K274" s="2" t="s">
        <v>667</v>
      </c>
      <c r="L274" s="2" t="s">
        <v>28</v>
      </c>
      <c r="M274" s="2" t="s">
        <v>1180</v>
      </c>
      <c r="N274" s="2" t="s">
        <v>30</v>
      </c>
      <c r="O274" s="2" t="s">
        <v>56</v>
      </c>
      <c r="P274" s="2" t="s">
        <v>1181</v>
      </c>
      <c r="Q274" s="2">
        <v>23.99</v>
      </c>
      <c r="R274" s="2">
        <v>1</v>
      </c>
      <c r="S274" s="2">
        <v>5.5176999999999996</v>
      </c>
      <c r="T274" s="2" t="s">
        <v>83</v>
      </c>
      <c r="U274" s="2" t="s">
        <v>71</v>
      </c>
    </row>
    <row r="275" spans="1:21" ht="14.25" customHeight="1" x14ac:dyDescent="0.3">
      <c r="A275" s="2" t="s">
        <v>1182</v>
      </c>
      <c r="B275" s="5">
        <v>42541</v>
      </c>
      <c r="C275" s="2" t="str">
        <f>TEXT(data[[#This Row],[Order Date]],"YYYY")</f>
        <v>2016</v>
      </c>
      <c r="D275" s="2">
        <v>42542</v>
      </c>
      <c r="E275" s="2" t="s">
        <v>87</v>
      </c>
      <c r="F275" s="2" t="s">
        <v>1183</v>
      </c>
      <c r="G275" s="2" t="s">
        <v>1184</v>
      </c>
      <c r="H275" s="2" t="s">
        <v>24</v>
      </c>
      <c r="I275" s="2" t="s">
        <v>25</v>
      </c>
      <c r="J275" s="2" t="s">
        <v>1185</v>
      </c>
      <c r="K275" s="2" t="s">
        <v>53</v>
      </c>
      <c r="L275" s="2" t="s">
        <v>54</v>
      </c>
      <c r="M275" s="2" t="s">
        <v>1186</v>
      </c>
      <c r="N275" s="2" t="s">
        <v>30</v>
      </c>
      <c r="O275" s="2" t="s">
        <v>36</v>
      </c>
      <c r="P275" s="2" t="s">
        <v>1187</v>
      </c>
      <c r="Q275" s="2">
        <v>161.56800000000001</v>
      </c>
      <c r="R275" s="2">
        <v>2</v>
      </c>
      <c r="S275" s="2">
        <v>-8.0784000000000002</v>
      </c>
      <c r="T275" s="2" t="s">
        <v>123</v>
      </c>
      <c r="U275" s="2" t="s">
        <v>59</v>
      </c>
    </row>
    <row r="276" spans="1:21" ht="14.25" customHeight="1" x14ac:dyDescent="0.3">
      <c r="A276" s="2" t="s">
        <v>1188</v>
      </c>
      <c r="B276" s="5">
        <v>42637</v>
      </c>
      <c r="C276" s="2" t="str">
        <f>TEXT(data[[#This Row],[Order Date]],"YYYY")</f>
        <v>2016</v>
      </c>
      <c r="D276" s="2">
        <v>42644</v>
      </c>
      <c r="E276" s="2" t="s">
        <v>39</v>
      </c>
      <c r="F276" s="2" t="s">
        <v>491</v>
      </c>
      <c r="G276" s="2" t="s">
        <v>492</v>
      </c>
      <c r="H276" s="2" t="s">
        <v>24</v>
      </c>
      <c r="I276" s="2" t="s">
        <v>25</v>
      </c>
      <c r="J276" s="2" t="s">
        <v>347</v>
      </c>
      <c r="K276" s="2" t="s">
        <v>231</v>
      </c>
      <c r="L276" s="2" t="s">
        <v>67</v>
      </c>
      <c r="M276" s="2" t="s">
        <v>821</v>
      </c>
      <c r="N276" s="2" t="s">
        <v>30</v>
      </c>
      <c r="O276" s="2" t="s">
        <v>36</v>
      </c>
      <c r="P276" s="2" t="s">
        <v>822</v>
      </c>
      <c r="Q276" s="2">
        <v>155.37200000000001</v>
      </c>
      <c r="R276" s="2">
        <v>2</v>
      </c>
      <c r="S276" s="2">
        <v>-13.317600000000001</v>
      </c>
      <c r="T276" s="2" t="s">
        <v>47</v>
      </c>
      <c r="U276" s="2" t="s">
        <v>77</v>
      </c>
    </row>
    <row r="277" spans="1:21" ht="14.25" customHeight="1" x14ac:dyDescent="0.3">
      <c r="A277" s="2" t="s">
        <v>1189</v>
      </c>
      <c r="B277" s="5">
        <v>42722</v>
      </c>
      <c r="C277" s="2" t="str">
        <f>TEXT(data[[#This Row],[Order Date]],"YYYY")</f>
        <v>2016</v>
      </c>
      <c r="D277" s="2">
        <v>42727</v>
      </c>
      <c r="E277" s="2" t="s">
        <v>39</v>
      </c>
      <c r="F277" s="2" t="s">
        <v>1190</v>
      </c>
      <c r="G277" s="2" t="s">
        <v>1191</v>
      </c>
      <c r="H277" s="2" t="s">
        <v>90</v>
      </c>
      <c r="I277" s="2" t="s">
        <v>25</v>
      </c>
      <c r="J277" s="2" t="s">
        <v>52</v>
      </c>
      <c r="K277" s="2" t="s">
        <v>53</v>
      </c>
      <c r="L277" s="2" t="s">
        <v>54</v>
      </c>
      <c r="M277" s="2" t="s">
        <v>1192</v>
      </c>
      <c r="N277" s="2" t="s">
        <v>30</v>
      </c>
      <c r="O277" s="2" t="s">
        <v>56</v>
      </c>
      <c r="P277" s="2" t="s">
        <v>1193</v>
      </c>
      <c r="Q277" s="2">
        <v>183.84</v>
      </c>
      <c r="R277" s="2">
        <v>8</v>
      </c>
      <c r="S277" s="2">
        <v>62.505600000000001</v>
      </c>
      <c r="T277" s="2" t="s">
        <v>58</v>
      </c>
      <c r="U277" s="2" t="s">
        <v>96</v>
      </c>
    </row>
    <row r="278" spans="1:21" ht="14.25" customHeight="1" x14ac:dyDescent="0.3">
      <c r="A278" s="2" t="s">
        <v>1194</v>
      </c>
      <c r="B278" s="5">
        <v>42169</v>
      </c>
      <c r="C278" s="2" t="str">
        <f>TEXT(data[[#This Row],[Order Date]],"YYYY")</f>
        <v>2015</v>
      </c>
      <c r="D278" s="2">
        <v>42173</v>
      </c>
      <c r="E278" s="2" t="s">
        <v>39</v>
      </c>
      <c r="F278" s="2" t="s">
        <v>204</v>
      </c>
      <c r="G278" s="2" t="s">
        <v>205</v>
      </c>
      <c r="H278" s="2" t="s">
        <v>100</v>
      </c>
      <c r="I278" s="2" t="s">
        <v>25</v>
      </c>
      <c r="J278" s="2" t="s">
        <v>65</v>
      </c>
      <c r="K278" s="2" t="s">
        <v>66</v>
      </c>
      <c r="L278" s="2" t="s">
        <v>67</v>
      </c>
      <c r="M278" s="2" t="s">
        <v>1113</v>
      </c>
      <c r="N278" s="2" t="s">
        <v>30</v>
      </c>
      <c r="O278" s="2" t="s">
        <v>56</v>
      </c>
      <c r="P278" s="2" t="s">
        <v>1114</v>
      </c>
      <c r="Q278" s="2">
        <v>51.072000000000003</v>
      </c>
      <c r="R278" s="2">
        <v>6</v>
      </c>
      <c r="S278" s="2">
        <v>5.1071999999999997</v>
      </c>
      <c r="T278" s="2" t="s">
        <v>83</v>
      </c>
      <c r="U278" s="2" t="s">
        <v>59</v>
      </c>
    </row>
    <row r="279" spans="1:21" ht="14.25" customHeight="1" x14ac:dyDescent="0.3">
      <c r="A279" s="2" t="s">
        <v>1195</v>
      </c>
      <c r="B279" s="5">
        <v>42513</v>
      </c>
      <c r="C279" s="2" t="str">
        <f>TEXT(data[[#This Row],[Order Date]],"YYYY")</f>
        <v>2016</v>
      </c>
      <c r="D279" s="2">
        <v>42517</v>
      </c>
      <c r="E279" s="2" t="s">
        <v>39</v>
      </c>
      <c r="F279" s="2" t="s">
        <v>1196</v>
      </c>
      <c r="G279" s="2" t="s">
        <v>1197</v>
      </c>
      <c r="H279" s="2" t="s">
        <v>24</v>
      </c>
      <c r="I279" s="2" t="s">
        <v>25</v>
      </c>
      <c r="J279" s="2" t="s">
        <v>328</v>
      </c>
      <c r="K279" s="2" t="s">
        <v>53</v>
      </c>
      <c r="L279" s="2" t="s">
        <v>54</v>
      </c>
      <c r="M279" s="2" t="s">
        <v>1128</v>
      </c>
      <c r="N279" s="2" t="s">
        <v>30</v>
      </c>
      <c r="O279" s="2" t="s">
        <v>56</v>
      </c>
      <c r="P279" s="2" t="s">
        <v>1129</v>
      </c>
      <c r="Q279" s="2">
        <v>37.049999999999997</v>
      </c>
      <c r="R279" s="2">
        <v>3</v>
      </c>
      <c r="S279" s="2">
        <v>16.302</v>
      </c>
      <c r="T279" s="2" t="s">
        <v>83</v>
      </c>
      <c r="U279" s="2" t="s">
        <v>161</v>
      </c>
    </row>
    <row r="280" spans="1:21" ht="14.25" customHeight="1" x14ac:dyDescent="0.3">
      <c r="A280" s="2" t="s">
        <v>1198</v>
      </c>
      <c r="B280" s="5">
        <v>42827</v>
      </c>
      <c r="C280" s="2" t="str">
        <f>TEXT(data[[#This Row],[Order Date]],"YYYY")</f>
        <v>2017</v>
      </c>
      <c r="D280" s="2">
        <v>42832</v>
      </c>
      <c r="E280" s="2" t="s">
        <v>39</v>
      </c>
      <c r="F280" s="2" t="s">
        <v>1199</v>
      </c>
      <c r="G280" s="2" t="s">
        <v>1200</v>
      </c>
      <c r="H280" s="2" t="s">
        <v>24</v>
      </c>
      <c r="I280" s="2" t="s">
        <v>25</v>
      </c>
      <c r="J280" s="2" t="s">
        <v>52</v>
      </c>
      <c r="K280" s="2" t="s">
        <v>53</v>
      </c>
      <c r="L280" s="2" t="s">
        <v>54</v>
      </c>
      <c r="M280" s="2" t="s">
        <v>1147</v>
      </c>
      <c r="N280" s="2" t="s">
        <v>30</v>
      </c>
      <c r="O280" s="2" t="s">
        <v>56</v>
      </c>
      <c r="P280" s="2" t="s">
        <v>1148</v>
      </c>
      <c r="Q280" s="2">
        <v>25.11</v>
      </c>
      <c r="R280" s="2">
        <v>3</v>
      </c>
      <c r="S280" s="2">
        <v>6.5286</v>
      </c>
      <c r="T280" s="2" t="s">
        <v>58</v>
      </c>
      <c r="U280" s="2" t="s">
        <v>113</v>
      </c>
    </row>
    <row r="281" spans="1:21" ht="14.25" customHeight="1" x14ac:dyDescent="0.3">
      <c r="A281" s="2" t="s">
        <v>1201</v>
      </c>
      <c r="B281" s="5">
        <v>42825</v>
      </c>
      <c r="C281" s="2" t="str">
        <f>TEXT(data[[#This Row],[Order Date]],"YYYY")</f>
        <v>2017</v>
      </c>
      <c r="D281" s="2">
        <v>42827</v>
      </c>
      <c r="E281" s="2" t="s">
        <v>21</v>
      </c>
      <c r="F281" s="2" t="s">
        <v>1202</v>
      </c>
      <c r="G281" s="2" t="s">
        <v>1203</v>
      </c>
      <c r="H281" s="2" t="s">
        <v>24</v>
      </c>
      <c r="I281" s="2" t="s">
        <v>25</v>
      </c>
      <c r="J281" s="2" t="s">
        <v>173</v>
      </c>
      <c r="K281" s="2" t="s">
        <v>120</v>
      </c>
      <c r="L281" s="2" t="s">
        <v>67</v>
      </c>
      <c r="M281" s="2" t="s">
        <v>1204</v>
      </c>
      <c r="N281" s="2" t="s">
        <v>30</v>
      </c>
      <c r="O281" s="2" t="s">
        <v>56</v>
      </c>
      <c r="P281" s="2" t="s">
        <v>1205</v>
      </c>
      <c r="Q281" s="2">
        <v>29.78</v>
      </c>
      <c r="R281" s="2">
        <v>2</v>
      </c>
      <c r="S281" s="2">
        <v>8.0405999999999995</v>
      </c>
      <c r="T281" s="2" t="s">
        <v>70</v>
      </c>
      <c r="U281" s="2" t="s">
        <v>195</v>
      </c>
    </row>
    <row r="282" spans="1:21" ht="14.25" customHeight="1" x14ac:dyDescent="0.3">
      <c r="A282" s="2" t="s">
        <v>1206</v>
      </c>
      <c r="B282" s="5">
        <v>41915</v>
      </c>
      <c r="C282" s="2" t="str">
        <f>TEXT(data[[#This Row],[Order Date]],"YYYY")</f>
        <v>2014</v>
      </c>
      <c r="D282" s="2">
        <v>41920</v>
      </c>
      <c r="E282" s="2" t="s">
        <v>21</v>
      </c>
      <c r="F282" s="2" t="s">
        <v>1207</v>
      </c>
      <c r="G282" s="2" t="s">
        <v>1208</v>
      </c>
      <c r="H282" s="2" t="s">
        <v>24</v>
      </c>
      <c r="I282" s="2" t="s">
        <v>25</v>
      </c>
      <c r="J282" s="2" t="s">
        <v>1209</v>
      </c>
      <c r="K282" s="2" t="s">
        <v>134</v>
      </c>
      <c r="L282" s="2" t="s">
        <v>93</v>
      </c>
      <c r="M282" s="2" t="s">
        <v>1028</v>
      </c>
      <c r="N282" s="2" t="s">
        <v>30</v>
      </c>
      <c r="O282" s="2" t="s">
        <v>36</v>
      </c>
      <c r="P282" s="2" t="s">
        <v>1029</v>
      </c>
      <c r="Q282" s="2">
        <v>258.279</v>
      </c>
      <c r="R282" s="2">
        <v>3</v>
      </c>
      <c r="S282" s="2">
        <v>-70.104299999999995</v>
      </c>
      <c r="T282" s="2" t="s">
        <v>58</v>
      </c>
      <c r="U282" s="2" t="s">
        <v>48</v>
      </c>
    </row>
    <row r="283" spans="1:21" ht="14.25" customHeight="1" x14ac:dyDescent="0.3">
      <c r="A283" s="2" t="s">
        <v>1210</v>
      </c>
      <c r="B283" s="5">
        <v>42859</v>
      </c>
      <c r="C283" s="2" t="str">
        <f>TEXT(data[[#This Row],[Order Date]],"YYYY")</f>
        <v>2017</v>
      </c>
      <c r="D283" s="2">
        <v>42864</v>
      </c>
      <c r="E283" s="2" t="s">
        <v>39</v>
      </c>
      <c r="F283" s="2" t="s">
        <v>938</v>
      </c>
      <c r="G283" s="2" t="s">
        <v>939</v>
      </c>
      <c r="H283" s="2" t="s">
        <v>90</v>
      </c>
      <c r="I283" s="2" t="s">
        <v>25</v>
      </c>
      <c r="J283" s="2" t="s">
        <v>328</v>
      </c>
      <c r="K283" s="2" t="s">
        <v>53</v>
      </c>
      <c r="L283" s="2" t="s">
        <v>54</v>
      </c>
      <c r="M283" s="2" t="s">
        <v>306</v>
      </c>
      <c r="N283" s="2" t="s">
        <v>30</v>
      </c>
      <c r="O283" s="2" t="s">
        <v>45</v>
      </c>
      <c r="P283" s="2" t="s">
        <v>307</v>
      </c>
      <c r="Q283" s="2">
        <v>300.904</v>
      </c>
      <c r="R283" s="2">
        <v>1</v>
      </c>
      <c r="S283" s="2">
        <v>11.283899999999999</v>
      </c>
      <c r="T283" s="2" t="s">
        <v>58</v>
      </c>
      <c r="U283" s="2" t="s">
        <v>161</v>
      </c>
    </row>
    <row r="284" spans="1:21" ht="14.25" customHeight="1" x14ac:dyDescent="0.3">
      <c r="A284" s="2" t="s">
        <v>1211</v>
      </c>
      <c r="B284" s="5">
        <v>42851</v>
      </c>
      <c r="C284" s="2" t="str">
        <f>TEXT(data[[#This Row],[Order Date]],"YYYY")</f>
        <v>2017</v>
      </c>
      <c r="D284" s="2">
        <v>42852</v>
      </c>
      <c r="E284" s="2" t="s">
        <v>87</v>
      </c>
      <c r="F284" s="2" t="s">
        <v>1212</v>
      </c>
      <c r="G284" s="2" t="s">
        <v>1213</v>
      </c>
      <c r="H284" s="2" t="s">
        <v>24</v>
      </c>
      <c r="I284" s="2" t="s">
        <v>25</v>
      </c>
      <c r="J284" s="2" t="s">
        <v>595</v>
      </c>
      <c r="K284" s="2" t="s">
        <v>92</v>
      </c>
      <c r="L284" s="2" t="s">
        <v>93</v>
      </c>
      <c r="M284" s="2" t="s">
        <v>650</v>
      </c>
      <c r="N284" s="2" t="s">
        <v>30</v>
      </c>
      <c r="O284" s="2" t="s">
        <v>56</v>
      </c>
      <c r="P284" s="2" t="s">
        <v>651</v>
      </c>
      <c r="Q284" s="2">
        <v>1.988</v>
      </c>
      <c r="R284" s="2">
        <v>1</v>
      </c>
      <c r="S284" s="2">
        <v>-1.4413</v>
      </c>
      <c r="T284" s="2" t="s">
        <v>123</v>
      </c>
      <c r="U284" s="2" t="s">
        <v>113</v>
      </c>
    </row>
    <row r="285" spans="1:21" ht="14.25" customHeight="1" x14ac:dyDescent="0.3">
      <c r="A285" s="2" t="s">
        <v>1214</v>
      </c>
      <c r="B285" s="5">
        <v>41908</v>
      </c>
      <c r="C285" s="2" t="str">
        <f>TEXT(data[[#This Row],[Order Date]],"YYYY")</f>
        <v>2014</v>
      </c>
      <c r="D285" s="2">
        <v>41913</v>
      </c>
      <c r="E285" s="2" t="s">
        <v>21</v>
      </c>
      <c r="F285" s="2" t="s">
        <v>1215</v>
      </c>
      <c r="G285" s="2" t="s">
        <v>1216</v>
      </c>
      <c r="H285" s="2" t="s">
        <v>24</v>
      </c>
      <c r="I285" s="2" t="s">
        <v>25</v>
      </c>
      <c r="J285" s="2" t="s">
        <v>52</v>
      </c>
      <c r="K285" s="2" t="s">
        <v>53</v>
      </c>
      <c r="L285" s="2" t="s">
        <v>54</v>
      </c>
      <c r="M285" s="2" t="s">
        <v>1217</v>
      </c>
      <c r="N285" s="2" t="s">
        <v>30</v>
      </c>
      <c r="O285" s="2" t="s">
        <v>36</v>
      </c>
      <c r="P285" s="2" t="s">
        <v>1218</v>
      </c>
      <c r="Q285" s="2">
        <v>145.56800000000001</v>
      </c>
      <c r="R285" s="2">
        <v>2</v>
      </c>
      <c r="S285" s="2">
        <v>0</v>
      </c>
      <c r="T285" s="2" t="s">
        <v>58</v>
      </c>
      <c r="U285" s="2" t="s">
        <v>77</v>
      </c>
    </row>
    <row r="286" spans="1:21" ht="14.25" customHeight="1" x14ac:dyDescent="0.3">
      <c r="A286" s="2" t="s">
        <v>1219</v>
      </c>
      <c r="B286" s="5">
        <v>43049</v>
      </c>
      <c r="C286" s="2" t="str">
        <f>TEXT(data[[#This Row],[Order Date]],"YYYY")</f>
        <v>2017</v>
      </c>
      <c r="D286" s="2">
        <v>43050</v>
      </c>
      <c r="E286" s="2" t="s">
        <v>87</v>
      </c>
      <c r="F286" s="2" t="s">
        <v>1220</v>
      </c>
      <c r="G286" s="2" t="s">
        <v>1221</v>
      </c>
      <c r="H286" s="2" t="s">
        <v>90</v>
      </c>
      <c r="I286" s="2" t="s">
        <v>25</v>
      </c>
      <c r="J286" s="2" t="s">
        <v>1222</v>
      </c>
      <c r="K286" s="2" t="s">
        <v>520</v>
      </c>
      <c r="L286" s="2" t="s">
        <v>54</v>
      </c>
      <c r="M286" s="2" t="s">
        <v>405</v>
      </c>
      <c r="N286" s="2" t="s">
        <v>30</v>
      </c>
      <c r="O286" s="2" t="s">
        <v>36</v>
      </c>
      <c r="P286" s="2" t="s">
        <v>406</v>
      </c>
      <c r="Q286" s="2">
        <v>899.13599999999997</v>
      </c>
      <c r="R286" s="2">
        <v>4</v>
      </c>
      <c r="S286" s="2">
        <v>-146.1096</v>
      </c>
      <c r="T286" s="2" t="s">
        <v>123</v>
      </c>
      <c r="U286" s="2" t="s">
        <v>34</v>
      </c>
    </row>
    <row r="287" spans="1:21" ht="14.25" customHeight="1" x14ac:dyDescent="0.3">
      <c r="A287" s="2" t="s">
        <v>1223</v>
      </c>
      <c r="B287" s="5">
        <v>42924</v>
      </c>
      <c r="C287" s="2" t="str">
        <f>TEXT(data[[#This Row],[Order Date]],"YYYY")</f>
        <v>2017</v>
      </c>
      <c r="D287" s="2">
        <v>42927</v>
      </c>
      <c r="E287" s="2" t="s">
        <v>87</v>
      </c>
      <c r="F287" s="2" t="s">
        <v>1224</v>
      </c>
      <c r="G287" s="2" t="s">
        <v>1225</v>
      </c>
      <c r="H287" s="2" t="s">
        <v>100</v>
      </c>
      <c r="I287" s="2" t="s">
        <v>25</v>
      </c>
      <c r="J287" s="2" t="s">
        <v>1226</v>
      </c>
      <c r="K287" s="2" t="s">
        <v>53</v>
      </c>
      <c r="L287" s="2" t="s">
        <v>54</v>
      </c>
      <c r="M287" s="2" t="s">
        <v>389</v>
      </c>
      <c r="N287" s="2" t="s">
        <v>30</v>
      </c>
      <c r="O287" s="2" t="s">
        <v>56</v>
      </c>
      <c r="P287" s="2" t="s">
        <v>390</v>
      </c>
      <c r="Q287" s="2">
        <v>145.9</v>
      </c>
      <c r="R287" s="2">
        <v>5</v>
      </c>
      <c r="S287" s="2">
        <v>62.737000000000002</v>
      </c>
      <c r="T287" s="2" t="s">
        <v>33</v>
      </c>
      <c r="U287" s="2" t="s">
        <v>71</v>
      </c>
    </row>
    <row r="288" spans="1:21" ht="14.25" customHeight="1" x14ac:dyDescent="0.3">
      <c r="A288" s="2" t="s">
        <v>1227</v>
      </c>
      <c r="B288" s="5">
        <v>42362</v>
      </c>
      <c r="C288" s="2" t="str">
        <f>TEXT(data[[#This Row],[Order Date]],"YYYY")</f>
        <v>2015</v>
      </c>
      <c r="D288" s="2">
        <v>42366</v>
      </c>
      <c r="E288" s="2" t="s">
        <v>39</v>
      </c>
      <c r="F288" s="2" t="s">
        <v>1228</v>
      </c>
      <c r="G288" s="2" t="s">
        <v>1229</v>
      </c>
      <c r="H288" s="2" t="s">
        <v>24</v>
      </c>
      <c r="I288" s="2" t="s">
        <v>25</v>
      </c>
      <c r="J288" s="2" t="s">
        <v>353</v>
      </c>
      <c r="K288" s="2" t="s">
        <v>180</v>
      </c>
      <c r="L288" s="2" t="s">
        <v>54</v>
      </c>
      <c r="M288" s="2" t="s">
        <v>260</v>
      </c>
      <c r="N288" s="2" t="s">
        <v>30</v>
      </c>
      <c r="O288" s="2" t="s">
        <v>31</v>
      </c>
      <c r="P288" s="2" t="s">
        <v>261</v>
      </c>
      <c r="Q288" s="2">
        <v>590.05799999999999</v>
      </c>
      <c r="R288" s="2">
        <v>7</v>
      </c>
      <c r="S288" s="2">
        <v>-786.74400000000003</v>
      </c>
      <c r="T288" s="2" t="s">
        <v>83</v>
      </c>
      <c r="U288" s="2" t="s">
        <v>96</v>
      </c>
    </row>
    <row r="289" spans="1:21" ht="14.25" customHeight="1" x14ac:dyDescent="0.3">
      <c r="A289" s="2" t="s">
        <v>1230</v>
      </c>
      <c r="B289" s="5">
        <v>42261</v>
      </c>
      <c r="C289" s="2" t="str">
        <f>TEXT(data[[#This Row],[Order Date]],"YYYY")</f>
        <v>2015</v>
      </c>
      <c r="D289" s="2">
        <v>42266</v>
      </c>
      <c r="E289" s="2" t="s">
        <v>39</v>
      </c>
      <c r="F289" s="2" t="s">
        <v>1231</v>
      </c>
      <c r="G289" s="2" t="s">
        <v>1232</v>
      </c>
      <c r="H289" s="2" t="s">
        <v>24</v>
      </c>
      <c r="I289" s="2" t="s">
        <v>25</v>
      </c>
      <c r="J289" s="2" t="s">
        <v>1233</v>
      </c>
      <c r="K289" s="2" t="s">
        <v>76</v>
      </c>
      <c r="L289" s="2" t="s">
        <v>54</v>
      </c>
      <c r="M289" s="2" t="s">
        <v>1234</v>
      </c>
      <c r="N289" s="2" t="s">
        <v>30</v>
      </c>
      <c r="O289" s="2" t="s">
        <v>45</v>
      </c>
      <c r="P289" s="2" t="s">
        <v>1235</v>
      </c>
      <c r="Q289" s="2">
        <v>912.75</v>
      </c>
      <c r="R289" s="2">
        <v>5</v>
      </c>
      <c r="S289" s="2">
        <v>118.6575</v>
      </c>
      <c r="T289" s="2" t="s">
        <v>58</v>
      </c>
      <c r="U289" s="2" t="s">
        <v>77</v>
      </c>
    </row>
    <row r="290" spans="1:21" ht="14.25" customHeight="1" x14ac:dyDescent="0.3">
      <c r="A290" s="2" t="s">
        <v>1236</v>
      </c>
      <c r="B290" s="5">
        <v>42616</v>
      </c>
      <c r="C290" s="2" t="str">
        <f>TEXT(data[[#This Row],[Order Date]],"YYYY")</f>
        <v>2016</v>
      </c>
      <c r="D290" s="2">
        <v>42622</v>
      </c>
      <c r="E290" s="2" t="s">
        <v>39</v>
      </c>
      <c r="F290" s="2" t="s">
        <v>1237</v>
      </c>
      <c r="G290" s="2" t="s">
        <v>1238</v>
      </c>
      <c r="H290" s="2" t="s">
        <v>100</v>
      </c>
      <c r="I290" s="2" t="s">
        <v>25</v>
      </c>
      <c r="J290" s="2" t="s">
        <v>179</v>
      </c>
      <c r="K290" s="2" t="s">
        <v>134</v>
      </c>
      <c r="L290" s="2" t="s">
        <v>93</v>
      </c>
      <c r="M290" s="2" t="s">
        <v>725</v>
      </c>
      <c r="N290" s="2" t="s">
        <v>30</v>
      </c>
      <c r="O290" s="2" t="s">
        <v>56</v>
      </c>
      <c r="P290" s="2" t="s">
        <v>726</v>
      </c>
      <c r="Q290" s="2">
        <v>83.951999999999998</v>
      </c>
      <c r="R290" s="2">
        <v>3</v>
      </c>
      <c r="S290" s="2">
        <v>-90.248400000000004</v>
      </c>
      <c r="T290" s="2" t="s">
        <v>129</v>
      </c>
      <c r="U290" s="2" t="s">
        <v>77</v>
      </c>
    </row>
    <row r="291" spans="1:21" ht="14.25" customHeight="1" x14ac:dyDescent="0.3">
      <c r="A291" s="2" t="s">
        <v>1239</v>
      </c>
      <c r="B291" s="5">
        <v>42405</v>
      </c>
      <c r="C291" s="2" t="str">
        <f>TEXT(data[[#This Row],[Order Date]],"YYYY")</f>
        <v>2016</v>
      </c>
      <c r="D291" s="2">
        <v>42405</v>
      </c>
      <c r="E291" s="2" t="s">
        <v>425</v>
      </c>
      <c r="F291" s="2" t="s">
        <v>1240</v>
      </c>
      <c r="G291" s="2" t="s">
        <v>1241</v>
      </c>
      <c r="H291" s="2" t="s">
        <v>100</v>
      </c>
      <c r="I291" s="2" t="s">
        <v>25</v>
      </c>
      <c r="J291" s="2" t="s">
        <v>1242</v>
      </c>
      <c r="K291" s="2" t="s">
        <v>667</v>
      </c>
      <c r="L291" s="2" t="s">
        <v>28</v>
      </c>
      <c r="M291" s="2" t="s">
        <v>354</v>
      </c>
      <c r="N291" s="2" t="s">
        <v>30</v>
      </c>
      <c r="O291" s="2" t="s">
        <v>56</v>
      </c>
      <c r="P291" s="2" t="s">
        <v>1243</v>
      </c>
      <c r="Q291" s="2">
        <v>18.84</v>
      </c>
      <c r="R291" s="2">
        <v>3</v>
      </c>
      <c r="S291" s="2">
        <v>7.1592000000000002</v>
      </c>
      <c r="T291" s="2" t="s">
        <v>430</v>
      </c>
      <c r="U291" s="2" t="s">
        <v>297</v>
      </c>
    </row>
    <row r="292" spans="1:21" ht="14.25" customHeight="1" x14ac:dyDescent="0.3">
      <c r="A292" s="2" t="s">
        <v>1239</v>
      </c>
      <c r="B292" s="5">
        <v>42405</v>
      </c>
      <c r="C292" s="2" t="str">
        <f>TEXT(data[[#This Row],[Order Date]],"YYYY")</f>
        <v>2016</v>
      </c>
      <c r="D292" s="2">
        <v>42405</v>
      </c>
      <c r="E292" s="2" t="s">
        <v>425</v>
      </c>
      <c r="F292" s="2" t="s">
        <v>1240</v>
      </c>
      <c r="G292" s="2" t="s">
        <v>1241</v>
      </c>
      <c r="H292" s="2" t="s">
        <v>100</v>
      </c>
      <c r="I292" s="2" t="s">
        <v>25</v>
      </c>
      <c r="J292" s="2" t="s">
        <v>1242</v>
      </c>
      <c r="K292" s="2" t="s">
        <v>667</v>
      </c>
      <c r="L292" s="2" t="s">
        <v>28</v>
      </c>
      <c r="M292" s="2" t="s">
        <v>710</v>
      </c>
      <c r="N292" s="2" t="s">
        <v>30</v>
      </c>
      <c r="O292" s="2" t="s">
        <v>31</v>
      </c>
      <c r="P292" s="2" t="s">
        <v>711</v>
      </c>
      <c r="Q292" s="2">
        <v>239.98</v>
      </c>
      <c r="R292" s="2">
        <v>2</v>
      </c>
      <c r="S292" s="2">
        <v>52.7956</v>
      </c>
      <c r="T292" s="2" t="s">
        <v>430</v>
      </c>
      <c r="U292" s="2" t="s">
        <v>297</v>
      </c>
    </row>
    <row r="293" spans="1:21" ht="14.25" customHeight="1" x14ac:dyDescent="0.3">
      <c r="A293" s="2" t="s">
        <v>1244</v>
      </c>
      <c r="B293" s="5">
        <v>43017</v>
      </c>
      <c r="C293" s="2" t="str">
        <f>TEXT(data[[#This Row],[Order Date]],"YYYY")</f>
        <v>2017</v>
      </c>
      <c r="D293" s="2">
        <v>43022</v>
      </c>
      <c r="E293" s="2" t="s">
        <v>39</v>
      </c>
      <c r="F293" s="2" t="s">
        <v>1245</v>
      </c>
      <c r="G293" s="2" t="s">
        <v>1246</v>
      </c>
      <c r="H293" s="2" t="s">
        <v>90</v>
      </c>
      <c r="I293" s="2" t="s">
        <v>25</v>
      </c>
      <c r="J293" s="2" t="s">
        <v>179</v>
      </c>
      <c r="K293" s="2" t="s">
        <v>134</v>
      </c>
      <c r="L293" s="2" t="s">
        <v>93</v>
      </c>
      <c r="M293" s="2" t="s">
        <v>1247</v>
      </c>
      <c r="N293" s="2" t="s">
        <v>30</v>
      </c>
      <c r="O293" s="2" t="s">
        <v>45</v>
      </c>
      <c r="P293" s="2" t="s">
        <v>1248</v>
      </c>
      <c r="Q293" s="2">
        <v>652.45000000000005</v>
      </c>
      <c r="R293" s="2">
        <v>5</v>
      </c>
      <c r="S293" s="2">
        <v>-430.61700000000002</v>
      </c>
      <c r="T293" s="2" t="s">
        <v>58</v>
      </c>
      <c r="U293" s="2" t="s">
        <v>48</v>
      </c>
    </row>
    <row r="294" spans="1:21" ht="14.25" customHeight="1" x14ac:dyDescent="0.3">
      <c r="A294" s="2" t="s">
        <v>1244</v>
      </c>
      <c r="B294" s="5">
        <v>43017</v>
      </c>
      <c r="C294" s="2" t="str">
        <f>TEXT(data[[#This Row],[Order Date]],"YYYY")</f>
        <v>2017</v>
      </c>
      <c r="D294" s="2">
        <v>43022</v>
      </c>
      <c r="E294" s="2" t="s">
        <v>39</v>
      </c>
      <c r="F294" s="2" t="s">
        <v>1245</v>
      </c>
      <c r="G294" s="2" t="s">
        <v>1246</v>
      </c>
      <c r="H294" s="2" t="s">
        <v>90</v>
      </c>
      <c r="I294" s="2" t="s">
        <v>25</v>
      </c>
      <c r="J294" s="2" t="s">
        <v>179</v>
      </c>
      <c r="K294" s="2" t="s">
        <v>134</v>
      </c>
      <c r="L294" s="2" t="s">
        <v>93</v>
      </c>
      <c r="M294" s="2" t="s">
        <v>1249</v>
      </c>
      <c r="N294" s="2" t="s">
        <v>30</v>
      </c>
      <c r="O294" s="2" t="s">
        <v>45</v>
      </c>
      <c r="P294" s="2" t="s">
        <v>1250</v>
      </c>
      <c r="Q294" s="2">
        <v>66.644999999999996</v>
      </c>
      <c r="R294" s="2">
        <v>3</v>
      </c>
      <c r="S294" s="2">
        <v>-42.652799999999999</v>
      </c>
      <c r="T294" s="2" t="s">
        <v>58</v>
      </c>
      <c r="U294" s="2" t="s">
        <v>48</v>
      </c>
    </row>
    <row r="295" spans="1:21" ht="14.25" customHeight="1" x14ac:dyDescent="0.3">
      <c r="A295" s="2" t="s">
        <v>1251</v>
      </c>
      <c r="B295" s="5">
        <v>42479</v>
      </c>
      <c r="C295" s="2" t="str">
        <f>TEXT(data[[#This Row],[Order Date]],"YYYY")</f>
        <v>2016</v>
      </c>
      <c r="D295" s="2">
        <v>42485</v>
      </c>
      <c r="E295" s="2" t="s">
        <v>39</v>
      </c>
      <c r="F295" s="2" t="s">
        <v>1252</v>
      </c>
      <c r="G295" s="2" t="s">
        <v>1253</v>
      </c>
      <c r="H295" s="2" t="s">
        <v>100</v>
      </c>
      <c r="I295" s="2" t="s">
        <v>25</v>
      </c>
      <c r="J295" s="2" t="s">
        <v>347</v>
      </c>
      <c r="K295" s="2" t="s">
        <v>231</v>
      </c>
      <c r="L295" s="2" t="s">
        <v>67</v>
      </c>
      <c r="M295" s="2" t="s">
        <v>1254</v>
      </c>
      <c r="N295" s="2" t="s">
        <v>30</v>
      </c>
      <c r="O295" s="2" t="s">
        <v>45</v>
      </c>
      <c r="P295" s="2" t="s">
        <v>1255</v>
      </c>
      <c r="Q295" s="2">
        <v>205.17599999999999</v>
      </c>
      <c r="R295" s="2">
        <v>2</v>
      </c>
      <c r="S295" s="2">
        <v>-58.133200000000002</v>
      </c>
      <c r="T295" s="2" t="s">
        <v>129</v>
      </c>
      <c r="U295" s="2" t="s">
        <v>113</v>
      </c>
    </row>
    <row r="296" spans="1:21" ht="14.25" customHeight="1" x14ac:dyDescent="0.3">
      <c r="A296" s="2" t="s">
        <v>1256</v>
      </c>
      <c r="B296" s="5">
        <v>41735</v>
      </c>
      <c r="C296" s="2" t="str">
        <f>TEXT(data[[#This Row],[Order Date]],"YYYY")</f>
        <v>2014</v>
      </c>
      <c r="D296" s="2">
        <v>41737</v>
      </c>
      <c r="E296" s="2" t="s">
        <v>87</v>
      </c>
      <c r="F296" s="2" t="s">
        <v>1257</v>
      </c>
      <c r="G296" s="2" t="s">
        <v>1258</v>
      </c>
      <c r="H296" s="2" t="s">
        <v>100</v>
      </c>
      <c r="I296" s="2" t="s">
        <v>25</v>
      </c>
      <c r="J296" s="2" t="s">
        <v>65</v>
      </c>
      <c r="K296" s="2" t="s">
        <v>66</v>
      </c>
      <c r="L296" s="2" t="s">
        <v>67</v>
      </c>
      <c r="M296" s="2" t="s">
        <v>1259</v>
      </c>
      <c r="N296" s="2" t="s">
        <v>30</v>
      </c>
      <c r="O296" s="2" t="s">
        <v>45</v>
      </c>
      <c r="P296" s="2" t="s">
        <v>1063</v>
      </c>
      <c r="Q296" s="2">
        <v>154.76400000000001</v>
      </c>
      <c r="R296" s="2">
        <v>3</v>
      </c>
      <c r="S296" s="2">
        <v>-36.111600000000003</v>
      </c>
      <c r="T296" s="2" t="s">
        <v>70</v>
      </c>
      <c r="U296" s="2" t="s">
        <v>113</v>
      </c>
    </row>
    <row r="297" spans="1:21" ht="14.25" customHeight="1" x14ac:dyDescent="0.3">
      <c r="A297" s="2" t="s">
        <v>1260</v>
      </c>
      <c r="B297" s="5">
        <v>42615</v>
      </c>
      <c r="C297" s="2" t="str">
        <f>TEXT(data[[#This Row],[Order Date]],"YYYY")</f>
        <v>2016</v>
      </c>
      <c r="D297" s="2">
        <v>42619</v>
      </c>
      <c r="E297" s="2" t="s">
        <v>39</v>
      </c>
      <c r="F297" s="2" t="s">
        <v>1031</v>
      </c>
      <c r="G297" s="2" t="s">
        <v>1032</v>
      </c>
      <c r="H297" s="2" t="s">
        <v>24</v>
      </c>
      <c r="I297" s="2" t="s">
        <v>25</v>
      </c>
      <c r="J297" s="2" t="s">
        <v>173</v>
      </c>
      <c r="K297" s="2" t="s">
        <v>120</v>
      </c>
      <c r="L297" s="2" t="s">
        <v>67</v>
      </c>
      <c r="M297" s="2" t="s">
        <v>400</v>
      </c>
      <c r="N297" s="2" t="s">
        <v>30</v>
      </c>
      <c r="O297" s="2" t="s">
        <v>56</v>
      </c>
      <c r="P297" s="2" t="s">
        <v>401</v>
      </c>
      <c r="Q297" s="2">
        <v>39.979999999999997</v>
      </c>
      <c r="R297" s="2">
        <v>2</v>
      </c>
      <c r="S297" s="2">
        <v>9.9949999999999992</v>
      </c>
      <c r="T297" s="2" t="s">
        <v>83</v>
      </c>
      <c r="U297" s="2" t="s">
        <v>77</v>
      </c>
    </row>
    <row r="298" spans="1:21" ht="14.25" customHeight="1" x14ac:dyDescent="0.3">
      <c r="A298" s="2" t="s">
        <v>1261</v>
      </c>
      <c r="B298" s="5">
        <v>42638</v>
      </c>
      <c r="C298" s="2" t="str">
        <f>TEXT(data[[#This Row],[Order Date]],"YYYY")</f>
        <v>2016</v>
      </c>
      <c r="D298" s="2">
        <v>42643</v>
      </c>
      <c r="E298" s="2" t="s">
        <v>39</v>
      </c>
      <c r="F298" s="2" t="s">
        <v>1262</v>
      </c>
      <c r="G298" s="2" t="s">
        <v>1263</v>
      </c>
      <c r="H298" s="2" t="s">
        <v>24</v>
      </c>
      <c r="I298" s="2" t="s">
        <v>25</v>
      </c>
      <c r="J298" s="2" t="s">
        <v>519</v>
      </c>
      <c r="K298" s="2" t="s">
        <v>520</v>
      </c>
      <c r="L298" s="2" t="s">
        <v>54</v>
      </c>
      <c r="M298" s="2" t="s">
        <v>915</v>
      </c>
      <c r="N298" s="2" t="s">
        <v>30</v>
      </c>
      <c r="O298" s="2" t="s">
        <v>45</v>
      </c>
      <c r="P298" s="2" t="s">
        <v>916</v>
      </c>
      <c r="Q298" s="2">
        <v>393.16500000000002</v>
      </c>
      <c r="R298" s="2">
        <v>3</v>
      </c>
      <c r="S298" s="2">
        <v>-204.44579999999999</v>
      </c>
      <c r="T298" s="2" t="s">
        <v>58</v>
      </c>
      <c r="U298" s="2" t="s">
        <v>77</v>
      </c>
    </row>
    <row r="299" spans="1:21" ht="14.25" customHeight="1" x14ac:dyDescent="0.3">
      <c r="A299" s="2" t="s">
        <v>1264</v>
      </c>
      <c r="B299" s="5">
        <v>42560</v>
      </c>
      <c r="C299" s="2" t="str">
        <f>TEXT(data[[#This Row],[Order Date]],"YYYY")</f>
        <v>2016</v>
      </c>
      <c r="D299" s="2">
        <v>42564</v>
      </c>
      <c r="E299" s="2" t="s">
        <v>39</v>
      </c>
      <c r="F299" s="2" t="s">
        <v>225</v>
      </c>
      <c r="G299" s="2" t="s">
        <v>226</v>
      </c>
      <c r="H299" s="2" t="s">
        <v>90</v>
      </c>
      <c r="I299" s="2" t="s">
        <v>25</v>
      </c>
      <c r="J299" s="2" t="s">
        <v>173</v>
      </c>
      <c r="K299" s="2" t="s">
        <v>120</v>
      </c>
      <c r="L299" s="2" t="s">
        <v>67</v>
      </c>
      <c r="M299" s="2" t="s">
        <v>805</v>
      </c>
      <c r="N299" s="2" t="s">
        <v>30</v>
      </c>
      <c r="O299" s="2" t="s">
        <v>36</v>
      </c>
      <c r="P299" s="2" t="s">
        <v>806</v>
      </c>
      <c r="Q299" s="2">
        <v>408.00599999999997</v>
      </c>
      <c r="R299" s="2">
        <v>2</v>
      </c>
      <c r="S299" s="2">
        <v>72.534400000000005</v>
      </c>
      <c r="T299" s="2" t="s">
        <v>83</v>
      </c>
      <c r="U299" s="2" t="s">
        <v>71</v>
      </c>
    </row>
    <row r="300" spans="1:21" ht="14.25" customHeight="1" x14ac:dyDescent="0.3">
      <c r="A300" s="2" t="s">
        <v>1264</v>
      </c>
      <c r="B300" s="5">
        <v>42560</v>
      </c>
      <c r="C300" s="2" t="str">
        <f>TEXT(data[[#This Row],[Order Date]],"YYYY")</f>
        <v>2016</v>
      </c>
      <c r="D300" s="2">
        <v>42564</v>
      </c>
      <c r="E300" s="2" t="s">
        <v>39</v>
      </c>
      <c r="F300" s="2" t="s">
        <v>225</v>
      </c>
      <c r="G300" s="2" t="s">
        <v>226</v>
      </c>
      <c r="H300" s="2" t="s">
        <v>90</v>
      </c>
      <c r="I300" s="2" t="s">
        <v>25</v>
      </c>
      <c r="J300" s="2" t="s">
        <v>173</v>
      </c>
      <c r="K300" s="2" t="s">
        <v>120</v>
      </c>
      <c r="L300" s="2" t="s">
        <v>67</v>
      </c>
      <c r="M300" s="2" t="s">
        <v>596</v>
      </c>
      <c r="N300" s="2" t="s">
        <v>30</v>
      </c>
      <c r="O300" s="2" t="s">
        <v>56</v>
      </c>
      <c r="P300" s="2" t="s">
        <v>597</v>
      </c>
      <c r="Q300" s="2">
        <v>165.28</v>
      </c>
      <c r="R300" s="2">
        <v>4</v>
      </c>
      <c r="S300" s="2">
        <v>14.8752</v>
      </c>
      <c r="T300" s="2" t="s">
        <v>83</v>
      </c>
      <c r="U300" s="2" t="s">
        <v>71</v>
      </c>
    </row>
    <row r="301" spans="1:21" ht="14.25" customHeight="1" x14ac:dyDescent="0.3">
      <c r="A301" s="2" t="s">
        <v>1265</v>
      </c>
      <c r="B301" s="5">
        <v>42763</v>
      </c>
      <c r="C301" s="2" t="str">
        <f>TEXT(data[[#This Row],[Order Date]],"YYYY")</f>
        <v>2017</v>
      </c>
      <c r="D301" s="2">
        <v>42766</v>
      </c>
      <c r="E301" s="2" t="s">
        <v>21</v>
      </c>
      <c r="F301" s="2" t="s">
        <v>1266</v>
      </c>
      <c r="G301" s="2" t="s">
        <v>1267</v>
      </c>
      <c r="H301" s="2" t="s">
        <v>100</v>
      </c>
      <c r="I301" s="2" t="s">
        <v>25</v>
      </c>
      <c r="J301" s="2" t="s">
        <v>550</v>
      </c>
      <c r="K301" s="2" t="s">
        <v>53</v>
      </c>
      <c r="L301" s="2" t="s">
        <v>54</v>
      </c>
      <c r="M301" s="2" t="s">
        <v>1268</v>
      </c>
      <c r="N301" s="2" t="s">
        <v>30</v>
      </c>
      <c r="O301" s="2" t="s">
        <v>56</v>
      </c>
      <c r="P301" s="2" t="s">
        <v>1269</v>
      </c>
      <c r="Q301" s="2">
        <v>37.74</v>
      </c>
      <c r="R301" s="2">
        <v>3</v>
      </c>
      <c r="S301" s="2">
        <v>12.8316</v>
      </c>
      <c r="T301" s="2" t="s">
        <v>33</v>
      </c>
      <c r="U301" s="2" t="s">
        <v>169</v>
      </c>
    </row>
    <row r="302" spans="1:21" ht="14.25" customHeight="1" x14ac:dyDescent="0.3">
      <c r="A302" s="2" t="s">
        <v>1270</v>
      </c>
      <c r="B302" s="5">
        <v>42268</v>
      </c>
      <c r="C302" s="2" t="str">
        <f>TEXT(data[[#This Row],[Order Date]],"YYYY")</f>
        <v>2015</v>
      </c>
      <c r="D302" s="2">
        <v>42271</v>
      </c>
      <c r="E302" s="2" t="s">
        <v>87</v>
      </c>
      <c r="F302" s="2" t="s">
        <v>1271</v>
      </c>
      <c r="G302" s="2" t="s">
        <v>1272</v>
      </c>
      <c r="H302" s="2" t="s">
        <v>90</v>
      </c>
      <c r="I302" s="2" t="s">
        <v>25</v>
      </c>
      <c r="J302" s="2" t="s">
        <v>101</v>
      </c>
      <c r="K302" s="2" t="s">
        <v>92</v>
      </c>
      <c r="L302" s="2" t="s">
        <v>93</v>
      </c>
      <c r="M302" s="2" t="s">
        <v>111</v>
      </c>
      <c r="N302" s="2" t="s">
        <v>30</v>
      </c>
      <c r="O302" s="2" t="s">
        <v>56</v>
      </c>
      <c r="P302" s="2" t="s">
        <v>112</v>
      </c>
      <c r="Q302" s="2">
        <v>4.9279999999999999</v>
      </c>
      <c r="R302" s="2">
        <v>4</v>
      </c>
      <c r="S302" s="2">
        <v>-1.4783999999999999</v>
      </c>
      <c r="T302" s="2" t="s">
        <v>33</v>
      </c>
      <c r="U302" s="2" t="s">
        <v>77</v>
      </c>
    </row>
    <row r="303" spans="1:21" ht="14.25" customHeight="1" x14ac:dyDescent="0.3">
      <c r="A303" s="2" t="s">
        <v>1273</v>
      </c>
      <c r="B303" s="5">
        <v>41992</v>
      </c>
      <c r="C303" s="2" t="str">
        <f>TEXT(data[[#This Row],[Order Date]],"YYYY")</f>
        <v>2014</v>
      </c>
      <c r="D303" s="2">
        <v>41994</v>
      </c>
      <c r="E303" s="2" t="s">
        <v>21</v>
      </c>
      <c r="F303" s="2" t="s">
        <v>1274</v>
      </c>
      <c r="G303" s="2" t="s">
        <v>1275</v>
      </c>
      <c r="H303" s="2" t="s">
        <v>24</v>
      </c>
      <c r="I303" s="2" t="s">
        <v>25</v>
      </c>
      <c r="J303" s="2" t="s">
        <v>854</v>
      </c>
      <c r="K303" s="2" t="s">
        <v>1276</v>
      </c>
      <c r="L303" s="2" t="s">
        <v>28</v>
      </c>
      <c r="M303" s="2" t="s">
        <v>142</v>
      </c>
      <c r="N303" s="2" t="s">
        <v>30</v>
      </c>
      <c r="O303" s="2" t="s">
        <v>36</v>
      </c>
      <c r="P303" s="2" t="s">
        <v>143</v>
      </c>
      <c r="Q303" s="2">
        <v>1819.86</v>
      </c>
      <c r="R303" s="2">
        <v>14</v>
      </c>
      <c r="S303" s="2">
        <v>163.78739999999999</v>
      </c>
      <c r="T303" s="2" t="s">
        <v>70</v>
      </c>
      <c r="U303" s="2" t="s">
        <v>96</v>
      </c>
    </row>
    <row r="304" spans="1:21" ht="14.25" customHeight="1" x14ac:dyDescent="0.3">
      <c r="A304" s="2" t="s">
        <v>1277</v>
      </c>
      <c r="B304" s="5">
        <v>42292</v>
      </c>
      <c r="C304" s="2" t="str">
        <f>TEXT(data[[#This Row],[Order Date]],"YYYY")</f>
        <v>2015</v>
      </c>
      <c r="D304" s="2">
        <v>42292</v>
      </c>
      <c r="E304" s="2" t="s">
        <v>425</v>
      </c>
      <c r="F304" s="2" t="s">
        <v>138</v>
      </c>
      <c r="G304" s="2" t="s">
        <v>139</v>
      </c>
      <c r="H304" s="2" t="s">
        <v>24</v>
      </c>
      <c r="I304" s="2" t="s">
        <v>25</v>
      </c>
      <c r="J304" s="2" t="s">
        <v>528</v>
      </c>
      <c r="K304" s="2" t="s">
        <v>92</v>
      </c>
      <c r="L304" s="2" t="s">
        <v>93</v>
      </c>
      <c r="M304" s="2" t="s">
        <v>601</v>
      </c>
      <c r="N304" s="2" t="s">
        <v>30</v>
      </c>
      <c r="O304" s="2" t="s">
        <v>36</v>
      </c>
      <c r="P304" s="2" t="s">
        <v>602</v>
      </c>
      <c r="Q304" s="2">
        <v>2453.4299999999998</v>
      </c>
      <c r="R304" s="2">
        <v>5</v>
      </c>
      <c r="S304" s="2">
        <v>-350.49</v>
      </c>
      <c r="T304" s="2" t="s">
        <v>430</v>
      </c>
      <c r="U304" s="2" t="s">
        <v>48</v>
      </c>
    </row>
    <row r="305" spans="1:21" ht="14.25" customHeight="1" x14ac:dyDescent="0.3">
      <c r="A305" s="2" t="s">
        <v>1278</v>
      </c>
      <c r="B305" s="5">
        <v>42899</v>
      </c>
      <c r="C305" s="2" t="str">
        <f>TEXT(data[[#This Row],[Order Date]],"YYYY")</f>
        <v>2017</v>
      </c>
      <c r="D305" s="2">
        <v>42902</v>
      </c>
      <c r="E305" s="2" t="s">
        <v>87</v>
      </c>
      <c r="F305" s="2" t="s">
        <v>1257</v>
      </c>
      <c r="G305" s="2" t="s">
        <v>1258</v>
      </c>
      <c r="H305" s="2" t="s">
        <v>100</v>
      </c>
      <c r="I305" s="2" t="s">
        <v>25</v>
      </c>
      <c r="J305" s="2" t="s">
        <v>133</v>
      </c>
      <c r="K305" s="2" t="s">
        <v>134</v>
      </c>
      <c r="L305" s="2" t="s">
        <v>93</v>
      </c>
      <c r="M305" s="2" t="s">
        <v>1279</v>
      </c>
      <c r="N305" s="2" t="s">
        <v>30</v>
      </c>
      <c r="O305" s="2" t="s">
        <v>36</v>
      </c>
      <c r="P305" s="2" t="s">
        <v>1280</v>
      </c>
      <c r="Q305" s="2">
        <v>470.30200000000002</v>
      </c>
      <c r="R305" s="2">
        <v>7</v>
      </c>
      <c r="S305" s="2">
        <v>-87.341800000000006</v>
      </c>
      <c r="T305" s="2" t="s">
        <v>33</v>
      </c>
      <c r="U305" s="2" t="s">
        <v>59</v>
      </c>
    </row>
    <row r="306" spans="1:21" ht="14.25" customHeight="1" x14ac:dyDescent="0.3">
      <c r="A306" s="2" t="s">
        <v>1281</v>
      </c>
      <c r="B306" s="5">
        <v>42898</v>
      </c>
      <c r="C306" s="2" t="str">
        <f>TEXT(data[[#This Row],[Order Date]],"YYYY")</f>
        <v>2017</v>
      </c>
      <c r="D306" s="2">
        <v>42905</v>
      </c>
      <c r="E306" s="2" t="s">
        <v>39</v>
      </c>
      <c r="F306" s="2" t="s">
        <v>1282</v>
      </c>
      <c r="G306" s="2" t="s">
        <v>1283</v>
      </c>
      <c r="H306" s="2" t="s">
        <v>100</v>
      </c>
      <c r="I306" s="2" t="s">
        <v>25</v>
      </c>
      <c r="J306" s="2" t="s">
        <v>347</v>
      </c>
      <c r="K306" s="2" t="s">
        <v>667</v>
      </c>
      <c r="L306" s="2" t="s">
        <v>28</v>
      </c>
      <c r="M306" s="2" t="s">
        <v>1284</v>
      </c>
      <c r="N306" s="2" t="s">
        <v>30</v>
      </c>
      <c r="O306" s="2" t="s">
        <v>45</v>
      </c>
      <c r="P306" s="2" t="s">
        <v>1285</v>
      </c>
      <c r="Q306" s="2">
        <v>452.94</v>
      </c>
      <c r="R306" s="2">
        <v>3</v>
      </c>
      <c r="S306" s="2">
        <v>67.941000000000003</v>
      </c>
      <c r="T306" s="2" t="s">
        <v>47</v>
      </c>
      <c r="U306" s="2" t="s">
        <v>59</v>
      </c>
    </row>
    <row r="307" spans="1:21" ht="14.25" customHeight="1" x14ac:dyDescent="0.3">
      <c r="A307" s="2" t="s">
        <v>1286</v>
      </c>
      <c r="B307" s="5">
        <v>41763</v>
      </c>
      <c r="C307" s="2" t="str">
        <f>TEXT(data[[#This Row],[Order Date]],"YYYY")</f>
        <v>2014</v>
      </c>
      <c r="D307" s="2">
        <v>41763</v>
      </c>
      <c r="E307" s="2" t="s">
        <v>425</v>
      </c>
      <c r="F307" s="2" t="s">
        <v>1287</v>
      </c>
      <c r="G307" s="2" t="s">
        <v>1288</v>
      </c>
      <c r="H307" s="2" t="s">
        <v>24</v>
      </c>
      <c r="I307" s="2" t="s">
        <v>25</v>
      </c>
      <c r="J307" s="2" t="s">
        <v>1289</v>
      </c>
      <c r="K307" s="2" t="s">
        <v>429</v>
      </c>
      <c r="L307" s="2" t="s">
        <v>67</v>
      </c>
      <c r="M307" s="2" t="s">
        <v>1290</v>
      </c>
      <c r="N307" s="2" t="s">
        <v>30</v>
      </c>
      <c r="O307" s="2" t="s">
        <v>56</v>
      </c>
      <c r="P307" s="2" t="s">
        <v>1291</v>
      </c>
      <c r="Q307" s="2">
        <v>27.46</v>
      </c>
      <c r="R307" s="2">
        <v>2</v>
      </c>
      <c r="S307" s="2">
        <v>9.8856000000000002</v>
      </c>
      <c r="T307" s="2" t="s">
        <v>430</v>
      </c>
      <c r="U307" s="2" t="s">
        <v>161</v>
      </c>
    </row>
    <row r="308" spans="1:21" ht="14.25" customHeight="1" x14ac:dyDescent="0.3">
      <c r="A308" s="2" t="s">
        <v>1292</v>
      </c>
      <c r="B308" s="5">
        <v>42440</v>
      </c>
      <c r="C308" s="2" t="str">
        <f>TEXT(data[[#This Row],[Order Date]],"YYYY")</f>
        <v>2016</v>
      </c>
      <c r="D308" s="2">
        <v>42444</v>
      </c>
      <c r="E308" s="2" t="s">
        <v>39</v>
      </c>
      <c r="F308" s="2" t="s">
        <v>1293</v>
      </c>
      <c r="G308" s="2" t="s">
        <v>1294</v>
      </c>
      <c r="H308" s="2" t="s">
        <v>24</v>
      </c>
      <c r="I308" s="2" t="s">
        <v>25</v>
      </c>
      <c r="J308" s="2" t="s">
        <v>1295</v>
      </c>
      <c r="K308" s="2" t="s">
        <v>362</v>
      </c>
      <c r="L308" s="2" t="s">
        <v>67</v>
      </c>
      <c r="M308" s="2" t="s">
        <v>784</v>
      </c>
      <c r="N308" s="2" t="s">
        <v>30</v>
      </c>
      <c r="O308" s="2" t="s">
        <v>45</v>
      </c>
      <c r="P308" s="2" t="s">
        <v>785</v>
      </c>
      <c r="Q308" s="2">
        <v>244.006</v>
      </c>
      <c r="R308" s="2">
        <v>2</v>
      </c>
      <c r="S308" s="2">
        <v>-31.372199999999999</v>
      </c>
      <c r="T308" s="2" t="s">
        <v>83</v>
      </c>
      <c r="U308" s="2" t="s">
        <v>195</v>
      </c>
    </row>
    <row r="309" spans="1:21" ht="14.25" customHeight="1" x14ac:dyDescent="0.3">
      <c r="A309" s="2" t="s">
        <v>1296</v>
      </c>
      <c r="B309" s="5">
        <v>42608</v>
      </c>
      <c r="C309" s="2" t="str">
        <f>TEXT(data[[#This Row],[Order Date]],"YYYY")</f>
        <v>2016</v>
      </c>
      <c r="D309" s="2">
        <v>42610</v>
      </c>
      <c r="E309" s="2" t="s">
        <v>87</v>
      </c>
      <c r="F309" s="2" t="s">
        <v>1297</v>
      </c>
      <c r="G309" s="2" t="s">
        <v>1298</v>
      </c>
      <c r="H309" s="2" t="s">
        <v>90</v>
      </c>
      <c r="I309" s="2" t="s">
        <v>25</v>
      </c>
      <c r="J309" s="2" t="s">
        <v>1185</v>
      </c>
      <c r="K309" s="2" t="s">
        <v>92</v>
      </c>
      <c r="L309" s="2" t="s">
        <v>93</v>
      </c>
      <c r="M309" s="2" t="s">
        <v>1082</v>
      </c>
      <c r="N309" s="2" t="s">
        <v>30</v>
      </c>
      <c r="O309" s="2" t="s">
        <v>36</v>
      </c>
      <c r="P309" s="2" t="s">
        <v>1083</v>
      </c>
      <c r="Q309" s="2">
        <v>1024.7159999999999</v>
      </c>
      <c r="R309" s="2">
        <v>6</v>
      </c>
      <c r="S309" s="2">
        <v>-29.2776</v>
      </c>
      <c r="T309" s="2" t="s">
        <v>70</v>
      </c>
      <c r="U309" s="2" t="s">
        <v>253</v>
      </c>
    </row>
    <row r="310" spans="1:21" ht="14.25" customHeight="1" x14ac:dyDescent="0.3">
      <c r="A310" s="2" t="s">
        <v>1299</v>
      </c>
      <c r="B310" s="5">
        <v>41859</v>
      </c>
      <c r="C310" s="2" t="str">
        <f>TEXT(data[[#This Row],[Order Date]],"YYYY")</f>
        <v>2014</v>
      </c>
      <c r="D310" s="2">
        <v>41865</v>
      </c>
      <c r="E310" s="2" t="s">
        <v>39</v>
      </c>
      <c r="F310" s="2" t="s">
        <v>1300</v>
      </c>
      <c r="G310" s="2" t="s">
        <v>1301</v>
      </c>
      <c r="H310" s="2" t="s">
        <v>24</v>
      </c>
      <c r="I310" s="2" t="s">
        <v>25</v>
      </c>
      <c r="J310" s="2" t="s">
        <v>1302</v>
      </c>
      <c r="K310" s="2" t="s">
        <v>520</v>
      </c>
      <c r="L310" s="2" t="s">
        <v>54</v>
      </c>
      <c r="M310" s="2" t="s">
        <v>967</v>
      </c>
      <c r="N310" s="2" t="s">
        <v>30</v>
      </c>
      <c r="O310" s="2" t="s">
        <v>56</v>
      </c>
      <c r="P310" s="2" t="s">
        <v>968</v>
      </c>
      <c r="Q310" s="2">
        <v>121.376</v>
      </c>
      <c r="R310" s="2">
        <v>4</v>
      </c>
      <c r="S310" s="2">
        <v>-3.0344000000000002</v>
      </c>
      <c r="T310" s="2" t="s">
        <v>129</v>
      </c>
      <c r="U310" s="2" t="s">
        <v>253</v>
      </c>
    </row>
    <row r="311" spans="1:21" ht="14.25" customHeight="1" x14ac:dyDescent="0.3">
      <c r="A311" s="2" t="s">
        <v>1303</v>
      </c>
      <c r="B311" s="5">
        <v>43078</v>
      </c>
      <c r="C311" s="2" t="str">
        <f>TEXT(data[[#This Row],[Order Date]],"YYYY")</f>
        <v>2017</v>
      </c>
      <c r="D311" s="2">
        <v>43082</v>
      </c>
      <c r="E311" s="2" t="s">
        <v>39</v>
      </c>
      <c r="F311" s="2" t="s">
        <v>1304</v>
      </c>
      <c r="G311" s="2" t="s">
        <v>1305</v>
      </c>
      <c r="H311" s="2" t="s">
        <v>90</v>
      </c>
      <c r="I311" s="2" t="s">
        <v>25</v>
      </c>
      <c r="J311" s="2" t="s">
        <v>288</v>
      </c>
      <c r="K311" s="2" t="s">
        <v>289</v>
      </c>
      <c r="L311" s="2" t="s">
        <v>93</v>
      </c>
      <c r="M311" s="2" t="s">
        <v>1306</v>
      </c>
      <c r="N311" s="2" t="s">
        <v>30</v>
      </c>
      <c r="O311" s="2" t="s">
        <v>36</v>
      </c>
      <c r="P311" s="2" t="s">
        <v>1307</v>
      </c>
      <c r="Q311" s="2">
        <v>872.94</v>
      </c>
      <c r="R311" s="2">
        <v>3</v>
      </c>
      <c r="S311" s="2">
        <v>226.96440000000001</v>
      </c>
      <c r="T311" s="2" t="s">
        <v>83</v>
      </c>
      <c r="U311" s="2" t="s">
        <v>96</v>
      </c>
    </row>
    <row r="312" spans="1:21" ht="14.25" customHeight="1" x14ac:dyDescent="0.3">
      <c r="A312" s="2" t="s">
        <v>1308</v>
      </c>
      <c r="B312" s="5">
        <v>42339</v>
      </c>
      <c r="C312" s="2" t="str">
        <f>TEXT(data[[#This Row],[Order Date]],"YYYY")</f>
        <v>2015</v>
      </c>
      <c r="D312" s="2">
        <v>42340</v>
      </c>
      <c r="E312" s="2" t="s">
        <v>425</v>
      </c>
      <c r="F312" s="2" t="s">
        <v>1309</v>
      </c>
      <c r="G312" s="2" t="s">
        <v>1310</v>
      </c>
      <c r="H312" s="2" t="s">
        <v>24</v>
      </c>
      <c r="I312" s="2" t="s">
        <v>25</v>
      </c>
      <c r="J312" s="2" t="s">
        <v>101</v>
      </c>
      <c r="K312" s="2" t="s">
        <v>92</v>
      </c>
      <c r="L312" s="2" t="s">
        <v>93</v>
      </c>
      <c r="M312" s="2" t="s">
        <v>1311</v>
      </c>
      <c r="N312" s="2" t="s">
        <v>30</v>
      </c>
      <c r="O312" s="2" t="s">
        <v>56</v>
      </c>
      <c r="P312" s="2" t="s">
        <v>1312</v>
      </c>
      <c r="Q312" s="2">
        <v>6.6879999999999997</v>
      </c>
      <c r="R312" s="2">
        <v>4</v>
      </c>
      <c r="S312" s="2">
        <v>-4.0128000000000004</v>
      </c>
      <c r="T312" s="2" t="s">
        <v>123</v>
      </c>
      <c r="U312" s="2" t="s">
        <v>96</v>
      </c>
    </row>
    <row r="313" spans="1:21" ht="14.25" customHeight="1" x14ac:dyDescent="0.3">
      <c r="A313" s="2" t="s">
        <v>1313</v>
      </c>
      <c r="B313" s="5">
        <v>42311</v>
      </c>
      <c r="C313" s="2" t="str">
        <f>TEXT(data[[#This Row],[Order Date]],"YYYY")</f>
        <v>2015</v>
      </c>
      <c r="D313" s="2">
        <v>42315</v>
      </c>
      <c r="E313" s="2" t="s">
        <v>39</v>
      </c>
      <c r="F313" s="2" t="s">
        <v>1314</v>
      </c>
      <c r="G313" s="2" t="s">
        <v>1315</v>
      </c>
      <c r="H313" s="2" t="s">
        <v>100</v>
      </c>
      <c r="I313" s="2" t="s">
        <v>25</v>
      </c>
      <c r="J313" s="2" t="s">
        <v>52</v>
      </c>
      <c r="K313" s="2" t="s">
        <v>53</v>
      </c>
      <c r="L313" s="2" t="s">
        <v>54</v>
      </c>
      <c r="M313" s="2" t="s">
        <v>485</v>
      </c>
      <c r="N313" s="2" t="s">
        <v>30</v>
      </c>
      <c r="O313" s="2" t="s">
        <v>56</v>
      </c>
      <c r="P313" s="2" t="s">
        <v>486</v>
      </c>
      <c r="Q313" s="2">
        <v>42.6</v>
      </c>
      <c r="R313" s="2">
        <v>3</v>
      </c>
      <c r="S313" s="2">
        <v>16.614000000000001</v>
      </c>
      <c r="T313" s="2" t="s">
        <v>83</v>
      </c>
      <c r="U313" s="2" t="s">
        <v>34</v>
      </c>
    </row>
    <row r="314" spans="1:21" ht="14.25" customHeight="1" x14ac:dyDescent="0.3">
      <c r="A314" s="2" t="s">
        <v>1316</v>
      </c>
      <c r="B314" s="5">
        <v>43063</v>
      </c>
      <c r="C314" s="2" t="str">
        <f>TEXT(data[[#This Row],[Order Date]],"YYYY")</f>
        <v>2017</v>
      </c>
      <c r="D314" s="2">
        <v>43067</v>
      </c>
      <c r="E314" s="2" t="s">
        <v>39</v>
      </c>
      <c r="F314" s="2" t="s">
        <v>1317</v>
      </c>
      <c r="G314" s="2" t="s">
        <v>1318</v>
      </c>
      <c r="H314" s="2" t="s">
        <v>90</v>
      </c>
      <c r="I314" s="2" t="s">
        <v>25</v>
      </c>
      <c r="J314" s="2" t="s">
        <v>173</v>
      </c>
      <c r="K314" s="2" t="s">
        <v>120</v>
      </c>
      <c r="L314" s="2" t="s">
        <v>67</v>
      </c>
      <c r="M314" s="2" t="s">
        <v>420</v>
      </c>
      <c r="N314" s="2" t="s">
        <v>30</v>
      </c>
      <c r="O314" s="2" t="s">
        <v>36</v>
      </c>
      <c r="P314" s="2" t="s">
        <v>421</v>
      </c>
      <c r="Q314" s="2">
        <v>977.29200000000003</v>
      </c>
      <c r="R314" s="2">
        <v>6</v>
      </c>
      <c r="S314" s="2">
        <v>173.74080000000001</v>
      </c>
      <c r="T314" s="2" t="s">
        <v>83</v>
      </c>
      <c r="U314" s="2" t="s">
        <v>34</v>
      </c>
    </row>
    <row r="315" spans="1:21" ht="14.25" customHeight="1" x14ac:dyDescent="0.3">
      <c r="A315" s="2" t="s">
        <v>1319</v>
      </c>
      <c r="B315" s="5">
        <v>43038</v>
      </c>
      <c r="C315" s="2" t="str">
        <f>TEXT(data[[#This Row],[Order Date]],"YYYY")</f>
        <v>2017</v>
      </c>
      <c r="D315" s="2">
        <v>43042</v>
      </c>
      <c r="E315" s="2" t="s">
        <v>39</v>
      </c>
      <c r="F315" s="2" t="s">
        <v>1320</v>
      </c>
      <c r="G315" s="2" t="s">
        <v>1321</v>
      </c>
      <c r="H315" s="2" t="s">
        <v>90</v>
      </c>
      <c r="I315" s="2" t="s">
        <v>25</v>
      </c>
      <c r="J315" s="2" t="s">
        <v>682</v>
      </c>
      <c r="K315" s="2" t="s">
        <v>192</v>
      </c>
      <c r="L315" s="2" t="s">
        <v>54</v>
      </c>
      <c r="M315" s="2" t="s">
        <v>959</v>
      </c>
      <c r="N315" s="2" t="s">
        <v>30</v>
      </c>
      <c r="O315" s="2" t="s">
        <v>56</v>
      </c>
      <c r="P315" s="2" t="s">
        <v>960</v>
      </c>
      <c r="Q315" s="2">
        <v>9.64</v>
      </c>
      <c r="R315" s="2">
        <v>2</v>
      </c>
      <c r="S315" s="2">
        <v>3.6631999999999998</v>
      </c>
      <c r="T315" s="2" t="s">
        <v>83</v>
      </c>
      <c r="U315" s="2" t="s">
        <v>48</v>
      </c>
    </row>
    <row r="316" spans="1:21" ht="14.25" customHeight="1" x14ac:dyDescent="0.3">
      <c r="A316" s="2" t="s">
        <v>1322</v>
      </c>
      <c r="B316" s="5">
        <v>42698</v>
      </c>
      <c r="C316" s="2" t="str">
        <f>TEXT(data[[#This Row],[Order Date]],"YYYY")</f>
        <v>2016</v>
      </c>
      <c r="D316" s="2">
        <v>42705</v>
      </c>
      <c r="E316" s="2" t="s">
        <v>39</v>
      </c>
      <c r="F316" s="2" t="s">
        <v>1323</v>
      </c>
      <c r="G316" s="2" t="s">
        <v>1324</v>
      </c>
      <c r="H316" s="2" t="s">
        <v>100</v>
      </c>
      <c r="I316" s="2" t="s">
        <v>25</v>
      </c>
      <c r="J316" s="2" t="s">
        <v>52</v>
      </c>
      <c r="K316" s="2" t="s">
        <v>53</v>
      </c>
      <c r="L316" s="2" t="s">
        <v>54</v>
      </c>
      <c r="M316" s="2" t="s">
        <v>650</v>
      </c>
      <c r="N316" s="2" t="s">
        <v>30</v>
      </c>
      <c r="O316" s="2" t="s">
        <v>56</v>
      </c>
      <c r="P316" s="2" t="s">
        <v>651</v>
      </c>
      <c r="Q316" s="2">
        <v>9.94</v>
      </c>
      <c r="R316" s="2">
        <v>2</v>
      </c>
      <c r="S316" s="2">
        <v>3.0813999999999999</v>
      </c>
      <c r="T316" s="2" t="s">
        <v>47</v>
      </c>
      <c r="U316" s="2" t="s">
        <v>34</v>
      </c>
    </row>
    <row r="317" spans="1:21" ht="14.25" customHeight="1" x14ac:dyDescent="0.3">
      <c r="A317" s="2" t="s">
        <v>1325</v>
      </c>
      <c r="B317" s="5">
        <v>42217</v>
      </c>
      <c r="C317" s="2" t="str">
        <f>TEXT(data[[#This Row],[Order Date]],"YYYY")</f>
        <v>2015</v>
      </c>
      <c r="D317" s="2">
        <v>42223</v>
      </c>
      <c r="E317" s="2" t="s">
        <v>39</v>
      </c>
      <c r="F317" s="2" t="s">
        <v>1326</v>
      </c>
      <c r="G317" s="2" t="s">
        <v>1327</v>
      </c>
      <c r="H317" s="2" t="s">
        <v>100</v>
      </c>
      <c r="I317" s="2" t="s">
        <v>25</v>
      </c>
      <c r="J317" s="2" t="s">
        <v>52</v>
      </c>
      <c r="K317" s="2" t="s">
        <v>53</v>
      </c>
      <c r="L317" s="2" t="s">
        <v>54</v>
      </c>
      <c r="M317" s="2" t="s">
        <v>1328</v>
      </c>
      <c r="N317" s="2" t="s">
        <v>30</v>
      </c>
      <c r="O317" s="2" t="s">
        <v>45</v>
      </c>
      <c r="P317" s="2" t="s">
        <v>1329</v>
      </c>
      <c r="Q317" s="2">
        <v>1004.976</v>
      </c>
      <c r="R317" s="2">
        <v>6</v>
      </c>
      <c r="S317" s="2">
        <v>-175.8708</v>
      </c>
      <c r="T317" s="2" t="s">
        <v>129</v>
      </c>
      <c r="U317" s="2" t="s">
        <v>253</v>
      </c>
    </row>
    <row r="318" spans="1:21" ht="14.25" customHeight="1" x14ac:dyDescent="0.3">
      <c r="A318" s="2" t="s">
        <v>1330</v>
      </c>
      <c r="B318" s="5">
        <v>42990</v>
      </c>
      <c r="C318" s="2" t="str">
        <f>TEXT(data[[#This Row],[Order Date]],"YYYY")</f>
        <v>2017</v>
      </c>
      <c r="D318" s="2">
        <v>42993</v>
      </c>
      <c r="E318" s="2" t="s">
        <v>87</v>
      </c>
      <c r="F318" s="2" t="s">
        <v>1331</v>
      </c>
      <c r="G318" s="2" t="s">
        <v>1332</v>
      </c>
      <c r="H318" s="2" t="s">
        <v>24</v>
      </c>
      <c r="I318" s="2" t="s">
        <v>25</v>
      </c>
      <c r="J318" s="2" t="s">
        <v>52</v>
      </c>
      <c r="K318" s="2" t="s">
        <v>53</v>
      </c>
      <c r="L318" s="2" t="s">
        <v>54</v>
      </c>
      <c r="M318" s="2" t="s">
        <v>1311</v>
      </c>
      <c r="N318" s="2" t="s">
        <v>30</v>
      </c>
      <c r="O318" s="2" t="s">
        <v>56</v>
      </c>
      <c r="P318" s="2" t="s">
        <v>1312</v>
      </c>
      <c r="Q318" s="2">
        <v>8.36</v>
      </c>
      <c r="R318" s="2">
        <v>2</v>
      </c>
      <c r="S318" s="2">
        <v>3.0095999999999998</v>
      </c>
      <c r="T318" s="2" t="s">
        <v>33</v>
      </c>
      <c r="U318" s="2" t="s">
        <v>77</v>
      </c>
    </row>
    <row r="319" spans="1:21" ht="14.25" customHeight="1" x14ac:dyDescent="0.3">
      <c r="A319" s="2" t="s">
        <v>1333</v>
      </c>
      <c r="B319" s="5">
        <v>43080</v>
      </c>
      <c r="C319" s="2" t="str">
        <f>TEXT(data[[#This Row],[Order Date]],"YYYY")</f>
        <v>2017</v>
      </c>
      <c r="D319" s="2">
        <v>43086</v>
      </c>
      <c r="E319" s="2" t="s">
        <v>39</v>
      </c>
      <c r="F319" s="2" t="s">
        <v>1334</v>
      </c>
      <c r="G319" s="2" t="s">
        <v>1335</v>
      </c>
      <c r="H319" s="2" t="s">
        <v>24</v>
      </c>
      <c r="I319" s="2" t="s">
        <v>25</v>
      </c>
      <c r="J319" s="2" t="s">
        <v>65</v>
      </c>
      <c r="K319" s="2" t="s">
        <v>66</v>
      </c>
      <c r="L319" s="2" t="s">
        <v>67</v>
      </c>
      <c r="M319" s="2" t="s">
        <v>1217</v>
      </c>
      <c r="N319" s="2" t="s">
        <v>30</v>
      </c>
      <c r="O319" s="2" t="s">
        <v>36</v>
      </c>
      <c r="P319" s="2" t="s">
        <v>1218</v>
      </c>
      <c r="Q319" s="2">
        <v>63.686</v>
      </c>
      <c r="R319" s="2">
        <v>1</v>
      </c>
      <c r="S319" s="2">
        <v>-9.0980000000000008</v>
      </c>
      <c r="T319" s="2" t="s">
        <v>129</v>
      </c>
      <c r="U319" s="2" t="s">
        <v>96</v>
      </c>
    </row>
    <row r="320" spans="1:21" ht="14.25" customHeight="1" x14ac:dyDescent="0.3">
      <c r="A320" s="2" t="s">
        <v>1336</v>
      </c>
      <c r="B320" s="5">
        <v>43079</v>
      </c>
      <c r="C320" s="2" t="str">
        <f>TEXT(data[[#This Row],[Order Date]],"YYYY")</f>
        <v>2017</v>
      </c>
      <c r="D320" s="2">
        <v>43083</v>
      </c>
      <c r="E320" s="2" t="s">
        <v>21</v>
      </c>
      <c r="F320" s="2" t="s">
        <v>1337</v>
      </c>
      <c r="G320" s="2" t="s">
        <v>1338</v>
      </c>
      <c r="H320" s="2" t="s">
        <v>24</v>
      </c>
      <c r="I320" s="2" t="s">
        <v>25</v>
      </c>
      <c r="J320" s="2" t="s">
        <v>1339</v>
      </c>
      <c r="K320" s="2" t="s">
        <v>1340</v>
      </c>
      <c r="L320" s="2" t="s">
        <v>54</v>
      </c>
      <c r="M320" s="2" t="s">
        <v>612</v>
      </c>
      <c r="N320" s="2" t="s">
        <v>30</v>
      </c>
      <c r="O320" s="2" t="s">
        <v>45</v>
      </c>
      <c r="P320" s="2" t="s">
        <v>613</v>
      </c>
      <c r="Q320" s="2">
        <v>1669.6</v>
      </c>
      <c r="R320" s="2">
        <v>4</v>
      </c>
      <c r="S320" s="2">
        <v>116.872</v>
      </c>
      <c r="T320" s="2" t="s">
        <v>83</v>
      </c>
      <c r="U320" s="2" t="s">
        <v>96</v>
      </c>
    </row>
    <row r="321" spans="1:21" ht="14.25" customHeight="1" x14ac:dyDescent="0.3">
      <c r="A321" s="2" t="s">
        <v>1341</v>
      </c>
      <c r="B321" s="5">
        <v>42344</v>
      </c>
      <c r="C321" s="2" t="str">
        <f>TEXT(data[[#This Row],[Order Date]],"YYYY")</f>
        <v>2015</v>
      </c>
      <c r="D321" s="2">
        <v>42349</v>
      </c>
      <c r="E321" s="2" t="s">
        <v>39</v>
      </c>
      <c r="F321" s="2" t="s">
        <v>1342</v>
      </c>
      <c r="G321" s="2" t="s">
        <v>1343</v>
      </c>
      <c r="H321" s="2" t="s">
        <v>24</v>
      </c>
      <c r="I321" s="2" t="s">
        <v>25</v>
      </c>
      <c r="J321" s="2" t="s">
        <v>1222</v>
      </c>
      <c r="K321" s="2" t="s">
        <v>520</v>
      </c>
      <c r="L321" s="2" t="s">
        <v>54</v>
      </c>
      <c r="M321" s="2" t="s">
        <v>745</v>
      </c>
      <c r="N321" s="2" t="s">
        <v>30</v>
      </c>
      <c r="O321" s="2" t="s">
        <v>56</v>
      </c>
      <c r="P321" s="2" t="s">
        <v>746</v>
      </c>
      <c r="Q321" s="2">
        <v>206.11199999999999</v>
      </c>
      <c r="R321" s="2">
        <v>6</v>
      </c>
      <c r="S321" s="2">
        <v>48.951599999999999</v>
      </c>
      <c r="T321" s="2" t="s">
        <v>58</v>
      </c>
      <c r="U321" s="2" t="s">
        <v>96</v>
      </c>
    </row>
    <row r="322" spans="1:21" ht="14.25" customHeight="1" x14ac:dyDescent="0.3">
      <c r="A322" s="2" t="s">
        <v>1344</v>
      </c>
      <c r="B322" s="5">
        <v>42573</v>
      </c>
      <c r="C322" s="2" t="str">
        <f>TEXT(data[[#This Row],[Order Date]],"YYYY")</f>
        <v>2016</v>
      </c>
      <c r="D322" s="2">
        <v>42578</v>
      </c>
      <c r="E322" s="2" t="s">
        <v>39</v>
      </c>
      <c r="F322" s="2" t="s">
        <v>1345</v>
      </c>
      <c r="G322" s="2" t="s">
        <v>1346</v>
      </c>
      <c r="H322" s="2" t="s">
        <v>24</v>
      </c>
      <c r="I322" s="2" t="s">
        <v>25</v>
      </c>
      <c r="J322" s="2" t="s">
        <v>1347</v>
      </c>
      <c r="K322" s="2" t="s">
        <v>66</v>
      </c>
      <c r="L322" s="2" t="s">
        <v>67</v>
      </c>
      <c r="M322" s="2" t="s">
        <v>1348</v>
      </c>
      <c r="N322" s="2" t="s">
        <v>30</v>
      </c>
      <c r="O322" s="2" t="s">
        <v>56</v>
      </c>
      <c r="P322" s="2" t="s">
        <v>1349</v>
      </c>
      <c r="Q322" s="2">
        <v>11.648</v>
      </c>
      <c r="R322" s="2">
        <v>2</v>
      </c>
      <c r="S322" s="2">
        <v>3.3488000000000002</v>
      </c>
      <c r="T322" s="2" t="s">
        <v>58</v>
      </c>
      <c r="U322" s="2" t="s">
        <v>71</v>
      </c>
    </row>
    <row r="323" spans="1:21" ht="14.25" customHeight="1" x14ac:dyDescent="0.3">
      <c r="A323" s="2" t="s">
        <v>1350</v>
      </c>
      <c r="B323" s="5">
        <v>42776</v>
      </c>
      <c r="C323" s="2" t="str">
        <f>TEXT(data[[#This Row],[Order Date]],"YYYY")</f>
        <v>2017</v>
      </c>
      <c r="D323" s="2">
        <v>42780</v>
      </c>
      <c r="E323" s="2" t="s">
        <v>39</v>
      </c>
      <c r="F323" s="2" t="s">
        <v>1351</v>
      </c>
      <c r="G323" s="2" t="s">
        <v>1352</v>
      </c>
      <c r="H323" s="2" t="s">
        <v>100</v>
      </c>
      <c r="I323" s="2" t="s">
        <v>25</v>
      </c>
      <c r="J323" s="2" t="s">
        <v>1353</v>
      </c>
      <c r="K323" s="2" t="s">
        <v>53</v>
      </c>
      <c r="L323" s="2" t="s">
        <v>54</v>
      </c>
      <c r="M323" s="2" t="s">
        <v>710</v>
      </c>
      <c r="N323" s="2" t="s">
        <v>30</v>
      </c>
      <c r="O323" s="2" t="s">
        <v>31</v>
      </c>
      <c r="P323" s="2" t="s">
        <v>711</v>
      </c>
      <c r="Q323" s="2">
        <v>203.983</v>
      </c>
      <c r="R323" s="2">
        <v>2</v>
      </c>
      <c r="S323" s="2">
        <v>16.7986</v>
      </c>
      <c r="T323" s="2" t="s">
        <v>83</v>
      </c>
      <c r="U323" s="2" t="s">
        <v>297</v>
      </c>
    </row>
    <row r="324" spans="1:21" ht="14.25" customHeight="1" x14ac:dyDescent="0.3">
      <c r="A324" s="2" t="s">
        <v>1354</v>
      </c>
      <c r="B324" s="5">
        <v>42993</v>
      </c>
      <c r="C324" s="2" t="str">
        <f>TEXT(data[[#This Row],[Order Date]],"YYYY")</f>
        <v>2017</v>
      </c>
      <c r="D324" s="2">
        <v>42995</v>
      </c>
      <c r="E324" s="2" t="s">
        <v>21</v>
      </c>
      <c r="F324" s="2" t="s">
        <v>1355</v>
      </c>
      <c r="G324" s="2" t="s">
        <v>1356</v>
      </c>
      <c r="H324" s="2" t="s">
        <v>24</v>
      </c>
      <c r="I324" s="2" t="s">
        <v>25</v>
      </c>
      <c r="J324" s="2" t="s">
        <v>1357</v>
      </c>
      <c r="K324" s="2" t="s">
        <v>434</v>
      </c>
      <c r="L324" s="2" t="s">
        <v>67</v>
      </c>
      <c r="M324" s="2" t="s">
        <v>102</v>
      </c>
      <c r="N324" s="2" t="s">
        <v>30</v>
      </c>
      <c r="O324" s="2" t="s">
        <v>31</v>
      </c>
      <c r="P324" s="2" t="s">
        <v>103</v>
      </c>
      <c r="Q324" s="2">
        <v>782.94</v>
      </c>
      <c r="R324" s="2">
        <v>3</v>
      </c>
      <c r="S324" s="2">
        <v>203.56440000000001</v>
      </c>
      <c r="T324" s="2" t="s">
        <v>70</v>
      </c>
      <c r="U324" s="2" t="s">
        <v>77</v>
      </c>
    </row>
    <row r="325" spans="1:21" ht="14.25" customHeight="1" x14ac:dyDescent="0.3">
      <c r="A325" s="2" t="s">
        <v>1358</v>
      </c>
      <c r="B325" s="5">
        <v>41709</v>
      </c>
      <c r="C325" s="2" t="str">
        <f>TEXT(data[[#This Row],[Order Date]],"YYYY")</f>
        <v>2014</v>
      </c>
      <c r="D325" s="2">
        <v>41714</v>
      </c>
      <c r="E325" s="2" t="s">
        <v>21</v>
      </c>
      <c r="F325" s="2" t="s">
        <v>1359</v>
      </c>
      <c r="G325" s="2" t="s">
        <v>1360</v>
      </c>
      <c r="H325" s="2" t="s">
        <v>24</v>
      </c>
      <c r="I325" s="2" t="s">
        <v>25</v>
      </c>
      <c r="J325" s="2" t="s">
        <v>347</v>
      </c>
      <c r="K325" s="2" t="s">
        <v>231</v>
      </c>
      <c r="L325" s="2" t="s">
        <v>67</v>
      </c>
      <c r="M325" s="2" t="s">
        <v>1361</v>
      </c>
      <c r="N325" s="2" t="s">
        <v>30</v>
      </c>
      <c r="O325" s="2" t="s">
        <v>56</v>
      </c>
      <c r="P325" s="2" t="s">
        <v>423</v>
      </c>
      <c r="Q325" s="2">
        <v>8.32</v>
      </c>
      <c r="R325" s="2">
        <v>5</v>
      </c>
      <c r="S325" s="2">
        <v>2.2879999999999998</v>
      </c>
      <c r="T325" s="2" t="s">
        <v>58</v>
      </c>
      <c r="U325" s="2" t="s">
        <v>195</v>
      </c>
    </row>
    <row r="326" spans="1:21" ht="14.25" customHeight="1" x14ac:dyDescent="0.3">
      <c r="A326" s="2" t="s">
        <v>1362</v>
      </c>
      <c r="B326" s="5">
        <v>42004</v>
      </c>
      <c r="C326" s="2" t="str">
        <f>TEXT(data[[#This Row],[Order Date]],"YYYY")</f>
        <v>2014</v>
      </c>
      <c r="D326" s="2">
        <v>42008</v>
      </c>
      <c r="E326" s="2" t="s">
        <v>21</v>
      </c>
      <c r="F326" s="2" t="s">
        <v>1363</v>
      </c>
      <c r="G326" s="2" t="s">
        <v>1364</v>
      </c>
      <c r="H326" s="2" t="s">
        <v>90</v>
      </c>
      <c r="I326" s="2" t="s">
        <v>25</v>
      </c>
      <c r="J326" s="2" t="s">
        <v>1365</v>
      </c>
      <c r="K326" s="2" t="s">
        <v>120</v>
      </c>
      <c r="L326" s="2" t="s">
        <v>67</v>
      </c>
      <c r="M326" s="2" t="s">
        <v>260</v>
      </c>
      <c r="N326" s="2" t="s">
        <v>30</v>
      </c>
      <c r="O326" s="2" t="s">
        <v>31</v>
      </c>
      <c r="P326" s="2" t="s">
        <v>261</v>
      </c>
      <c r="Q326" s="2">
        <v>1573.4880000000001</v>
      </c>
      <c r="R326" s="2">
        <v>7</v>
      </c>
      <c r="S326" s="2">
        <v>196.68600000000001</v>
      </c>
      <c r="T326" s="2" t="s">
        <v>83</v>
      </c>
      <c r="U326" s="2" t="s">
        <v>96</v>
      </c>
    </row>
    <row r="327" spans="1:21" ht="14.25" customHeight="1" x14ac:dyDescent="0.3">
      <c r="A327" s="2" t="s">
        <v>1366</v>
      </c>
      <c r="B327" s="5">
        <v>42079</v>
      </c>
      <c r="C327" s="2" t="str">
        <f>TEXT(data[[#This Row],[Order Date]],"YYYY")</f>
        <v>2015</v>
      </c>
      <c r="D327" s="2">
        <v>42081</v>
      </c>
      <c r="E327" s="2" t="s">
        <v>21</v>
      </c>
      <c r="F327" s="2" t="s">
        <v>537</v>
      </c>
      <c r="G327" s="2" t="s">
        <v>538</v>
      </c>
      <c r="H327" s="2" t="s">
        <v>24</v>
      </c>
      <c r="I327" s="2" t="s">
        <v>25</v>
      </c>
      <c r="J327" s="2" t="s">
        <v>191</v>
      </c>
      <c r="K327" s="2" t="s">
        <v>192</v>
      </c>
      <c r="L327" s="2" t="s">
        <v>54</v>
      </c>
      <c r="M327" s="2" t="s">
        <v>1259</v>
      </c>
      <c r="N327" s="2" t="s">
        <v>30</v>
      </c>
      <c r="O327" s="2" t="s">
        <v>45</v>
      </c>
      <c r="P327" s="2" t="s">
        <v>1063</v>
      </c>
      <c r="Q327" s="2">
        <v>171.96</v>
      </c>
      <c r="R327" s="2">
        <v>2</v>
      </c>
      <c r="S327" s="2">
        <v>44.709600000000002</v>
      </c>
      <c r="T327" s="2" t="s">
        <v>70</v>
      </c>
      <c r="U327" s="2" t="s">
        <v>195</v>
      </c>
    </row>
    <row r="328" spans="1:21" ht="14.25" customHeight="1" x14ac:dyDescent="0.3">
      <c r="A328" s="2" t="s">
        <v>1367</v>
      </c>
      <c r="B328" s="5">
        <v>42916</v>
      </c>
      <c r="C328" s="2" t="str">
        <f>TEXT(data[[#This Row],[Order Date]],"YYYY")</f>
        <v>2017</v>
      </c>
      <c r="D328" s="2">
        <v>42916</v>
      </c>
      <c r="E328" s="2" t="s">
        <v>425</v>
      </c>
      <c r="F328" s="2" t="s">
        <v>1368</v>
      </c>
      <c r="G328" s="2" t="s">
        <v>1369</v>
      </c>
      <c r="H328" s="2" t="s">
        <v>24</v>
      </c>
      <c r="I328" s="2" t="s">
        <v>25</v>
      </c>
      <c r="J328" s="2" t="s">
        <v>173</v>
      </c>
      <c r="K328" s="2" t="s">
        <v>120</v>
      </c>
      <c r="L328" s="2" t="s">
        <v>67</v>
      </c>
      <c r="M328" s="2" t="s">
        <v>44</v>
      </c>
      <c r="N328" s="2" t="s">
        <v>30</v>
      </c>
      <c r="O328" s="2" t="s">
        <v>45</v>
      </c>
      <c r="P328" s="2" t="s">
        <v>46</v>
      </c>
      <c r="Q328" s="2">
        <v>1044.6300000000001</v>
      </c>
      <c r="R328" s="2">
        <v>5</v>
      </c>
      <c r="S328" s="2">
        <v>-295.9785</v>
      </c>
      <c r="T328" s="2" t="s">
        <v>430</v>
      </c>
      <c r="U328" s="2" t="s">
        <v>59</v>
      </c>
    </row>
    <row r="329" spans="1:21" ht="14.25" customHeight="1" x14ac:dyDescent="0.3">
      <c r="A329" s="2" t="s">
        <v>1370</v>
      </c>
      <c r="B329" s="5">
        <v>41966</v>
      </c>
      <c r="C329" s="2" t="str">
        <f>TEXT(data[[#This Row],[Order Date]],"YYYY")</f>
        <v>2014</v>
      </c>
      <c r="D329" s="2">
        <v>41968</v>
      </c>
      <c r="E329" s="2" t="s">
        <v>87</v>
      </c>
      <c r="F329" s="2" t="s">
        <v>507</v>
      </c>
      <c r="G329" s="2" t="s">
        <v>508</v>
      </c>
      <c r="H329" s="2" t="s">
        <v>24</v>
      </c>
      <c r="I329" s="2" t="s">
        <v>25</v>
      </c>
      <c r="J329" s="2" t="s">
        <v>52</v>
      </c>
      <c r="K329" s="2" t="s">
        <v>53</v>
      </c>
      <c r="L329" s="2" t="s">
        <v>54</v>
      </c>
      <c r="M329" s="2" t="s">
        <v>159</v>
      </c>
      <c r="N329" s="2" t="s">
        <v>30</v>
      </c>
      <c r="O329" s="2" t="s">
        <v>36</v>
      </c>
      <c r="P329" s="2" t="s">
        <v>160</v>
      </c>
      <c r="Q329" s="2">
        <v>603.91999999999996</v>
      </c>
      <c r="R329" s="2">
        <v>5</v>
      </c>
      <c r="S329" s="2">
        <v>-67.941000000000003</v>
      </c>
      <c r="T329" s="2" t="s">
        <v>70</v>
      </c>
      <c r="U329" s="2" t="s">
        <v>34</v>
      </c>
    </row>
    <row r="330" spans="1:21" ht="14.25" customHeight="1" x14ac:dyDescent="0.3">
      <c r="A330" s="2" t="s">
        <v>1370</v>
      </c>
      <c r="B330" s="5">
        <v>41966</v>
      </c>
      <c r="C330" s="2" t="str">
        <f>TEXT(data[[#This Row],[Order Date]],"YYYY")</f>
        <v>2014</v>
      </c>
      <c r="D330" s="2">
        <v>41968</v>
      </c>
      <c r="E330" s="2" t="s">
        <v>87</v>
      </c>
      <c r="F330" s="2" t="s">
        <v>507</v>
      </c>
      <c r="G330" s="2" t="s">
        <v>508</v>
      </c>
      <c r="H330" s="2" t="s">
        <v>24</v>
      </c>
      <c r="I330" s="2" t="s">
        <v>25</v>
      </c>
      <c r="J330" s="2" t="s">
        <v>52</v>
      </c>
      <c r="K330" s="2" t="s">
        <v>53</v>
      </c>
      <c r="L330" s="2" t="s">
        <v>54</v>
      </c>
      <c r="M330" s="2" t="s">
        <v>580</v>
      </c>
      <c r="N330" s="2" t="s">
        <v>30</v>
      </c>
      <c r="O330" s="2" t="s">
        <v>36</v>
      </c>
      <c r="P330" s="2" t="s">
        <v>581</v>
      </c>
      <c r="Q330" s="2">
        <v>381.44</v>
      </c>
      <c r="R330" s="2">
        <v>2</v>
      </c>
      <c r="S330" s="2">
        <v>23.84</v>
      </c>
      <c r="T330" s="2" t="s">
        <v>70</v>
      </c>
      <c r="U330" s="2" t="s">
        <v>34</v>
      </c>
    </row>
    <row r="331" spans="1:21" ht="14.25" customHeight="1" x14ac:dyDescent="0.3">
      <c r="A331" s="2" t="s">
        <v>1371</v>
      </c>
      <c r="B331" s="5">
        <v>41988</v>
      </c>
      <c r="C331" s="2" t="str">
        <f>TEXT(data[[#This Row],[Order Date]],"YYYY")</f>
        <v>2014</v>
      </c>
      <c r="D331" s="2">
        <v>41991</v>
      </c>
      <c r="E331" s="2" t="s">
        <v>87</v>
      </c>
      <c r="F331" s="2" t="s">
        <v>1372</v>
      </c>
      <c r="G331" s="2" t="s">
        <v>1373</v>
      </c>
      <c r="H331" s="2" t="s">
        <v>24</v>
      </c>
      <c r="I331" s="2" t="s">
        <v>25</v>
      </c>
      <c r="J331" s="2" t="s">
        <v>1374</v>
      </c>
      <c r="K331" s="2" t="s">
        <v>92</v>
      </c>
      <c r="L331" s="2" t="s">
        <v>93</v>
      </c>
      <c r="M331" s="2" t="s">
        <v>816</v>
      </c>
      <c r="N331" s="2" t="s">
        <v>30</v>
      </c>
      <c r="O331" s="2" t="s">
        <v>36</v>
      </c>
      <c r="P331" s="2" t="s">
        <v>817</v>
      </c>
      <c r="Q331" s="2">
        <v>763.28</v>
      </c>
      <c r="R331" s="2">
        <v>5</v>
      </c>
      <c r="S331" s="2">
        <v>-21.808</v>
      </c>
      <c r="T331" s="2" t="s">
        <v>33</v>
      </c>
      <c r="U331" s="2" t="s">
        <v>96</v>
      </c>
    </row>
    <row r="332" spans="1:21" ht="14.25" customHeight="1" x14ac:dyDescent="0.3">
      <c r="A332" s="2" t="s">
        <v>1375</v>
      </c>
      <c r="B332" s="5">
        <v>42225</v>
      </c>
      <c r="C332" s="2" t="str">
        <f>TEXT(data[[#This Row],[Order Date]],"YYYY")</f>
        <v>2015</v>
      </c>
      <c r="D332" s="2">
        <v>42228</v>
      </c>
      <c r="E332" s="2" t="s">
        <v>87</v>
      </c>
      <c r="F332" s="2" t="s">
        <v>713</v>
      </c>
      <c r="G332" s="2" t="s">
        <v>714</v>
      </c>
      <c r="H332" s="2" t="s">
        <v>24</v>
      </c>
      <c r="I332" s="2" t="s">
        <v>25</v>
      </c>
      <c r="J332" s="2" t="s">
        <v>173</v>
      </c>
      <c r="K332" s="2" t="s">
        <v>120</v>
      </c>
      <c r="L332" s="2" t="s">
        <v>67</v>
      </c>
      <c r="M332" s="2" t="s">
        <v>317</v>
      </c>
      <c r="N332" s="2" t="s">
        <v>30</v>
      </c>
      <c r="O332" s="2" t="s">
        <v>45</v>
      </c>
      <c r="P332" s="2" t="s">
        <v>318</v>
      </c>
      <c r="Q332" s="2">
        <v>382.80599999999998</v>
      </c>
      <c r="R332" s="2">
        <v>9</v>
      </c>
      <c r="S332" s="2">
        <v>-153.1224</v>
      </c>
      <c r="T332" s="2" t="s">
        <v>33</v>
      </c>
      <c r="U332" s="2" t="s">
        <v>253</v>
      </c>
    </row>
    <row r="333" spans="1:21" ht="14.25" customHeight="1" x14ac:dyDescent="0.3">
      <c r="A333" s="2" t="s">
        <v>1375</v>
      </c>
      <c r="B333" s="5">
        <v>42225</v>
      </c>
      <c r="C333" s="2" t="str">
        <f>TEXT(data[[#This Row],[Order Date]],"YYYY")</f>
        <v>2015</v>
      </c>
      <c r="D333" s="2">
        <v>42228</v>
      </c>
      <c r="E333" s="2" t="s">
        <v>87</v>
      </c>
      <c r="F333" s="2" t="s">
        <v>713</v>
      </c>
      <c r="G333" s="2" t="s">
        <v>714</v>
      </c>
      <c r="H333" s="2" t="s">
        <v>24</v>
      </c>
      <c r="I333" s="2" t="s">
        <v>25</v>
      </c>
      <c r="J333" s="2" t="s">
        <v>173</v>
      </c>
      <c r="K333" s="2" t="s">
        <v>120</v>
      </c>
      <c r="L333" s="2" t="s">
        <v>67</v>
      </c>
      <c r="M333" s="2" t="s">
        <v>201</v>
      </c>
      <c r="N333" s="2" t="s">
        <v>30</v>
      </c>
      <c r="O333" s="2" t="s">
        <v>56</v>
      </c>
      <c r="P333" s="2" t="s">
        <v>202</v>
      </c>
      <c r="Q333" s="2">
        <v>47.04</v>
      </c>
      <c r="R333" s="2">
        <v>3</v>
      </c>
      <c r="S333" s="2">
        <v>18.345600000000001</v>
      </c>
      <c r="T333" s="2" t="s">
        <v>33</v>
      </c>
      <c r="U333" s="2" t="s">
        <v>253</v>
      </c>
    </row>
    <row r="334" spans="1:21" ht="14.25" customHeight="1" x14ac:dyDescent="0.3">
      <c r="A334" s="2" t="s">
        <v>1375</v>
      </c>
      <c r="B334" s="5">
        <v>42225</v>
      </c>
      <c r="C334" s="2" t="str">
        <f>TEXT(data[[#This Row],[Order Date]],"YYYY")</f>
        <v>2015</v>
      </c>
      <c r="D334" s="2">
        <v>42228</v>
      </c>
      <c r="E334" s="2" t="s">
        <v>87</v>
      </c>
      <c r="F334" s="2" t="s">
        <v>713</v>
      </c>
      <c r="G334" s="2" t="s">
        <v>714</v>
      </c>
      <c r="H334" s="2" t="s">
        <v>24</v>
      </c>
      <c r="I334" s="2" t="s">
        <v>25</v>
      </c>
      <c r="J334" s="2" t="s">
        <v>173</v>
      </c>
      <c r="K334" s="2" t="s">
        <v>120</v>
      </c>
      <c r="L334" s="2" t="s">
        <v>67</v>
      </c>
      <c r="M334" s="2" t="s">
        <v>111</v>
      </c>
      <c r="N334" s="2" t="s">
        <v>30</v>
      </c>
      <c r="O334" s="2" t="s">
        <v>56</v>
      </c>
      <c r="P334" s="2" t="s">
        <v>112</v>
      </c>
      <c r="Q334" s="2">
        <v>6.16</v>
      </c>
      <c r="R334" s="2">
        <v>2</v>
      </c>
      <c r="S334" s="2">
        <v>2.9567999999999999</v>
      </c>
      <c r="T334" s="2" t="s">
        <v>33</v>
      </c>
      <c r="U334" s="2" t="s">
        <v>253</v>
      </c>
    </row>
    <row r="335" spans="1:21" ht="14.25" customHeight="1" x14ac:dyDescent="0.3">
      <c r="A335" s="2" t="s">
        <v>1376</v>
      </c>
      <c r="B335" s="5">
        <v>42087</v>
      </c>
      <c r="C335" s="2" t="str">
        <f>TEXT(data[[#This Row],[Order Date]],"YYYY")</f>
        <v>2015</v>
      </c>
      <c r="D335" s="2">
        <v>42090</v>
      </c>
      <c r="E335" s="2" t="s">
        <v>87</v>
      </c>
      <c r="F335" s="2" t="s">
        <v>1377</v>
      </c>
      <c r="G335" s="2" t="s">
        <v>1378</v>
      </c>
      <c r="H335" s="2" t="s">
        <v>100</v>
      </c>
      <c r="I335" s="2" t="s">
        <v>25</v>
      </c>
      <c r="J335" s="2" t="s">
        <v>1379</v>
      </c>
      <c r="K335" s="2" t="s">
        <v>134</v>
      </c>
      <c r="L335" s="2" t="s">
        <v>93</v>
      </c>
      <c r="M335" s="2" t="s">
        <v>1380</v>
      </c>
      <c r="N335" s="2" t="s">
        <v>30</v>
      </c>
      <c r="O335" s="2" t="s">
        <v>31</v>
      </c>
      <c r="P335" s="2" t="s">
        <v>1381</v>
      </c>
      <c r="Q335" s="2">
        <v>359.05799999999999</v>
      </c>
      <c r="R335" s="2">
        <v>3</v>
      </c>
      <c r="S335" s="2">
        <v>-35.905799999999999</v>
      </c>
      <c r="T335" s="2" t="s">
        <v>33</v>
      </c>
      <c r="U335" s="2" t="s">
        <v>195</v>
      </c>
    </row>
    <row r="336" spans="1:21" ht="14.25" customHeight="1" x14ac:dyDescent="0.3">
      <c r="A336" s="2" t="s">
        <v>1382</v>
      </c>
      <c r="B336" s="5">
        <v>42863</v>
      </c>
      <c r="C336" s="2" t="str">
        <f>TEXT(data[[#This Row],[Order Date]],"YYYY")</f>
        <v>2017</v>
      </c>
      <c r="D336" s="2">
        <v>42867</v>
      </c>
      <c r="E336" s="2" t="s">
        <v>39</v>
      </c>
      <c r="F336" s="2" t="s">
        <v>1383</v>
      </c>
      <c r="G336" s="2" t="s">
        <v>1384</v>
      </c>
      <c r="H336" s="2" t="s">
        <v>24</v>
      </c>
      <c r="I336" s="2" t="s">
        <v>25</v>
      </c>
      <c r="J336" s="2" t="s">
        <v>347</v>
      </c>
      <c r="K336" s="2" t="s">
        <v>231</v>
      </c>
      <c r="L336" s="2" t="s">
        <v>67</v>
      </c>
      <c r="M336" s="2" t="s">
        <v>1102</v>
      </c>
      <c r="N336" s="2" t="s">
        <v>30</v>
      </c>
      <c r="O336" s="2" t="s">
        <v>36</v>
      </c>
      <c r="P336" s="2" t="s">
        <v>1103</v>
      </c>
      <c r="Q336" s="2">
        <v>47.991999999999997</v>
      </c>
      <c r="R336" s="2">
        <v>2</v>
      </c>
      <c r="S336" s="2">
        <v>-2.0568</v>
      </c>
      <c r="T336" s="2" t="s">
        <v>83</v>
      </c>
      <c r="U336" s="2" t="s">
        <v>161</v>
      </c>
    </row>
    <row r="337" spans="1:21" ht="14.25" customHeight="1" x14ac:dyDescent="0.3">
      <c r="A337" s="2" t="s">
        <v>1385</v>
      </c>
      <c r="B337" s="5">
        <v>43024</v>
      </c>
      <c r="C337" s="2" t="str">
        <f>TEXT(data[[#This Row],[Order Date]],"YYYY")</f>
        <v>2017</v>
      </c>
      <c r="D337" s="2">
        <v>43026</v>
      </c>
      <c r="E337" s="2" t="s">
        <v>87</v>
      </c>
      <c r="F337" s="2" t="s">
        <v>556</v>
      </c>
      <c r="G337" s="2" t="s">
        <v>557</v>
      </c>
      <c r="H337" s="2" t="s">
        <v>90</v>
      </c>
      <c r="I337" s="2" t="s">
        <v>25</v>
      </c>
      <c r="J337" s="2" t="s">
        <v>173</v>
      </c>
      <c r="K337" s="2" t="s">
        <v>120</v>
      </c>
      <c r="L337" s="2" t="s">
        <v>67</v>
      </c>
      <c r="M337" s="2" t="s">
        <v>566</v>
      </c>
      <c r="N337" s="2" t="s">
        <v>30</v>
      </c>
      <c r="O337" s="2" t="s">
        <v>56</v>
      </c>
      <c r="P337" s="2" t="s">
        <v>567</v>
      </c>
      <c r="Q337" s="2">
        <v>547.29999999999995</v>
      </c>
      <c r="R337" s="2">
        <v>13</v>
      </c>
      <c r="S337" s="2">
        <v>175.136</v>
      </c>
      <c r="T337" s="2" t="s">
        <v>70</v>
      </c>
      <c r="U337" s="2" t="s">
        <v>48</v>
      </c>
    </row>
    <row r="338" spans="1:21" ht="14.25" customHeight="1" x14ac:dyDescent="0.3">
      <c r="A338" s="2" t="s">
        <v>1386</v>
      </c>
      <c r="B338" s="5">
        <v>43058</v>
      </c>
      <c r="C338" s="2" t="str">
        <f>TEXT(data[[#This Row],[Order Date]],"YYYY")</f>
        <v>2017</v>
      </c>
      <c r="D338" s="2">
        <v>43060</v>
      </c>
      <c r="E338" s="2" t="s">
        <v>21</v>
      </c>
      <c r="F338" s="2" t="s">
        <v>1387</v>
      </c>
      <c r="G338" s="2" t="s">
        <v>1388</v>
      </c>
      <c r="H338" s="2" t="s">
        <v>24</v>
      </c>
      <c r="I338" s="2" t="s">
        <v>25</v>
      </c>
      <c r="J338" s="2" t="s">
        <v>1389</v>
      </c>
      <c r="K338" s="2" t="s">
        <v>92</v>
      </c>
      <c r="L338" s="2" t="s">
        <v>93</v>
      </c>
      <c r="M338" s="2" t="s">
        <v>400</v>
      </c>
      <c r="N338" s="2" t="s">
        <v>30</v>
      </c>
      <c r="O338" s="2" t="s">
        <v>56</v>
      </c>
      <c r="P338" s="2" t="s">
        <v>401</v>
      </c>
      <c r="Q338" s="2">
        <v>15.992000000000001</v>
      </c>
      <c r="R338" s="2">
        <v>2</v>
      </c>
      <c r="S338" s="2">
        <v>-13.993</v>
      </c>
      <c r="T338" s="2" t="s">
        <v>70</v>
      </c>
      <c r="U338" s="2" t="s">
        <v>34</v>
      </c>
    </row>
    <row r="339" spans="1:21" ht="14.25" customHeight="1" x14ac:dyDescent="0.3">
      <c r="A339" s="2" t="s">
        <v>1390</v>
      </c>
      <c r="B339" s="5">
        <v>42498</v>
      </c>
      <c r="C339" s="2" t="str">
        <f>TEXT(data[[#This Row],[Order Date]],"YYYY")</f>
        <v>2016</v>
      </c>
      <c r="D339" s="2">
        <v>42503</v>
      </c>
      <c r="E339" s="2" t="s">
        <v>21</v>
      </c>
      <c r="F339" s="2" t="s">
        <v>1080</v>
      </c>
      <c r="G339" s="2" t="s">
        <v>1081</v>
      </c>
      <c r="H339" s="2" t="s">
        <v>90</v>
      </c>
      <c r="I339" s="2" t="s">
        <v>25</v>
      </c>
      <c r="J339" s="2" t="s">
        <v>741</v>
      </c>
      <c r="K339" s="2" t="s">
        <v>200</v>
      </c>
      <c r="L339" s="2" t="s">
        <v>67</v>
      </c>
      <c r="M339" s="2" t="s">
        <v>1391</v>
      </c>
      <c r="N339" s="2" t="s">
        <v>30</v>
      </c>
      <c r="O339" s="2" t="s">
        <v>56</v>
      </c>
      <c r="P339" s="2" t="s">
        <v>1392</v>
      </c>
      <c r="Q339" s="2">
        <v>211.96</v>
      </c>
      <c r="R339" s="2">
        <v>2</v>
      </c>
      <c r="S339" s="2">
        <v>42.392000000000003</v>
      </c>
      <c r="T339" s="2" t="s">
        <v>58</v>
      </c>
      <c r="U339" s="2" t="s">
        <v>161</v>
      </c>
    </row>
    <row r="340" spans="1:21" ht="14.25" customHeight="1" x14ac:dyDescent="0.3">
      <c r="A340" s="2" t="s">
        <v>1393</v>
      </c>
      <c r="B340" s="5">
        <v>41785</v>
      </c>
      <c r="C340" s="2" t="str">
        <f>TEXT(data[[#This Row],[Order Date]],"YYYY")</f>
        <v>2014</v>
      </c>
      <c r="D340" s="2">
        <v>41789</v>
      </c>
      <c r="E340" s="2" t="s">
        <v>39</v>
      </c>
      <c r="F340" s="2" t="s">
        <v>1394</v>
      </c>
      <c r="G340" s="2" t="s">
        <v>1395</v>
      </c>
      <c r="H340" s="2" t="s">
        <v>90</v>
      </c>
      <c r="I340" s="2" t="s">
        <v>25</v>
      </c>
      <c r="J340" s="2" t="s">
        <v>52</v>
      </c>
      <c r="K340" s="2" t="s">
        <v>53</v>
      </c>
      <c r="L340" s="2" t="s">
        <v>54</v>
      </c>
      <c r="M340" s="2" t="s">
        <v>1380</v>
      </c>
      <c r="N340" s="2" t="s">
        <v>30</v>
      </c>
      <c r="O340" s="2" t="s">
        <v>31</v>
      </c>
      <c r="P340" s="2" t="s">
        <v>1381</v>
      </c>
      <c r="Q340" s="2">
        <v>290.666</v>
      </c>
      <c r="R340" s="2">
        <v>2</v>
      </c>
      <c r="S340" s="2">
        <v>27.3568</v>
      </c>
      <c r="T340" s="2" t="s">
        <v>83</v>
      </c>
      <c r="U340" s="2" t="s">
        <v>161</v>
      </c>
    </row>
    <row r="341" spans="1:21" ht="14.25" customHeight="1" x14ac:dyDescent="0.3">
      <c r="A341" s="2" t="s">
        <v>1396</v>
      </c>
      <c r="B341" s="5">
        <v>42924</v>
      </c>
      <c r="C341" s="2" t="str">
        <f>TEXT(data[[#This Row],[Order Date]],"YYYY")</f>
        <v>2017</v>
      </c>
      <c r="D341" s="2">
        <v>42931</v>
      </c>
      <c r="E341" s="2" t="s">
        <v>39</v>
      </c>
      <c r="F341" s="2" t="s">
        <v>1397</v>
      </c>
      <c r="G341" s="2" t="s">
        <v>1398</v>
      </c>
      <c r="H341" s="2" t="s">
        <v>24</v>
      </c>
      <c r="I341" s="2" t="s">
        <v>25</v>
      </c>
      <c r="J341" s="2" t="s">
        <v>1399</v>
      </c>
      <c r="K341" s="2" t="s">
        <v>192</v>
      </c>
      <c r="L341" s="2" t="s">
        <v>54</v>
      </c>
      <c r="M341" s="2" t="s">
        <v>1400</v>
      </c>
      <c r="N341" s="2" t="s">
        <v>30</v>
      </c>
      <c r="O341" s="2" t="s">
        <v>56</v>
      </c>
      <c r="P341" s="2" t="s">
        <v>1401</v>
      </c>
      <c r="Q341" s="2">
        <v>198.46</v>
      </c>
      <c r="R341" s="2">
        <v>2</v>
      </c>
      <c r="S341" s="2">
        <v>99.23</v>
      </c>
      <c r="T341" s="2" t="s">
        <v>47</v>
      </c>
      <c r="U341" s="2" t="s">
        <v>71</v>
      </c>
    </row>
    <row r="342" spans="1:21" ht="14.25" customHeight="1" x14ac:dyDescent="0.3">
      <c r="A342" s="2" t="s">
        <v>1402</v>
      </c>
      <c r="B342" s="5">
        <v>42271</v>
      </c>
      <c r="C342" s="2" t="str">
        <f>TEXT(data[[#This Row],[Order Date]],"YYYY")</f>
        <v>2015</v>
      </c>
      <c r="D342" s="2">
        <v>42277</v>
      </c>
      <c r="E342" s="2" t="s">
        <v>39</v>
      </c>
      <c r="F342" s="2" t="s">
        <v>1403</v>
      </c>
      <c r="G342" s="2" t="s">
        <v>1404</v>
      </c>
      <c r="H342" s="2" t="s">
        <v>24</v>
      </c>
      <c r="I342" s="2" t="s">
        <v>25</v>
      </c>
      <c r="J342" s="2" t="s">
        <v>1405</v>
      </c>
      <c r="K342" s="2" t="s">
        <v>1406</v>
      </c>
      <c r="L342" s="2" t="s">
        <v>28</v>
      </c>
      <c r="M342" s="2" t="s">
        <v>1090</v>
      </c>
      <c r="N342" s="2" t="s">
        <v>30</v>
      </c>
      <c r="O342" s="2" t="s">
        <v>36</v>
      </c>
      <c r="P342" s="2" t="s">
        <v>1091</v>
      </c>
      <c r="Q342" s="2">
        <v>517.5</v>
      </c>
      <c r="R342" s="2">
        <v>6</v>
      </c>
      <c r="S342" s="2">
        <v>155.25</v>
      </c>
      <c r="T342" s="2" t="s">
        <v>129</v>
      </c>
      <c r="U342" s="2" t="s">
        <v>77</v>
      </c>
    </row>
    <row r="343" spans="1:21" ht="14.25" customHeight="1" x14ac:dyDescent="0.3">
      <c r="A343" s="2" t="s">
        <v>1407</v>
      </c>
      <c r="B343" s="5">
        <v>42907</v>
      </c>
      <c r="C343" s="2" t="str">
        <f>TEXT(data[[#This Row],[Order Date]],"YYYY")</f>
        <v>2017</v>
      </c>
      <c r="D343" s="2">
        <v>42911</v>
      </c>
      <c r="E343" s="2" t="s">
        <v>21</v>
      </c>
      <c r="F343" s="2" t="s">
        <v>643</v>
      </c>
      <c r="G343" s="2" t="s">
        <v>644</v>
      </c>
      <c r="H343" s="2" t="s">
        <v>24</v>
      </c>
      <c r="I343" s="2" t="s">
        <v>25</v>
      </c>
      <c r="J343" s="2" t="s">
        <v>693</v>
      </c>
      <c r="K343" s="2" t="s">
        <v>231</v>
      </c>
      <c r="L343" s="2" t="s">
        <v>67</v>
      </c>
      <c r="M343" s="2" t="s">
        <v>1408</v>
      </c>
      <c r="N343" s="2" t="s">
        <v>30</v>
      </c>
      <c r="O343" s="2" t="s">
        <v>56</v>
      </c>
      <c r="P343" s="2" t="s">
        <v>1409</v>
      </c>
      <c r="Q343" s="2">
        <v>17.920000000000002</v>
      </c>
      <c r="R343" s="2">
        <v>5</v>
      </c>
      <c r="S343" s="2">
        <v>2.464</v>
      </c>
      <c r="T343" s="2" t="s">
        <v>83</v>
      </c>
      <c r="U343" s="2" t="s">
        <v>59</v>
      </c>
    </row>
    <row r="344" spans="1:21" ht="14.25" customHeight="1" x14ac:dyDescent="0.3">
      <c r="A344" s="2" t="s">
        <v>1410</v>
      </c>
      <c r="B344" s="5">
        <v>42516</v>
      </c>
      <c r="C344" s="2" t="str">
        <f>TEXT(data[[#This Row],[Order Date]],"YYYY")</f>
        <v>2016</v>
      </c>
      <c r="D344" s="2">
        <v>42522</v>
      </c>
      <c r="E344" s="2" t="s">
        <v>39</v>
      </c>
      <c r="F344" s="2" t="s">
        <v>1411</v>
      </c>
      <c r="G344" s="2" t="s">
        <v>1412</v>
      </c>
      <c r="H344" s="2" t="s">
        <v>24</v>
      </c>
      <c r="I344" s="2" t="s">
        <v>25</v>
      </c>
      <c r="J344" s="2" t="s">
        <v>192</v>
      </c>
      <c r="K344" s="2" t="s">
        <v>980</v>
      </c>
      <c r="L344" s="2" t="s">
        <v>67</v>
      </c>
      <c r="M344" s="2" t="s">
        <v>174</v>
      </c>
      <c r="N344" s="2" t="s">
        <v>30</v>
      </c>
      <c r="O344" s="2" t="s">
        <v>56</v>
      </c>
      <c r="P344" s="2" t="s">
        <v>175</v>
      </c>
      <c r="Q344" s="2">
        <v>41.37</v>
      </c>
      <c r="R344" s="2">
        <v>3</v>
      </c>
      <c r="S344" s="2">
        <v>17.375399999999999</v>
      </c>
      <c r="T344" s="2" t="s">
        <v>129</v>
      </c>
      <c r="U344" s="2" t="s">
        <v>161</v>
      </c>
    </row>
    <row r="345" spans="1:21" ht="14.25" customHeight="1" x14ac:dyDescent="0.3">
      <c r="A345" s="2" t="s">
        <v>1413</v>
      </c>
      <c r="B345" s="5">
        <v>41771</v>
      </c>
      <c r="C345" s="2" t="str">
        <f>TEXT(data[[#This Row],[Order Date]],"YYYY")</f>
        <v>2014</v>
      </c>
      <c r="D345" s="2">
        <v>41774</v>
      </c>
      <c r="E345" s="2" t="s">
        <v>87</v>
      </c>
      <c r="F345" s="2" t="s">
        <v>1055</v>
      </c>
      <c r="G345" s="2" t="s">
        <v>1056</v>
      </c>
      <c r="H345" s="2" t="s">
        <v>24</v>
      </c>
      <c r="I345" s="2" t="s">
        <v>25</v>
      </c>
      <c r="J345" s="2" t="s">
        <v>905</v>
      </c>
      <c r="K345" s="2" t="s">
        <v>238</v>
      </c>
      <c r="L345" s="2" t="s">
        <v>93</v>
      </c>
      <c r="M345" s="2" t="s">
        <v>650</v>
      </c>
      <c r="N345" s="2" t="s">
        <v>30</v>
      </c>
      <c r="O345" s="2" t="s">
        <v>56</v>
      </c>
      <c r="P345" s="2" t="s">
        <v>651</v>
      </c>
      <c r="Q345" s="2">
        <v>34.79</v>
      </c>
      <c r="R345" s="2">
        <v>7</v>
      </c>
      <c r="S345" s="2">
        <v>10.7849</v>
      </c>
      <c r="T345" s="2" t="s">
        <v>33</v>
      </c>
      <c r="U345" s="2" t="s">
        <v>161</v>
      </c>
    </row>
    <row r="346" spans="1:21" ht="14.25" customHeight="1" x14ac:dyDescent="0.3">
      <c r="A346" s="2" t="s">
        <v>1414</v>
      </c>
      <c r="B346" s="5">
        <v>42014</v>
      </c>
      <c r="C346" s="2" t="str">
        <f>TEXT(data[[#This Row],[Order Date]],"YYYY")</f>
        <v>2015</v>
      </c>
      <c r="D346" s="2">
        <v>42019</v>
      </c>
      <c r="E346" s="2" t="s">
        <v>39</v>
      </c>
      <c r="F346" s="2" t="s">
        <v>1415</v>
      </c>
      <c r="G346" s="2" t="s">
        <v>1416</v>
      </c>
      <c r="H346" s="2" t="s">
        <v>24</v>
      </c>
      <c r="I346" s="2" t="s">
        <v>25</v>
      </c>
      <c r="J346" s="2" t="s">
        <v>173</v>
      </c>
      <c r="K346" s="2" t="s">
        <v>120</v>
      </c>
      <c r="L346" s="2" t="s">
        <v>67</v>
      </c>
      <c r="M346" s="2" t="s">
        <v>521</v>
      </c>
      <c r="N346" s="2" t="s">
        <v>30</v>
      </c>
      <c r="O346" s="2" t="s">
        <v>45</v>
      </c>
      <c r="P346" s="2" t="s">
        <v>522</v>
      </c>
      <c r="Q346" s="2">
        <v>1018.104</v>
      </c>
      <c r="R346" s="2">
        <v>4</v>
      </c>
      <c r="S346" s="2">
        <v>-373.3048</v>
      </c>
      <c r="T346" s="2" t="s">
        <v>58</v>
      </c>
      <c r="U346" s="2" t="s">
        <v>169</v>
      </c>
    </row>
    <row r="347" spans="1:21" ht="14.25" customHeight="1" x14ac:dyDescent="0.3">
      <c r="A347" s="2" t="s">
        <v>1417</v>
      </c>
      <c r="B347" s="5">
        <v>42264</v>
      </c>
      <c r="C347" s="2" t="str">
        <f>TEXT(data[[#This Row],[Order Date]],"YYYY")</f>
        <v>2015</v>
      </c>
      <c r="D347" s="2">
        <v>42268</v>
      </c>
      <c r="E347" s="2" t="s">
        <v>39</v>
      </c>
      <c r="F347" s="2" t="s">
        <v>653</v>
      </c>
      <c r="G347" s="2" t="s">
        <v>654</v>
      </c>
      <c r="H347" s="2" t="s">
        <v>90</v>
      </c>
      <c r="I347" s="2" t="s">
        <v>25</v>
      </c>
      <c r="J347" s="2" t="s">
        <v>101</v>
      </c>
      <c r="K347" s="2" t="s">
        <v>92</v>
      </c>
      <c r="L347" s="2" t="s">
        <v>93</v>
      </c>
      <c r="M347" s="2" t="s">
        <v>1149</v>
      </c>
      <c r="N347" s="2" t="s">
        <v>30</v>
      </c>
      <c r="O347" s="2" t="s">
        <v>56</v>
      </c>
      <c r="P347" s="2" t="s">
        <v>1150</v>
      </c>
      <c r="Q347" s="2">
        <v>21.936</v>
      </c>
      <c r="R347" s="2">
        <v>2</v>
      </c>
      <c r="S347" s="2">
        <v>-10.419600000000001</v>
      </c>
      <c r="T347" s="2" t="s">
        <v>83</v>
      </c>
      <c r="U347" s="2" t="s">
        <v>77</v>
      </c>
    </row>
    <row r="348" spans="1:21" ht="14.25" customHeight="1" x14ac:dyDescent="0.3">
      <c r="A348" s="2" t="s">
        <v>1418</v>
      </c>
      <c r="B348" s="5">
        <v>41889</v>
      </c>
      <c r="C348" s="2" t="str">
        <f>TEXT(data[[#This Row],[Order Date]],"YYYY")</f>
        <v>2014</v>
      </c>
      <c r="D348" s="2">
        <v>41895</v>
      </c>
      <c r="E348" s="2" t="s">
        <v>39</v>
      </c>
      <c r="F348" s="2" t="s">
        <v>1419</v>
      </c>
      <c r="G348" s="2" t="s">
        <v>1420</v>
      </c>
      <c r="H348" s="2" t="s">
        <v>90</v>
      </c>
      <c r="I348" s="2" t="s">
        <v>25</v>
      </c>
      <c r="J348" s="2" t="s">
        <v>65</v>
      </c>
      <c r="K348" s="2" t="s">
        <v>66</v>
      </c>
      <c r="L348" s="2" t="s">
        <v>67</v>
      </c>
      <c r="M348" s="2" t="s">
        <v>1421</v>
      </c>
      <c r="N348" s="2" t="s">
        <v>30</v>
      </c>
      <c r="O348" s="2" t="s">
        <v>56</v>
      </c>
      <c r="P348" s="2" t="s">
        <v>1422</v>
      </c>
      <c r="Q348" s="2">
        <v>42.368000000000002</v>
      </c>
      <c r="R348" s="2">
        <v>2</v>
      </c>
      <c r="S348" s="2">
        <v>8.4735999999999994</v>
      </c>
      <c r="T348" s="2" t="s">
        <v>129</v>
      </c>
      <c r="U348" s="2" t="s">
        <v>77</v>
      </c>
    </row>
    <row r="349" spans="1:21" ht="14.25" customHeight="1" x14ac:dyDescent="0.3">
      <c r="A349" s="2" t="s">
        <v>1423</v>
      </c>
      <c r="B349" s="5">
        <v>42681</v>
      </c>
      <c r="C349" s="2" t="str">
        <f>TEXT(data[[#This Row],[Order Date]],"YYYY")</f>
        <v>2016</v>
      </c>
      <c r="D349" s="2">
        <v>42686</v>
      </c>
      <c r="E349" s="2" t="s">
        <v>39</v>
      </c>
      <c r="F349" s="2" t="s">
        <v>1068</v>
      </c>
      <c r="G349" s="2" t="s">
        <v>1069</v>
      </c>
      <c r="H349" s="2" t="s">
        <v>90</v>
      </c>
      <c r="I349" s="2" t="s">
        <v>25</v>
      </c>
      <c r="J349" s="2" t="s">
        <v>328</v>
      </c>
      <c r="K349" s="2" t="s">
        <v>53</v>
      </c>
      <c r="L349" s="2" t="s">
        <v>54</v>
      </c>
      <c r="M349" s="2" t="s">
        <v>802</v>
      </c>
      <c r="N349" s="2" t="s">
        <v>30</v>
      </c>
      <c r="O349" s="2" t="s">
        <v>56</v>
      </c>
      <c r="P349" s="2" t="s">
        <v>803</v>
      </c>
      <c r="Q349" s="2">
        <v>14.82</v>
      </c>
      <c r="R349" s="2">
        <v>3</v>
      </c>
      <c r="S349" s="2">
        <v>6.2244000000000002</v>
      </c>
      <c r="T349" s="2" t="s">
        <v>58</v>
      </c>
      <c r="U349" s="2" t="s">
        <v>34</v>
      </c>
    </row>
    <row r="350" spans="1:21" ht="14.25" customHeight="1" x14ac:dyDescent="0.3">
      <c r="A350" s="2" t="s">
        <v>1424</v>
      </c>
      <c r="B350" s="5">
        <v>43079</v>
      </c>
      <c r="C350" s="2" t="str">
        <f>TEXT(data[[#This Row],[Order Date]],"YYYY")</f>
        <v>2017</v>
      </c>
      <c r="D350" s="2">
        <v>43081</v>
      </c>
      <c r="E350" s="2" t="s">
        <v>87</v>
      </c>
      <c r="F350" s="2" t="s">
        <v>1425</v>
      </c>
      <c r="G350" s="2" t="s">
        <v>1426</v>
      </c>
      <c r="H350" s="2" t="s">
        <v>24</v>
      </c>
      <c r="I350" s="2" t="s">
        <v>25</v>
      </c>
      <c r="J350" s="2" t="s">
        <v>65</v>
      </c>
      <c r="K350" s="2" t="s">
        <v>66</v>
      </c>
      <c r="L350" s="2" t="s">
        <v>67</v>
      </c>
      <c r="M350" s="2" t="s">
        <v>790</v>
      </c>
      <c r="N350" s="2" t="s">
        <v>30</v>
      </c>
      <c r="O350" s="2" t="s">
        <v>56</v>
      </c>
      <c r="P350" s="2" t="s">
        <v>791</v>
      </c>
      <c r="Q350" s="2">
        <v>310.88</v>
      </c>
      <c r="R350" s="2">
        <v>2</v>
      </c>
      <c r="S350" s="2">
        <v>23.315999999999999</v>
      </c>
      <c r="T350" s="2" t="s">
        <v>70</v>
      </c>
      <c r="U350" s="2" t="s">
        <v>96</v>
      </c>
    </row>
    <row r="351" spans="1:21" ht="14.25" customHeight="1" x14ac:dyDescent="0.3">
      <c r="A351" s="2" t="s">
        <v>1427</v>
      </c>
      <c r="B351" s="5">
        <v>41867</v>
      </c>
      <c r="C351" s="2" t="str">
        <f>TEXT(data[[#This Row],[Order Date]],"YYYY")</f>
        <v>2014</v>
      </c>
      <c r="D351" s="2">
        <v>41871</v>
      </c>
      <c r="E351" s="2" t="s">
        <v>39</v>
      </c>
      <c r="F351" s="2" t="s">
        <v>1428</v>
      </c>
      <c r="G351" s="2" t="s">
        <v>1429</v>
      </c>
      <c r="H351" s="2" t="s">
        <v>24</v>
      </c>
      <c r="I351" s="2" t="s">
        <v>25</v>
      </c>
      <c r="J351" s="2" t="s">
        <v>65</v>
      </c>
      <c r="K351" s="2" t="s">
        <v>66</v>
      </c>
      <c r="L351" s="2" t="s">
        <v>67</v>
      </c>
      <c r="M351" s="2" t="s">
        <v>60</v>
      </c>
      <c r="N351" s="2" t="s">
        <v>30</v>
      </c>
      <c r="O351" s="2" t="s">
        <v>45</v>
      </c>
      <c r="P351" s="2" t="s">
        <v>61</v>
      </c>
      <c r="Q351" s="2">
        <v>853.09199999999998</v>
      </c>
      <c r="R351" s="2">
        <v>6</v>
      </c>
      <c r="S351" s="2">
        <v>-227.49119999999999</v>
      </c>
      <c r="T351" s="2" t="s">
        <v>83</v>
      </c>
      <c r="U351" s="2" t="s">
        <v>253</v>
      </c>
    </row>
    <row r="352" spans="1:21" ht="14.25" customHeight="1" x14ac:dyDescent="0.3">
      <c r="A352" s="2" t="s">
        <v>1430</v>
      </c>
      <c r="B352" s="5">
        <v>42443</v>
      </c>
      <c r="C352" s="2" t="str">
        <f>TEXT(data[[#This Row],[Order Date]],"YYYY")</f>
        <v>2016</v>
      </c>
      <c r="D352" s="2">
        <v>42448</v>
      </c>
      <c r="E352" s="2" t="s">
        <v>39</v>
      </c>
      <c r="F352" s="2" t="s">
        <v>1431</v>
      </c>
      <c r="G352" s="2" t="s">
        <v>1432</v>
      </c>
      <c r="H352" s="2" t="s">
        <v>24</v>
      </c>
      <c r="I352" s="2" t="s">
        <v>25</v>
      </c>
      <c r="J352" s="2" t="s">
        <v>347</v>
      </c>
      <c r="K352" s="2" t="s">
        <v>231</v>
      </c>
      <c r="L352" s="2" t="s">
        <v>67</v>
      </c>
      <c r="M352" s="2" t="s">
        <v>620</v>
      </c>
      <c r="N352" s="2" t="s">
        <v>30</v>
      </c>
      <c r="O352" s="2" t="s">
        <v>56</v>
      </c>
      <c r="P352" s="2" t="s">
        <v>621</v>
      </c>
      <c r="Q352" s="2">
        <v>21.88</v>
      </c>
      <c r="R352" s="2">
        <v>5</v>
      </c>
      <c r="S352" s="2">
        <v>6.2904999999999998</v>
      </c>
      <c r="T352" s="2" t="s">
        <v>58</v>
      </c>
      <c r="U352" s="2" t="s">
        <v>195</v>
      </c>
    </row>
    <row r="353" spans="1:21" ht="14.25" customHeight="1" x14ac:dyDescent="0.3">
      <c r="A353" s="2" t="s">
        <v>1433</v>
      </c>
      <c r="B353" s="5">
        <v>41793</v>
      </c>
      <c r="C353" s="2" t="str">
        <f>TEXT(data[[#This Row],[Order Date]],"YYYY")</f>
        <v>2014</v>
      </c>
      <c r="D353" s="2">
        <v>41797</v>
      </c>
      <c r="E353" s="2" t="s">
        <v>21</v>
      </c>
      <c r="F353" s="2" t="s">
        <v>197</v>
      </c>
      <c r="G353" s="2" t="s">
        <v>198</v>
      </c>
      <c r="H353" s="2" t="s">
        <v>24</v>
      </c>
      <c r="I353" s="2" t="s">
        <v>25</v>
      </c>
      <c r="J353" s="2" t="s">
        <v>191</v>
      </c>
      <c r="K353" s="2" t="s">
        <v>192</v>
      </c>
      <c r="L353" s="2" t="s">
        <v>54</v>
      </c>
      <c r="M353" s="2" t="s">
        <v>1062</v>
      </c>
      <c r="N353" s="2" t="s">
        <v>30</v>
      </c>
      <c r="O353" s="2" t="s">
        <v>45</v>
      </c>
      <c r="P353" s="2" t="s">
        <v>1063</v>
      </c>
      <c r="Q353" s="2">
        <v>515.88</v>
      </c>
      <c r="R353" s="2">
        <v>6</v>
      </c>
      <c r="S353" s="2">
        <v>113.4936</v>
      </c>
      <c r="T353" s="2" t="s">
        <v>83</v>
      </c>
      <c r="U353" s="2" t="s">
        <v>59</v>
      </c>
    </row>
    <row r="354" spans="1:21" ht="14.25" customHeight="1" x14ac:dyDescent="0.3">
      <c r="A354" s="2" t="s">
        <v>1434</v>
      </c>
      <c r="B354" s="5">
        <v>42198</v>
      </c>
      <c r="C354" s="2" t="str">
        <f>TEXT(data[[#This Row],[Order Date]],"YYYY")</f>
        <v>2015</v>
      </c>
      <c r="D354" s="2">
        <v>42200</v>
      </c>
      <c r="E354" s="2" t="s">
        <v>21</v>
      </c>
      <c r="F354" s="2" t="s">
        <v>1435</v>
      </c>
      <c r="G354" s="2" t="s">
        <v>1436</v>
      </c>
      <c r="H354" s="2" t="s">
        <v>24</v>
      </c>
      <c r="I354" s="2" t="s">
        <v>25</v>
      </c>
      <c r="J354" s="2" t="s">
        <v>173</v>
      </c>
      <c r="K354" s="2" t="s">
        <v>120</v>
      </c>
      <c r="L354" s="2" t="s">
        <v>67</v>
      </c>
      <c r="M354" s="2" t="s">
        <v>580</v>
      </c>
      <c r="N354" s="2" t="s">
        <v>30</v>
      </c>
      <c r="O354" s="2" t="s">
        <v>36</v>
      </c>
      <c r="P354" s="2" t="s">
        <v>581</v>
      </c>
      <c r="Q354" s="2">
        <v>1931.04</v>
      </c>
      <c r="R354" s="2">
        <v>9</v>
      </c>
      <c r="S354" s="2">
        <v>321.83999999999997</v>
      </c>
      <c r="T354" s="2" t="s">
        <v>70</v>
      </c>
      <c r="U354" s="2" t="s">
        <v>71</v>
      </c>
    </row>
    <row r="355" spans="1:21" ht="14.25" customHeight="1" x14ac:dyDescent="0.3">
      <c r="A355" s="2" t="s">
        <v>1437</v>
      </c>
      <c r="B355" s="5">
        <v>43038</v>
      </c>
      <c r="C355" s="2" t="str">
        <f>TEXT(data[[#This Row],[Order Date]],"YYYY")</f>
        <v>2017</v>
      </c>
      <c r="D355" s="2">
        <v>43044</v>
      </c>
      <c r="E355" s="2" t="s">
        <v>39</v>
      </c>
      <c r="F355" s="2" t="s">
        <v>1438</v>
      </c>
      <c r="G355" s="2" t="s">
        <v>1439</v>
      </c>
      <c r="H355" s="2" t="s">
        <v>24</v>
      </c>
      <c r="I355" s="2" t="s">
        <v>25</v>
      </c>
      <c r="J355" s="2" t="s">
        <v>328</v>
      </c>
      <c r="K355" s="2" t="s">
        <v>53</v>
      </c>
      <c r="L355" s="2" t="s">
        <v>54</v>
      </c>
      <c r="M355" s="2" t="s">
        <v>114</v>
      </c>
      <c r="N355" s="2" t="s">
        <v>30</v>
      </c>
      <c r="O355" s="2" t="s">
        <v>36</v>
      </c>
      <c r="P355" s="2" t="s">
        <v>115</v>
      </c>
      <c r="Q355" s="2">
        <v>71.992000000000004</v>
      </c>
      <c r="R355" s="2">
        <v>1</v>
      </c>
      <c r="S355" s="2">
        <v>-0.89990000000000003</v>
      </c>
      <c r="T355" s="2" t="s">
        <v>129</v>
      </c>
      <c r="U355" s="2" t="s">
        <v>48</v>
      </c>
    </row>
    <row r="356" spans="1:21" ht="14.25" customHeight="1" x14ac:dyDescent="0.3">
      <c r="A356" s="2" t="s">
        <v>1440</v>
      </c>
      <c r="B356" s="5">
        <v>42986</v>
      </c>
      <c r="C356" s="2" t="str">
        <f>TEXT(data[[#This Row],[Order Date]],"YYYY")</f>
        <v>2017</v>
      </c>
      <c r="D356" s="2">
        <v>42991</v>
      </c>
      <c r="E356" s="2" t="s">
        <v>21</v>
      </c>
      <c r="F356" s="2" t="s">
        <v>1441</v>
      </c>
      <c r="G356" s="2" t="s">
        <v>1442</v>
      </c>
      <c r="H356" s="2" t="s">
        <v>24</v>
      </c>
      <c r="I356" s="2" t="s">
        <v>25</v>
      </c>
      <c r="J356" s="2" t="s">
        <v>133</v>
      </c>
      <c r="K356" s="2" t="s">
        <v>134</v>
      </c>
      <c r="L356" s="2" t="s">
        <v>93</v>
      </c>
      <c r="M356" s="2" t="s">
        <v>266</v>
      </c>
      <c r="N356" s="2" t="s">
        <v>30</v>
      </c>
      <c r="O356" s="2" t="s">
        <v>45</v>
      </c>
      <c r="P356" s="2" t="s">
        <v>267</v>
      </c>
      <c r="Q356" s="2">
        <v>765.625</v>
      </c>
      <c r="R356" s="2">
        <v>7</v>
      </c>
      <c r="S356" s="2">
        <v>-566.5625</v>
      </c>
      <c r="T356" s="2" t="s">
        <v>58</v>
      </c>
      <c r="U356" s="2" t="s">
        <v>77</v>
      </c>
    </row>
    <row r="357" spans="1:21" ht="14.25" customHeight="1" x14ac:dyDescent="0.3">
      <c r="A357" s="2" t="s">
        <v>1443</v>
      </c>
      <c r="B357" s="5">
        <v>43015</v>
      </c>
      <c r="C357" s="2" t="str">
        <f>TEXT(data[[#This Row],[Order Date]],"YYYY")</f>
        <v>2017</v>
      </c>
      <c r="D357" s="2">
        <v>43021</v>
      </c>
      <c r="E357" s="2" t="s">
        <v>39</v>
      </c>
      <c r="F357" s="2" t="s">
        <v>1444</v>
      </c>
      <c r="G357" s="2" t="s">
        <v>1445</v>
      </c>
      <c r="H357" s="2" t="s">
        <v>24</v>
      </c>
      <c r="I357" s="2" t="s">
        <v>25</v>
      </c>
      <c r="J357" s="2" t="s">
        <v>328</v>
      </c>
      <c r="K357" s="2" t="s">
        <v>53</v>
      </c>
      <c r="L357" s="2" t="s">
        <v>54</v>
      </c>
      <c r="M357" s="2" t="s">
        <v>1446</v>
      </c>
      <c r="N357" s="2" t="s">
        <v>30</v>
      </c>
      <c r="O357" s="2" t="s">
        <v>31</v>
      </c>
      <c r="P357" s="2" t="s">
        <v>1447</v>
      </c>
      <c r="Q357" s="2">
        <v>307.666</v>
      </c>
      <c r="R357" s="2">
        <v>2</v>
      </c>
      <c r="S357" s="2">
        <v>-14.478400000000001</v>
      </c>
      <c r="T357" s="2" t="s">
        <v>129</v>
      </c>
      <c r="U357" s="2" t="s">
        <v>48</v>
      </c>
    </row>
    <row r="358" spans="1:21" ht="14.25" customHeight="1" x14ac:dyDescent="0.3">
      <c r="A358" s="2" t="s">
        <v>1448</v>
      </c>
      <c r="B358" s="5">
        <v>42509</v>
      </c>
      <c r="C358" s="2" t="str">
        <f>TEXT(data[[#This Row],[Order Date]],"YYYY")</f>
        <v>2016</v>
      </c>
      <c r="D358" s="2">
        <v>42514</v>
      </c>
      <c r="E358" s="2" t="s">
        <v>39</v>
      </c>
      <c r="F358" s="2" t="s">
        <v>1449</v>
      </c>
      <c r="G358" s="2" t="s">
        <v>1450</v>
      </c>
      <c r="H358" s="2" t="s">
        <v>24</v>
      </c>
      <c r="I358" s="2" t="s">
        <v>25</v>
      </c>
      <c r="J358" s="2" t="s">
        <v>173</v>
      </c>
      <c r="K358" s="2" t="s">
        <v>120</v>
      </c>
      <c r="L358" s="2" t="s">
        <v>67</v>
      </c>
      <c r="M358" s="2" t="s">
        <v>1451</v>
      </c>
      <c r="N358" s="2" t="s">
        <v>30</v>
      </c>
      <c r="O358" s="2" t="s">
        <v>56</v>
      </c>
      <c r="P358" s="2" t="s">
        <v>1452</v>
      </c>
      <c r="Q358" s="2">
        <v>35.92</v>
      </c>
      <c r="R358" s="2">
        <v>4</v>
      </c>
      <c r="S358" s="2">
        <v>15.086399999999999</v>
      </c>
      <c r="T358" s="2" t="s">
        <v>58</v>
      </c>
      <c r="U358" s="2" t="s">
        <v>161</v>
      </c>
    </row>
    <row r="359" spans="1:21" ht="14.25" customHeight="1" x14ac:dyDescent="0.3">
      <c r="A359" s="2" t="s">
        <v>1448</v>
      </c>
      <c r="B359" s="5">
        <v>42509</v>
      </c>
      <c r="C359" s="2" t="str">
        <f>TEXT(data[[#This Row],[Order Date]],"YYYY")</f>
        <v>2016</v>
      </c>
      <c r="D359" s="2">
        <v>42514</v>
      </c>
      <c r="E359" s="2" t="s">
        <v>39</v>
      </c>
      <c r="F359" s="2" t="s">
        <v>1449</v>
      </c>
      <c r="G359" s="2" t="s">
        <v>1450</v>
      </c>
      <c r="H359" s="2" t="s">
        <v>24</v>
      </c>
      <c r="I359" s="2" t="s">
        <v>25</v>
      </c>
      <c r="J359" s="2" t="s">
        <v>173</v>
      </c>
      <c r="K359" s="2" t="s">
        <v>120</v>
      </c>
      <c r="L359" s="2" t="s">
        <v>67</v>
      </c>
      <c r="M359" s="2" t="s">
        <v>650</v>
      </c>
      <c r="N359" s="2" t="s">
        <v>30</v>
      </c>
      <c r="O359" s="2" t="s">
        <v>56</v>
      </c>
      <c r="P359" s="2" t="s">
        <v>651</v>
      </c>
      <c r="Q359" s="2">
        <v>39.76</v>
      </c>
      <c r="R359" s="2">
        <v>8</v>
      </c>
      <c r="S359" s="2">
        <v>12.3256</v>
      </c>
      <c r="T359" s="2" t="s">
        <v>58</v>
      </c>
      <c r="U359" s="2" t="s">
        <v>161</v>
      </c>
    </row>
    <row r="360" spans="1:21" ht="14.25" customHeight="1" x14ac:dyDescent="0.3">
      <c r="A360" s="2" t="s">
        <v>1453</v>
      </c>
      <c r="B360" s="5">
        <v>42358</v>
      </c>
      <c r="C360" s="2" t="str">
        <f>TEXT(data[[#This Row],[Order Date]],"YYYY")</f>
        <v>2015</v>
      </c>
      <c r="D360" s="2">
        <v>42363</v>
      </c>
      <c r="E360" s="2" t="s">
        <v>39</v>
      </c>
      <c r="F360" s="2" t="s">
        <v>1454</v>
      </c>
      <c r="G360" s="2" t="s">
        <v>1455</v>
      </c>
      <c r="H360" s="2" t="s">
        <v>24</v>
      </c>
      <c r="I360" s="2" t="s">
        <v>25</v>
      </c>
      <c r="J360" s="2" t="s">
        <v>133</v>
      </c>
      <c r="K360" s="2" t="s">
        <v>134</v>
      </c>
      <c r="L360" s="2" t="s">
        <v>93</v>
      </c>
      <c r="M360" s="2" t="s">
        <v>1456</v>
      </c>
      <c r="N360" s="2" t="s">
        <v>30</v>
      </c>
      <c r="O360" s="2" t="s">
        <v>31</v>
      </c>
      <c r="P360" s="2" t="s">
        <v>1457</v>
      </c>
      <c r="Q360" s="2">
        <v>359.05799999999999</v>
      </c>
      <c r="R360" s="2">
        <v>3</v>
      </c>
      <c r="S360" s="2">
        <v>-71.811599999999999</v>
      </c>
      <c r="T360" s="2" t="s">
        <v>58</v>
      </c>
      <c r="U360" s="2" t="s">
        <v>96</v>
      </c>
    </row>
    <row r="361" spans="1:21" ht="14.25" customHeight="1" x14ac:dyDescent="0.3">
      <c r="A361" s="2" t="s">
        <v>1458</v>
      </c>
      <c r="B361" s="5">
        <v>42854</v>
      </c>
      <c r="C361" s="2" t="str">
        <f>TEXT(data[[#This Row],[Order Date]],"YYYY")</f>
        <v>2017</v>
      </c>
      <c r="D361" s="2">
        <v>42859</v>
      </c>
      <c r="E361" s="2" t="s">
        <v>21</v>
      </c>
      <c r="F361" s="2" t="s">
        <v>1459</v>
      </c>
      <c r="G361" s="2" t="s">
        <v>1460</v>
      </c>
      <c r="H361" s="2" t="s">
        <v>90</v>
      </c>
      <c r="I361" s="2" t="s">
        <v>25</v>
      </c>
      <c r="J361" s="2" t="s">
        <v>282</v>
      </c>
      <c r="K361" s="2" t="s">
        <v>231</v>
      </c>
      <c r="L361" s="2" t="s">
        <v>67</v>
      </c>
      <c r="M361" s="2" t="s">
        <v>1461</v>
      </c>
      <c r="N361" s="2" t="s">
        <v>30</v>
      </c>
      <c r="O361" s="2" t="s">
        <v>45</v>
      </c>
      <c r="P361" s="2" t="s">
        <v>1462</v>
      </c>
      <c r="Q361" s="2">
        <v>1048.3499999999999</v>
      </c>
      <c r="R361" s="2">
        <v>5</v>
      </c>
      <c r="S361" s="2">
        <v>-69.89</v>
      </c>
      <c r="T361" s="2" t="s">
        <v>58</v>
      </c>
      <c r="U361" s="2" t="s">
        <v>113</v>
      </c>
    </row>
    <row r="362" spans="1:21" ht="14.25" customHeight="1" x14ac:dyDescent="0.3">
      <c r="A362" s="2" t="s">
        <v>1463</v>
      </c>
      <c r="B362" s="5">
        <v>43038</v>
      </c>
      <c r="C362" s="2" t="str">
        <f>TEXT(data[[#This Row],[Order Date]],"YYYY")</f>
        <v>2017</v>
      </c>
      <c r="D362" s="2">
        <v>43042</v>
      </c>
      <c r="E362" s="2" t="s">
        <v>39</v>
      </c>
      <c r="F362" s="2" t="s">
        <v>1372</v>
      </c>
      <c r="G362" s="2" t="s">
        <v>1373</v>
      </c>
      <c r="H362" s="2" t="s">
        <v>24</v>
      </c>
      <c r="I362" s="2" t="s">
        <v>25</v>
      </c>
      <c r="J362" s="2" t="s">
        <v>65</v>
      </c>
      <c r="K362" s="2" t="s">
        <v>66</v>
      </c>
      <c r="L362" s="2" t="s">
        <v>67</v>
      </c>
      <c r="M362" s="2" t="s">
        <v>1408</v>
      </c>
      <c r="N362" s="2" t="s">
        <v>30</v>
      </c>
      <c r="O362" s="2" t="s">
        <v>56</v>
      </c>
      <c r="P362" s="2" t="s">
        <v>1409</v>
      </c>
      <c r="Q362" s="2">
        <v>7.1680000000000001</v>
      </c>
      <c r="R362" s="2">
        <v>2</v>
      </c>
      <c r="S362" s="2">
        <v>0.98560000000000003</v>
      </c>
      <c r="T362" s="2" t="s">
        <v>83</v>
      </c>
      <c r="U362" s="2" t="s">
        <v>48</v>
      </c>
    </row>
    <row r="363" spans="1:21" ht="14.25" customHeight="1" x14ac:dyDescent="0.3">
      <c r="A363" s="2" t="s">
        <v>1464</v>
      </c>
      <c r="B363" s="5">
        <v>42330</v>
      </c>
      <c r="C363" s="2" t="str">
        <f>TEXT(data[[#This Row],[Order Date]],"YYYY")</f>
        <v>2015</v>
      </c>
      <c r="D363" s="2">
        <v>42335</v>
      </c>
      <c r="E363" s="2" t="s">
        <v>39</v>
      </c>
      <c r="F363" s="2" t="s">
        <v>659</v>
      </c>
      <c r="G363" s="2" t="s">
        <v>660</v>
      </c>
      <c r="H363" s="2" t="s">
        <v>100</v>
      </c>
      <c r="I363" s="2" t="s">
        <v>25</v>
      </c>
      <c r="J363" s="2" t="s">
        <v>245</v>
      </c>
      <c r="K363" s="2" t="s">
        <v>92</v>
      </c>
      <c r="L363" s="2" t="s">
        <v>93</v>
      </c>
      <c r="M363" s="2" t="s">
        <v>1465</v>
      </c>
      <c r="N363" s="2" t="s">
        <v>30</v>
      </c>
      <c r="O363" s="2" t="s">
        <v>45</v>
      </c>
      <c r="P363" s="2" t="s">
        <v>1466</v>
      </c>
      <c r="Q363" s="2">
        <v>206.96199999999999</v>
      </c>
      <c r="R363" s="2">
        <v>2</v>
      </c>
      <c r="S363" s="2">
        <v>-32.522599999999997</v>
      </c>
      <c r="T363" s="2" t="s">
        <v>58</v>
      </c>
      <c r="U363" s="2" t="s">
        <v>34</v>
      </c>
    </row>
    <row r="364" spans="1:21" ht="14.25" customHeight="1" x14ac:dyDescent="0.3">
      <c r="A364" s="2" t="s">
        <v>1467</v>
      </c>
      <c r="B364" s="5">
        <v>43022</v>
      </c>
      <c r="C364" s="2" t="str">
        <f>TEXT(data[[#This Row],[Order Date]],"YYYY")</f>
        <v>2017</v>
      </c>
      <c r="D364" s="2">
        <v>43025</v>
      </c>
      <c r="E364" s="2" t="s">
        <v>87</v>
      </c>
      <c r="F364" s="2" t="s">
        <v>1468</v>
      </c>
      <c r="G364" s="2" t="s">
        <v>1469</v>
      </c>
      <c r="H364" s="2" t="s">
        <v>24</v>
      </c>
      <c r="I364" s="2" t="s">
        <v>25</v>
      </c>
      <c r="J364" s="2" t="s">
        <v>1470</v>
      </c>
      <c r="K364" s="2" t="s">
        <v>53</v>
      </c>
      <c r="L364" s="2" t="s">
        <v>54</v>
      </c>
      <c r="M364" s="2" t="s">
        <v>379</v>
      </c>
      <c r="N364" s="2" t="s">
        <v>30</v>
      </c>
      <c r="O364" s="2" t="s">
        <v>56</v>
      </c>
      <c r="P364" s="2" t="s">
        <v>380</v>
      </c>
      <c r="Q364" s="2">
        <v>9.4600000000000009</v>
      </c>
      <c r="R364" s="2">
        <v>2</v>
      </c>
      <c r="S364" s="2">
        <v>3.6894</v>
      </c>
      <c r="T364" s="2" t="s">
        <v>33</v>
      </c>
      <c r="U364" s="2" t="s">
        <v>48</v>
      </c>
    </row>
    <row r="365" spans="1:21" ht="14.25" customHeight="1" x14ac:dyDescent="0.3">
      <c r="A365" s="2" t="s">
        <v>1471</v>
      </c>
      <c r="B365" s="5">
        <v>42252</v>
      </c>
      <c r="C365" s="2" t="str">
        <f>TEXT(data[[#This Row],[Order Date]],"YYYY")</f>
        <v>2015</v>
      </c>
      <c r="D365" s="2">
        <v>42256</v>
      </c>
      <c r="E365" s="2" t="s">
        <v>39</v>
      </c>
      <c r="F365" s="2" t="s">
        <v>1472</v>
      </c>
      <c r="G365" s="2" t="s">
        <v>1473</v>
      </c>
      <c r="H365" s="2" t="s">
        <v>24</v>
      </c>
      <c r="I365" s="2" t="s">
        <v>25</v>
      </c>
      <c r="J365" s="2" t="s">
        <v>639</v>
      </c>
      <c r="K365" s="2" t="s">
        <v>53</v>
      </c>
      <c r="L365" s="2" t="s">
        <v>54</v>
      </c>
      <c r="M365" s="2" t="s">
        <v>1474</v>
      </c>
      <c r="N365" s="2" t="s">
        <v>30</v>
      </c>
      <c r="O365" s="2" t="s">
        <v>31</v>
      </c>
      <c r="P365" s="2" t="s">
        <v>1475</v>
      </c>
      <c r="Q365" s="2">
        <v>411.33199999999999</v>
      </c>
      <c r="R365" s="2">
        <v>4</v>
      </c>
      <c r="S365" s="2">
        <v>-4.8391999999999999</v>
      </c>
      <c r="T365" s="2" t="s">
        <v>83</v>
      </c>
      <c r="U365" s="2" t="s">
        <v>77</v>
      </c>
    </row>
    <row r="366" spans="1:21" ht="14.25" customHeight="1" x14ac:dyDescent="0.3">
      <c r="A366" s="2" t="s">
        <v>1471</v>
      </c>
      <c r="B366" s="5">
        <v>42252</v>
      </c>
      <c r="C366" s="2" t="str">
        <f>TEXT(data[[#This Row],[Order Date]],"YYYY")</f>
        <v>2015</v>
      </c>
      <c r="D366" s="2">
        <v>42256</v>
      </c>
      <c r="E366" s="2" t="s">
        <v>39</v>
      </c>
      <c r="F366" s="2" t="s">
        <v>1472</v>
      </c>
      <c r="G366" s="2" t="s">
        <v>1473</v>
      </c>
      <c r="H366" s="2" t="s">
        <v>24</v>
      </c>
      <c r="I366" s="2" t="s">
        <v>25</v>
      </c>
      <c r="J366" s="2" t="s">
        <v>639</v>
      </c>
      <c r="K366" s="2" t="s">
        <v>53</v>
      </c>
      <c r="L366" s="2" t="s">
        <v>54</v>
      </c>
      <c r="M366" s="2" t="s">
        <v>1476</v>
      </c>
      <c r="N366" s="2" t="s">
        <v>30</v>
      </c>
      <c r="O366" s="2" t="s">
        <v>31</v>
      </c>
      <c r="P366" s="2" t="s">
        <v>1477</v>
      </c>
      <c r="Q366" s="2">
        <v>293.19900000000001</v>
      </c>
      <c r="R366" s="2">
        <v>3</v>
      </c>
      <c r="S366" s="2">
        <v>-20.696400000000001</v>
      </c>
      <c r="T366" s="2" t="s">
        <v>83</v>
      </c>
      <c r="U366" s="2" t="s">
        <v>77</v>
      </c>
    </row>
    <row r="367" spans="1:21" ht="14.25" customHeight="1" x14ac:dyDescent="0.3">
      <c r="A367" s="2" t="s">
        <v>1478</v>
      </c>
      <c r="B367" s="5">
        <v>42586</v>
      </c>
      <c r="C367" s="2" t="str">
        <f>TEXT(data[[#This Row],[Order Date]],"YYYY")</f>
        <v>2016</v>
      </c>
      <c r="D367" s="2">
        <v>42590</v>
      </c>
      <c r="E367" s="2" t="s">
        <v>39</v>
      </c>
      <c r="F367" s="2" t="s">
        <v>1479</v>
      </c>
      <c r="G367" s="2" t="s">
        <v>1480</v>
      </c>
      <c r="H367" s="2" t="s">
        <v>100</v>
      </c>
      <c r="I367" s="2" t="s">
        <v>25</v>
      </c>
      <c r="J367" s="2" t="s">
        <v>1481</v>
      </c>
      <c r="K367" s="2" t="s">
        <v>716</v>
      </c>
      <c r="L367" s="2" t="s">
        <v>28</v>
      </c>
      <c r="M367" s="2" t="s">
        <v>1482</v>
      </c>
      <c r="N367" s="2" t="s">
        <v>30</v>
      </c>
      <c r="O367" s="2" t="s">
        <v>56</v>
      </c>
      <c r="P367" s="2" t="s">
        <v>1483</v>
      </c>
      <c r="Q367" s="2">
        <v>109.8</v>
      </c>
      <c r="R367" s="2">
        <v>9</v>
      </c>
      <c r="S367" s="2">
        <v>46.116</v>
      </c>
      <c r="T367" s="2" t="s">
        <v>83</v>
      </c>
      <c r="U367" s="2" t="s">
        <v>253</v>
      </c>
    </row>
    <row r="368" spans="1:21" ht="14.25" customHeight="1" x14ac:dyDescent="0.3">
      <c r="A368" s="2" t="s">
        <v>1484</v>
      </c>
      <c r="B368" s="5">
        <v>41974</v>
      </c>
      <c r="C368" s="2" t="str">
        <f>TEXT(data[[#This Row],[Order Date]],"YYYY")</f>
        <v>2014</v>
      </c>
      <c r="D368" s="2">
        <v>41976</v>
      </c>
      <c r="E368" s="2" t="s">
        <v>87</v>
      </c>
      <c r="F368" s="2" t="s">
        <v>691</v>
      </c>
      <c r="G368" s="2" t="s">
        <v>692</v>
      </c>
      <c r="H368" s="2" t="s">
        <v>24</v>
      </c>
      <c r="I368" s="2" t="s">
        <v>25</v>
      </c>
      <c r="J368" s="2" t="s">
        <v>1485</v>
      </c>
      <c r="K368" s="2" t="s">
        <v>238</v>
      </c>
      <c r="L368" s="2" t="s">
        <v>93</v>
      </c>
      <c r="M368" s="2" t="s">
        <v>1486</v>
      </c>
      <c r="N368" s="2" t="s">
        <v>30</v>
      </c>
      <c r="O368" s="2" t="s">
        <v>36</v>
      </c>
      <c r="P368" s="2" t="s">
        <v>1487</v>
      </c>
      <c r="Q368" s="2">
        <v>2807.84</v>
      </c>
      <c r="R368" s="2">
        <v>8</v>
      </c>
      <c r="S368" s="2">
        <v>673.88160000000005</v>
      </c>
      <c r="T368" s="2" t="s">
        <v>70</v>
      </c>
      <c r="U368" s="2" t="s">
        <v>96</v>
      </c>
    </row>
    <row r="369" spans="1:21" ht="14.25" customHeight="1" x14ac:dyDescent="0.3">
      <c r="A369" s="2" t="s">
        <v>1488</v>
      </c>
      <c r="B369" s="5">
        <v>42558</v>
      </c>
      <c r="C369" s="2" t="str">
        <f>TEXT(data[[#This Row],[Order Date]],"YYYY")</f>
        <v>2016</v>
      </c>
      <c r="D369" s="2">
        <v>42562</v>
      </c>
      <c r="E369" s="2" t="s">
        <v>39</v>
      </c>
      <c r="F369" s="2" t="s">
        <v>1489</v>
      </c>
      <c r="G369" s="2" t="s">
        <v>1490</v>
      </c>
      <c r="H369" s="2" t="s">
        <v>24</v>
      </c>
      <c r="I369" s="2" t="s">
        <v>25</v>
      </c>
      <c r="J369" s="2" t="s">
        <v>1491</v>
      </c>
      <c r="K369" s="2" t="s">
        <v>53</v>
      </c>
      <c r="L369" s="2" t="s">
        <v>54</v>
      </c>
      <c r="M369" s="2" t="s">
        <v>607</v>
      </c>
      <c r="N369" s="2" t="s">
        <v>30</v>
      </c>
      <c r="O369" s="2" t="s">
        <v>56</v>
      </c>
      <c r="P369" s="2" t="s">
        <v>608</v>
      </c>
      <c r="Q369" s="2">
        <v>215.65</v>
      </c>
      <c r="R369" s="2">
        <v>5</v>
      </c>
      <c r="S369" s="2">
        <v>73.320999999999998</v>
      </c>
      <c r="T369" s="2" t="s">
        <v>83</v>
      </c>
      <c r="U369" s="2" t="s">
        <v>71</v>
      </c>
    </row>
    <row r="370" spans="1:21" ht="14.25" customHeight="1" x14ac:dyDescent="0.3">
      <c r="A370" s="2" t="s">
        <v>1492</v>
      </c>
      <c r="B370" s="5">
        <v>42687</v>
      </c>
      <c r="C370" s="2" t="str">
        <f>TEXT(data[[#This Row],[Order Date]],"YYYY")</f>
        <v>2016</v>
      </c>
      <c r="D370" s="2">
        <v>42693</v>
      </c>
      <c r="E370" s="2" t="s">
        <v>39</v>
      </c>
      <c r="F370" s="2" t="s">
        <v>1493</v>
      </c>
      <c r="G370" s="2" t="s">
        <v>1494</v>
      </c>
      <c r="H370" s="2" t="s">
        <v>100</v>
      </c>
      <c r="I370" s="2" t="s">
        <v>25</v>
      </c>
      <c r="J370" s="2" t="s">
        <v>952</v>
      </c>
      <c r="K370" s="2" t="s">
        <v>192</v>
      </c>
      <c r="L370" s="2" t="s">
        <v>54</v>
      </c>
      <c r="M370" s="2" t="s">
        <v>1311</v>
      </c>
      <c r="N370" s="2" t="s">
        <v>30</v>
      </c>
      <c r="O370" s="2" t="s">
        <v>56</v>
      </c>
      <c r="P370" s="2" t="s">
        <v>1312</v>
      </c>
      <c r="Q370" s="2">
        <v>4.18</v>
      </c>
      <c r="R370" s="2">
        <v>1</v>
      </c>
      <c r="S370" s="2">
        <v>1.5047999999999999</v>
      </c>
      <c r="T370" s="2" t="s">
        <v>129</v>
      </c>
      <c r="U370" s="2" t="s">
        <v>34</v>
      </c>
    </row>
    <row r="371" spans="1:21" ht="14.25" customHeight="1" x14ac:dyDescent="0.3">
      <c r="A371" s="2" t="s">
        <v>1495</v>
      </c>
      <c r="B371" s="5">
        <v>42666</v>
      </c>
      <c r="C371" s="2" t="str">
        <f>TEXT(data[[#This Row],[Order Date]],"YYYY")</f>
        <v>2016</v>
      </c>
      <c r="D371" s="2">
        <v>42672</v>
      </c>
      <c r="E371" s="2" t="s">
        <v>39</v>
      </c>
      <c r="F371" s="2" t="s">
        <v>269</v>
      </c>
      <c r="G371" s="2" t="s">
        <v>270</v>
      </c>
      <c r="H371" s="2" t="s">
        <v>90</v>
      </c>
      <c r="I371" s="2" t="s">
        <v>25</v>
      </c>
      <c r="J371" s="2" t="s">
        <v>133</v>
      </c>
      <c r="K371" s="2" t="s">
        <v>134</v>
      </c>
      <c r="L371" s="2" t="s">
        <v>93</v>
      </c>
      <c r="M371" s="2" t="s">
        <v>1496</v>
      </c>
      <c r="N371" s="2" t="s">
        <v>30</v>
      </c>
      <c r="O371" s="2" t="s">
        <v>56</v>
      </c>
      <c r="P371" s="2" t="s">
        <v>1497</v>
      </c>
      <c r="Q371" s="2">
        <v>16.155999999999999</v>
      </c>
      <c r="R371" s="2">
        <v>7</v>
      </c>
      <c r="S371" s="2">
        <v>-12.117000000000001</v>
      </c>
      <c r="T371" s="2" t="s">
        <v>129</v>
      </c>
      <c r="U371" s="2" t="s">
        <v>48</v>
      </c>
    </row>
    <row r="372" spans="1:21" ht="14.25" customHeight="1" x14ac:dyDescent="0.3">
      <c r="A372" s="2" t="s">
        <v>1498</v>
      </c>
      <c r="B372" s="5">
        <v>41799</v>
      </c>
      <c r="C372" s="2" t="str">
        <f>TEXT(data[[#This Row],[Order Date]],"YYYY")</f>
        <v>2014</v>
      </c>
      <c r="D372" s="2">
        <v>41801</v>
      </c>
      <c r="E372" s="2" t="s">
        <v>21</v>
      </c>
      <c r="F372" s="2" t="s">
        <v>1499</v>
      </c>
      <c r="G372" s="2" t="s">
        <v>1500</v>
      </c>
      <c r="H372" s="2" t="s">
        <v>24</v>
      </c>
      <c r="I372" s="2" t="s">
        <v>25</v>
      </c>
      <c r="J372" s="2" t="s">
        <v>1076</v>
      </c>
      <c r="K372" s="2" t="s">
        <v>716</v>
      </c>
      <c r="L372" s="2" t="s">
        <v>28</v>
      </c>
      <c r="M372" s="2" t="s">
        <v>212</v>
      </c>
      <c r="N372" s="2" t="s">
        <v>30</v>
      </c>
      <c r="O372" s="2" t="s">
        <v>45</v>
      </c>
      <c r="P372" s="2" t="s">
        <v>213</v>
      </c>
      <c r="Q372" s="2">
        <v>1441.3</v>
      </c>
      <c r="R372" s="2">
        <v>7</v>
      </c>
      <c r="S372" s="2">
        <v>245.02099999999999</v>
      </c>
      <c r="T372" s="2" t="s">
        <v>70</v>
      </c>
      <c r="U372" s="2" t="s">
        <v>59</v>
      </c>
    </row>
    <row r="373" spans="1:21" ht="14.25" customHeight="1" x14ac:dyDescent="0.3">
      <c r="A373" s="2" t="s">
        <v>1501</v>
      </c>
      <c r="B373" s="5">
        <v>43059</v>
      </c>
      <c r="C373" s="2" t="str">
        <f>TEXT(data[[#This Row],[Order Date]],"YYYY")</f>
        <v>2017</v>
      </c>
      <c r="D373" s="2">
        <v>43065</v>
      </c>
      <c r="E373" s="2" t="s">
        <v>39</v>
      </c>
      <c r="F373" s="2" t="s">
        <v>1502</v>
      </c>
      <c r="G373" s="2" t="s">
        <v>1503</v>
      </c>
      <c r="H373" s="2" t="s">
        <v>24</v>
      </c>
      <c r="I373" s="2" t="s">
        <v>25</v>
      </c>
      <c r="J373" s="2" t="s">
        <v>230</v>
      </c>
      <c r="K373" s="2" t="s">
        <v>231</v>
      </c>
      <c r="L373" s="2" t="s">
        <v>67</v>
      </c>
      <c r="M373" s="2" t="s">
        <v>363</v>
      </c>
      <c r="N373" s="2" t="s">
        <v>30</v>
      </c>
      <c r="O373" s="2" t="s">
        <v>56</v>
      </c>
      <c r="P373" s="2" t="s">
        <v>364</v>
      </c>
      <c r="Q373" s="2">
        <v>77.599999999999994</v>
      </c>
      <c r="R373" s="2">
        <v>5</v>
      </c>
      <c r="S373" s="2">
        <v>28.13</v>
      </c>
      <c r="T373" s="2" t="s">
        <v>129</v>
      </c>
      <c r="U373" s="2" t="s">
        <v>34</v>
      </c>
    </row>
    <row r="374" spans="1:21" ht="14.25" customHeight="1" x14ac:dyDescent="0.3">
      <c r="A374" s="2" t="s">
        <v>1501</v>
      </c>
      <c r="B374" s="5">
        <v>43059</v>
      </c>
      <c r="C374" s="2" t="str">
        <f>TEXT(data[[#This Row],[Order Date]],"YYYY")</f>
        <v>2017</v>
      </c>
      <c r="D374" s="2">
        <v>43065</v>
      </c>
      <c r="E374" s="2" t="s">
        <v>39</v>
      </c>
      <c r="F374" s="2" t="s">
        <v>1502</v>
      </c>
      <c r="G374" s="2" t="s">
        <v>1503</v>
      </c>
      <c r="H374" s="2" t="s">
        <v>24</v>
      </c>
      <c r="I374" s="2" t="s">
        <v>25</v>
      </c>
      <c r="J374" s="2" t="s">
        <v>230</v>
      </c>
      <c r="K374" s="2" t="s">
        <v>231</v>
      </c>
      <c r="L374" s="2" t="s">
        <v>67</v>
      </c>
      <c r="M374" s="2" t="s">
        <v>500</v>
      </c>
      <c r="N374" s="2" t="s">
        <v>30</v>
      </c>
      <c r="O374" s="2" t="s">
        <v>56</v>
      </c>
      <c r="P374" s="2" t="s">
        <v>501</v>
      </c>
      <c r="Q374" s="2">
        <v>4.6559999999999997</v>
      </c>
      <c r="R374" s="2">
        <v>2</v>
      </c>
      <c r="S374" s="2">
        <v>1.5713999999999999</v>
      </c>
      <c r="T374" s="2" t="s">
        <v>129</v>
      </c>
      <c r="U374" s="2" t="s">
        <v>34</v>
      </c>
    </row>
    <row r="375" spans="1:21" ht="14.25" customHeight="1" x14ac:dyDescent="0.3">
      <c r="A375" s="2" t="s">
        <v>1504</v>
      </c>
      <c r="B375" s="5">
        <v>42261</v>
      </c>
      <c r="C375" s="2" t="str">
        <f>TEXT(data[[#This Row],[Order Date]],"YYYY")</f>
        <v>2015</v>
      </c>
      <c r="D375" s="2">
        <v>42265</v>
      </c>
      <c r="E375" s="2" t="s">
        <v>39</v>
      </c>
      <c r="F375" s="2" t="s">
        <v>1111</v>
      </c>
      <c r="G375" s="2" t="s">
        <v>1112</v>
      </c>
      <c r="H375" s="2" t="s">
        <v>90</v>
      </c>
      <c r="I375" s="2" t="s">
        <v>25</v>
      </c>
      <c r="J375" s="2" t="s">
        <v>52</v>
      </c>
      <c r="K375" s="2" t="s">
        <v>53</v>
      </c>
      <c r="L375" s="2" t="s">
        <v>54</v>
      </c>
      <c r="M375" s="2" t="s">
        <v>317</v>
      </c>
      <c r="N375" s="2" t="s">
        <v>30</v>
      </c>
      <c r="O375" s="2" t="s">
        <v>45</v>
      </c>
      <c r="P375" s="2" t="s">
        <v>318</v>
      </c>
      <c r="Q375" s="2">
        <v>170.136</v>
      </c>
      <c r="R375" s="2">
        <v>3</v>
      </c>
      <c r="S375" s="2">
        <v>-8.5068000000000001</v>
      </c>
      <c r="T375" s="2" t="s">
        <v>83</v>
      </c>
      <c r="U375" s="2" t="s">
        <v>77</v>
      </c>
    </row>
    <row r="376" spans="1:21" ht="14.25" customHeight="1" x14ac:dyDescent="0.3">
      <c r="A376" s="2" t="s">
        <v>1505</v>
      </c>
      <c r="B376" s="5">
        <v>41784</v>
      </c>
      <c r="C376" s="2" t="str">
        <f>TEXT(data[[#This Row],[Order Date]],"YYYY")</f>
        <v>2014</v>
      </c>
      <c r="D376" s="2">
        <v>41788</v>
      </c>
      <c r="E376" s="2" t="s">
        <v>39</v>
      </c>
      <c r="F376" s="2" t="s">
        <v>1506</v>
      </c>
      <c r="G376" s="2" t="s">
        <v>1507</v>
      </c>
      <c r="H376" s="2" t="s">
        <v>24</v>
      </c>
      <c r="I376" s="2" t="s">
        <v>25</v>
      </c>
      <c r="J376" s="2" t="s">
        <v>133</v>
      </c>
      <c r="K376" s="2" t="s">
        <v>134</v>
      </c>
      <c r="L376" s="2" t="s">
        <v>93</v>
      </c>
      <c r="M376" s="2" t="s">
        <v>1508</v>
      </c>
      <c r="N376" s="2" t="s">
        <v>30</v>
      </c>
      <c r="O376" s="2" t="s">
        <v>56</v>
      </c>
      <c r="P376" s="2" t="s">
        <v>1509</v>
      </c>
      <c r="Q376" s="2">
        <v>29.32</v>
      </c>
      <c r="R376" s="2">
        <v>2</v>
      </c>
      <c r="S376" s="2">
        <v>-24.189</v>
      </c>
      <c r="T376" s="2" t="s">
        <v>83</v>
      </c>
      <c r="U376" s="2" t="s">
        <v>161</v>
      </c>
    </row>
    <row r="377" spans="1:21" ht="14.25" customHeight="1" x14ac:dyDescent="0.3">
      <c r="A377" s="2" t="s">
        <v>1510</v>
      </c>
      <c r="B377" s="5">
        <v>42416</v>
      </c>
      <c r="C377" s="2" t="str">
        <f>TEXT(data[[#This Row],[Order Date]],"YYYY")</f>
        <v>2016</v>
      </c>
      <c r="D377" s="2">
        <v>42420</v>
      </c>
      <c r="E377" s="2" t="s">
        <v>39</v>
      </c>
      <c r="F377" s="2" t="s">
        <v>1511</v>
      </c>
      <c r="G377" s="2" t="s">
        <v>1512</v>
      </c>
      <c r="H377" s="2" t="s">
        <v>90</v>
      </c>
      <c r="I377" s="2" t="s">
        <v>25</v>
      </c>
      <c r="J377" s="2" t="s">
        <v>133</v>
      </c>
      <c r="K377" s="2" t="s">
        <v>134</v>
      </c>
      <c r="L377" s="2" t="s">
        <v>93</v>
      </c>
      <c r="M377" s="2" t="s">
        <v>1513</v>
      </c>
      <c r="N377" s="2" t="s">
        <v>30</v>
      </c>
      <c r="O377" s="2" t="s">
        <v>36</v>
      </c>
      <c r="P377" s="2" t="s">
        <v>1514</v>
      </c>
      <c r="Q377" s="2">
        <v>62.957999999999998</v>
      </c>
      <c r="R377" s="2">
        <v>3</v>
      </c>
      <c r="S377" s="2">
        <v>-2.6981999999999999</v>
      </c>
      <c r="T377" s="2" t="s">
        <v>83</v>
      </c>
      <c r="U377" s="2" t="s">
        <v>297</v>
      </c>
    </row>
    <row r="378" spans="1:21" ht="14.25" customHeight="1" x14ac:dyDescent="0.3">
      <c r="A378" s="2" t="s">
        <v>1515</v>
      </c>
      <c r="B378" s="5">
        <v>42726</v>
      </c>
      <c r="C378" s="2" t="str">
        <f>TEXT(data[[#This Row],[Order Date]],"YYYY")</f>
        <v>2016</v>
      </c>
      <c r="D378" s="2">
        <v>42732</v>
      </c>
      <c r="E378" s="2" t="s">
        <v>39</v>
      </c>
      <c r="F378" s="2" t="s">
        <v>819</v>
      </c>
      <c r="G378" s="2" t="s">
        <v>820</v>
      </c>
      <c r="H378" s="2" t="s">
        <v>24</v>
      </c>
      <c r="I378" s="2" t="s">
        <v>25</v>
      </c>
      <c r="J378" s="2" t="s">
        <v>1516</v>
      </c>
      <c r="K378" s="2" t="s">
        <v>1517</v>
      </c>
      <c r="L378" s="2" t="s">
        <v>54</v>
      </c>
      <c r="M378" s="2" t="s">
        <v>446</v>
      </c>
      <c r="N378" s="2" t="s">
        <v>30</v>
      </c>
      <c r="O378" s="2" t="s">
        <v>56</v>
      </c>
      <c r="P378" s="2" t="s">
        <v>447</v>
      </c>
      <c r="Q378" s="2">
        <v>11.84</v>
      </c>
      <c r="R378" s="2">
        <v>4</v>
      </c>
      <c r="S378" s="2">
        <v>3.1080000000000001</v>
      </c>
      <c r="T378" s="2" t="s">
        <v>129</v>
      </c>
      <c r="U378" s="2" t="s">
        <v>96</v>
      </c>
    </row>
    <row r="379" spans="1:21" ht="14.25" customHeight="1" x14ac:dyDescent="0.3">
      <c r="A379" s="2" t="s">
        <v>1515</v>
      </c>
      <c r="B379" s="5">
        <v>42726</v>
      </c>
      <c r="C379" s="2" t="str">
        <f>TEXT(data[[#This Row],[Order Date]],"YYYY")</f>
        <v>2016</v>
      </c>
      <c r="D379" s="2">
        <v>42732</v>
      </c>
      <c r="E379" s="2" t="s">
        <v>39</v>
      </c>
      <c r="F379" s="2" t="s">
        <v>819</v>
      </c>
      <c r="G379" s="2" t="s">
        <v>820</v>
      </c>
      <c r="H379" s="2" t="s">
        <v>24</v>
      </c>
      <c r="I379" s="2" t="s">
        <v>25</v>
      </c>
      <c r="J379" s="2" t="s">
        <v>1516</v>
      </c>
      <c r="K379" s="2" t="s">
        <v>1517</v>
      </c>
      <c r="L379" s="2" t="s">
        <v>54</v>
      </c>
      <c r="M379" s="2" t="s">
        <v>1518</v>
      </c>
      <c r="N379" s="2" t="s">
        <v>30</v>
      </c>
      <c r="O379" s="2" t="s">
        <v>56</v>
      </c>
      <c r="P379" s="2" t="s">
        <v>1519</v>
      </c>
      <c r="Q379" s="2">
        <v>22.783999999999999</v>
      </c>
      <c r="R379" s="2">
        <v>1</v>
      </c>
      <c r="S379" s="2">
        <v>4.8415999999999997</v>
      </c>
      <c r="T379" s="2" t="s">
        <v>129</v>
      </c>
      <c r="U379" s="2" t="s">
        <v>96</v>
      </c>
    </row>
    <row r="380" spans="1:21" ht="14.25" customHeight="1" x14ac:dyDescent="0.3">
      <c r="A380" s="2" t="s">
        <v>1520</v>
      </c>
      <c r="B380" s="5">
        <v>43029</v>
      </c>
      <c r="C380" s="2" t="str">
        <f>TEXT(data[[#This Row],[Order Date]],"YYYY")</f>
        <v>2017</v>
      </c>
      <c r="D380" s="2">
        <v>43029</v>
      </c>
      <c r="E380" s="2" t="s">
        <v>425</v>
      </c>
      <c r="F380" s="2" t="s">
        <v>954</v>
      </c>
      <c r="G380" s="2" t="s">
        <v>955</v>
      </c>
      <c r="H380" s="2" t="s">
        <v>100</v>
      </c>
      <c r="I380" s="2" t="s">
        <v>25</v>
      </c>
      <c r="J380" s="2" t="s">
        <v>1521</v>
      </c>
      <c r="K380" s="2" t="s">
        <v>1522</v>
      </c>
      <c r="L380" s="2" t="s">
        <v>93</v>
      </c>
      <c r="M380" s="2" t="s">
        <v>915</v>
      </c>
      <c r="N380" s="2" t="s">
        <v>30</v>
      </c>
      <c r="O380" s="2" t="s">
        <v>45</v>
      </c>
      <c r="P380" s="2" t="s">
        <v>916</v>
      </c>
      <c r="Q380" s="2">
        <v>262.11</v>
      </c>
      <c r="R380" s="2">
        <v>1</v>
      </c>
      <c r="S380" s="2">
        <v>62.906399999999998</v>
      </c>
      <c r="T380" s="2" t="s">
        <v>430</v>
      </c>
      <c r="U380" s="2" t="s">
        <v>48</v>
      </c>
    </row>
    <row r="381" spans="1:21" ht="14.25" customHeight="1" x14ac:dyDescent="0.3">
      <c r="A381" s="2" t="s">
        <v>1523</v>
      </c>
      <c r="B381" s="5">
        <v>42313</v>
      </c>
      <c r="C381" s="2" t="str">
        <f>TEXT(data[[#This Row],[Order Date]],"YYYY")</f>
        <v>2015</v>
      </c>
      <c r="D381" s="2">
        <v>42317</v>
      </c>
      <c r="E381" s="2" t="s">
        <v>39</v>
      </c>
      <c r="F381" s="2" t="s">
        <v>1080</v>
      </c>
      <c r="G381" s="2" t="s">
        <v>1081</v>
      </c>
      <c r="H381" s="2" t="s">
        <v>90</v>
      </c>
      <c r="I381" s="2" t="s">
        <v>25</v>
      </c>
      <c r="J381" s="2" t="s">
        <v>1035</v>
      </c>
      <c r="K381" s="2" t="s">
        <v>1036</v>
      </c>
      <c r="L381" s="2" t="s">
        <v>28</v>
      </c>
      <c r="M381" s="2" t="s">
        <v>1090</v>
      </c>
      <c r="N381" s="2" t="s">
        <v>30</v>
      </c>
      <c r="O381" s="2" t="s">
        <v>36</v>
      </c>
      <c r="P381" s="2" t="s">
        <v>1091</v>
      </c>
      <c r="Q381" s="2">
        <v>207</v>
      </c>
      <c r="R381" s="2">
        <v>3</v>
      </c>
      <c r="S381" s="2">
        <v>25.875</v>
      </c>
      <c r="T381" s="2" t="s">
        <v>83</v>
      </c>
      <c r="U381" s="2" t="s">
        <v>34</v>
      </c>
    </row>
    <row r="382" spans="1:21" ht="14.25" customHeight="1" x14ac:dyDescent="0.3">
      <c r="A382" s="2" t="s">
        <v>1524</v>
      </c>
      <c r="B382" s="5">
        <v>41852</v>
      </c>
      <c r="C382" s="2" t="str">
        <f>TEXT(data[[#This Row],[Order Date]],"YYYY")</f>
        <v>2014</v>
      </c>
      <c r="D382" s="2">
        <v>41856</v>
      </c>
      <c r="E382" s="2" t="s">
        <v>39</v>
      </c>
      <c r="F382" s="2" t="s">
        <v>1525</v>
      </c>
      <c r="G382" s="2" t="s">
        <v>1526</v>
      </c>
      <c r="H382" s="2" t="s">
        <v>90</v>
      </c>
      <c r="I382" s="2" t="s">
        <v>25</v>
      </c>
      <c r="J382" s="2" t="s">
        <v>1527</v>
      </c>
      <c r="K382" s="2" t="s">
        <v>1036</v>
      </c>
      <c r="L382" s="2" t="s">
        <v>28</v>
      </c>
      <c r="M382" s="2" t="s">
        <v>174</v>
      </c>
      <c r="N382" s="2" t="s">
        <v>30</v>
      </c>
      <c r="O382" s="2" t="s">
        <v>56</v>
      </c>
      <c r="P382" s="2" t="s">
        <v>175</v>
      </c>
      <c r="Q382" s="2">
        <v>44.128</v>
      </c>
      <c r="R382" s="2">
        <v>4</v>
      </c>
      <c r="S382" s="2">
        <v>12.135199999999999</v>
      </c>
      <c r="T382" s="2" t="s">
        <v>83</v>
      </c>
      <c r="U382" s="2" t="s">
        <v>253</v>
      </c>
    </row>
    <row r="383" spans="1:21" ht="14.25" customHeight="1" x14ac:dyDescent="0.3">
      <c r="A383" s="2" t="s">
        <v>1528</v>
      </c>
      <c r="B383" s="5">
        <v>42569</v>
      </c>
      <c r="C383" s="2" t="str">
        <f>TEXT(data[[#This Row],[Order Date]],"YYYY")</f>
        <v>2016</v>
      </c>
      <c r="D383" s="2">
        <v>42574</v>
      </c>
      <c r="E383" s="2" t="s">
        <v>39</v>
      </c>
      <c r="F383" s="2" t="s">
        <v>1529</v>
      </c>
      <c r="G383" s="2" t="s">
        <v>1530</v>
      </c>
      <c r="H383" s="2" t="s">
        <v>90</v>
      </c>
      <c r="I383" s="2" t="s">
        <v>25</v>
      </c>
      <c r="J383" s="2" t="s">
        <v>1531</v>
      </c>
      <c r="K383" s="2" t="s">
        <v>27</v>
      </c>
      <c r="L383" s="2" t="s">
        <v>28</v>
      </c>
      <c r="M383" s="2" t="s">
        <v>1532</v>
      </c>
      <c r="N383" s="2" t="s">
        <v>30</v>
      </c>
      <c r="O383" s="2" t="s">
        <v>36</v>
      </c>
      <c r="P383" s="2" t="s">
        <v>1533</v>
      </c>
      <c r="Q383" s="2">
        <v>140.81</v>
      </c>
      <c r="R383" s="2">
        <v>1</v>
      </c>
      <c r="S383" s="2">
        <v>39.4268</v>
      </c>
      <c r="T383" s="2" t="s">
        <v>58</v>
      </c>
      <c r="U383" s="2" t="s">
        <v>71</v>
      </c>
    </row>
    <row r="384" spans="1:21" ht="14.25" customHeight="1" x14ac:dyDescent="0.3">
      <c r="A384" s="2" t="s">
        <v>1534</v>
      </c>
      <c r="B384" s="5">
        <v>42044</v>
      </c>
      <c r="C384" s="2" t="str">
        <f>TEXT(data[[#This Row],[Order Date]],"YYYY")</f>
        <v>2015</v>
      </c>
      <c r="D384" s="2">
        <v>42046</v>
      </c>
      <c r="E384" s="2" t="s">
        <v>21</v>
      </c>
      <c r="F384" s="2" t="s">
        <v>1535</v>
      </c>
      <c r="G384" s="2" t="s">
        <v>1536</v>
      </c>
      <c r="H384" s="2" t="s">
        <v>90</v>
      </c>
      <c r="I384" s="2" t="s">
        <v>25</v>
      </c>
      <c r="J384" s="2" t="s">
        <v>245</v>
      </c>
      <c r="K384" s="2" t="s">
        <v>92</v>
      </c>
      <c r="L384" s="2" t="s">
        <v>93</v>
      </c>
      <c r="M384" s="2" t="s">
        <v>1537</v>
      </c>
      <c r="N384" s="2" t="s">
        <v>30</v>
      </c>
      <c r="O384" s="2" t="s">
        <v>56</v>
      </c>
      <c r="P384" s="2" t="s">
        <v>1538</v>
      </c>
      <c r="Q384" s="2">
        <v>40.783999999999999</v>
      </c>
      <c r="R384" s="2">
        <v>2</v>
      </c>
      <c r="S384" s="2">
        <v>-30.588000000000001</v>
      </c>
      <c r="T384" s="2" t="s">
        <v>70</v>
      </c>
      <c r="U384" s="2" t="s">
        <v>297</v>
      </c>
    </row>
    <row r="385" spans="1:21" ht="14.25" customHeight="1" x14ac:dyDescent="0.3">
      <c r="A385" s="2" t="s">
        <v>1539</v>
      </c>
      <c r="B385" s="5">
        <v>42747</v>
      </c>
      <c r="C385" s="2" t="str">
        <f>TEXT(data[[#This Row],[Order Date]],"YYYY")</f>
        <v>2017</v>
      </c>
      <c r="D385" s="2">
        <v>42752</v>
      </c>
      <c r="E385" s="2" t="s">
        <v>21</v>
      </c>
      <c r="F385" s="2" t="s">
        <v>1540</v>
      </c>
      <c r="G385" s="2" t="s">
        <v>1541</v>
      </c>
      <c r="H385" s="2" t="s">
        <v>100</v>
      </c>
      <c r="I385" s="2" t="s">
        <v>25</v>
      </c>
      <c r="J385" s="2" t="s">
        <v>192</v>
      </c>
      <c r="K385" s="2" t="s">
        <v>980</v>
      </c>
      <c r="L385" s="2" t="s">
        <v>67</v>
      </c>
      <c r="M385" s="2" t="s">
        <v>1542</v>
      </c>
      <c r="N385" s="2" t="s">
        <v>30</v>
      </c>
      <c r="O385" s="2" t="s">
        <v>56</v>
      </c>
      <c r="P385" s="2" t="s">
        <v>1543</v>
      </c>
      <c r="Q385" s="2">
        <v>37.68</v>
      </c>
      <c r="R385" s="2">
        <v>2</v>
      </c>
      <c r="S385" s="2">
        <v>15.8256</v>
      </c>
      <c r="T385" s="2" t="s">
        <v>58</v>
      </c>
      <c r="U385" s="2" t="s">
        <v>169</v>
      </c>
    </row>
    <row r="386" spans="1:21" ht="14.25" customHeight="1" x14ac:dyDescent="0.3">
      <c r="A386" s="2" t="s">
        <v>1544</v>
      </c>
      <c r="B386" s="5">
        <v>42988</v>
      </c>
      <c r="C386" s="2" t="str">
        <f>TEXT(data[[#This Row],[Order Date]],"YYYY")</f>
        <v>2017</v>
      </c>
      <c r="D386" s="2">
        <v>42988</v>
      </c>
      <c r="E386" s="2" t="s">
        <v>425</v>
      </c>
      <c r="F386" s="2" t="s">
        <v>1545</v>
      </c>
      <c r="G386" s="2" t="s">
        <v>1546</v>
      </c>
      <c r="H386" s="2" t="s">
        <v>90</v>
      </c>
      <c r="I386" s="2" t="s">
        <v>25</v>
      </c>
      <c r="J386" s="2" t="s">
        <v>52</v>
      </c>
      <c r="K386" s="2" t="s">
        <v>53</v>
      </c>
      <c r="L386" s="2" t="s">
        <v>54</v>
      </c>
      <c r="M386" s="2" t="s">
        <v>394</v>
      </c>
      <c r="N386" s="2" t="s">
        <v>30</v>
      </c>
      <c r="O386" s="2" t="s">
        <v>36</v>
      </c>
      <c r="P386" s="2" t="s">
        <v>395</v>
      </c>
      <c r="Q386" s="2">
        <v>362.35199999999998</v>
      </c>
      <c r="R386" s="2">
        <v>3</v>
      </c>
      <c r="S386" s="2">
        <v>27.176400000000001</v>
      </c>
      <c r="T386" s="2" t="s">
        <v>430</v>
      </c>
      <c r="U386" s="2" t="s">
        <v>77</v>
      </c>
    </row>
    <row r="387" spans="1:21" ht="14.25" customHeight="1" x14ac:dyDescent="0.3">
      <c r="A387" s="2" t="s">
        <v>1547</v>
      </c>
      <c r="B387" s="5">
        <v>42820</v>
      </c>
      <c r="C387" s="2" t="str">
        <f>TEXT(data[[#This Row],[Order Date]],"YYYY")</f>
        <v>2017</v>
      </c>
      <c r="D387" s="2">
        <v>42821</v>
      </c>
      <c r="E387" s="2" t="s">
        <v>87</v>
      </c>
      <c r="F387" s="2" t="s">
        <v>833</v>
      </c>
      <c r="G387" s="2" t="s">
        <v>834</v>
      </c>
      <c r="H387" s="2" t="s">
        <v>24</v>
      </c>
      <c r="I387" s="2" t="s">
        <v>25</v>
      </c>
      <c r="J387" s="2" t="s">
        <v>173</v>
      </c>
      <c r="K387" s="2" t="s">
        <v>120</v>
      </c>
      <c r="L387" s="2" t="s">
        <v>67</v>
      </c>
      <c r="M387" s="2" t="s">
        <v>1548</v>
      </c>
      <c r="N387" s="2" t="s">
        <v>30</v>
      </c>
      <c r="O387" s="2" t="s">
        <v>31</v>
      </c>
      <c r="P387" s="2" t="s">
        <v>1549</v>
      </c>
      <c r="Q387" s="2">
        <v>257.56799999999998</v>
      </c>
      <c r="R387" s="2">
        <v>2</v>
      </c>
      <c r="S387" s="2">
        <v>-28.976400000000002</v>
      </c>
      <c r="T387" s="2" t="s">
        <v>123</v>
      </c>
      <c r="U387" s="2" t="s">
        <v>195</v>
      </c>
    </row>
    <row r="388" spans="1:21" ht="14.25" customHeight="1" x14ac:dyDescent="0.3">
      <c r="A388" s="2" t="s">
        <v>1550</v>
      </c>
      <c r="B388" s="5">
        <v>42656</v>
      </c>
      <c r="C388" s="2" t="str">
        <f>TEXT(data[[#This Row],[Order Date]],"YYYY")</f>
        <v>2016</v>
      </c>
      <c r="D388" s="2">
        <v>42660</v>
      </c>
      <c r="E388" s="2" t="s">
        <v>39</v>
      </c>
      <c r="F388" s="2" t="s">
        <v>1551</v>
      </c>
      <c r="G388" s="2" t="s">
        <v>1552</v>
      </c>
      <c r="H388" s="2" t="s">
        <v>90</v>
      </c>
      <c r="I388" s="2" t="s">
        <v>25</v>
      </c>
      <c r="J388" s="2" t="s">
        <v>179</v>
      </c>
      <c r="K388" s="2" t="s">
        <v>180</v>
      </c>
      <c r="L388" s="2" t="s">
        <v>54</v>
      </c>
      <c r="M388" s="2" t="s">
        <v>410</v>
      </c>
      <c r="N388" s="2" t="s">
        <v>30</v>
      </c>
      <c r="O388" s="2" t="s">
        <v>45</v>
      </c>
      <c r="P388" s="2" t="s">
        <v>411</v>
      </c>
      <c r="Q388" s="2">
        <v>727.45</v>
      </c>
      <c r="R388" s="2">
        <v>5</v>
      </c>
      <c r="S388" s="2">
        <v>-465.56799999999998</v>
      </c>
      <c r="T388" s="2" t="s">
        <v>83</v>
      </c>
      <c r="U388" s="2" t="s">
        <v>48</v>
      </c>
    </row>
    <row r="389" spans="1:21" ht="14.25" customHeight="1" x14ac:dyDescent="0.3">
      <c r="A389" s="2" t="s">
        <v>1550</v>
      </c>
      <c r="B389" s="5">
        <v>42656</v>
      </c>
      <c r="C389" s="2" t="str">
        <f>TEXT(data[[#This Row],[Order Date]],"YYYY")</f>
        <v>2016</v>
      </c>
      <c r="D389" s="2">
        <v>42660</v>
      </c>
      <c r="E389" s="2" t="s">
        <v>39</v>
      </c>
      <c r="F389" s="2" t="s">
        <v>1551</v>
      </c>
      <c r="G389" s="2" t="s">
        <v>1552</v>
      </c>
      <c r="H389" s="2" t="s">
        <v>90</v>
      </c>
      <c r="I389" s="2" t="s">
        <v>25</v>
      </c>
      <c r="J389" s="2" t="s">
        <v>179</v>
      </c>
      <c r="K389" s="2" t="s">
        <v>180</v>
      </c>
      <c r="L389" s="2" t="s">
        <v>54</v>
      </c>
      <c r="M389" s="2" t="s">
        <v>1553</v>
      </c>
      <c r="N389" s="2" t="s">
        <v>30</v>
      </c>
      <c r="O389" s="2" t="s">
        <v>56</v>
      </c>
      <c r="P389" s="2" t="s">
        <v>1554</v>
      </c>
      <c r="Q389" s="2">
        <v>24.96</v>
      </c>
      <c r="R389" s="2">
        <v>3</v>
      </c>
      <c r="S389" s="2">
        <v>4.3680000000000003</v>
      </c>
      <c r="T389" s="2" t="s">
        <v>83</v>
      </c>
      <c r="U389" s="2" t="s">
        <v>48</v>
      </c>
    </row>
    <row r="390" spans="1:21" ht="14.25" customHeight="1" x14ac:dyDescent="0.3">
      <c r="A390" s="2" t="s">
        <v>1555</v>
      </c>
      <c r="B390" s="5">
        <v>42840</v>
      </c>
      <c r="C390" s="2" t="str">
        <f>TEXT(data[[#This Row],[Order Date]],"YYYY")</f>
        <v>2017</v>
      </c>
      <c r="D390" s="2">
        <v>42843</v>
      </c>
      <c r="E390" s="2" t="s">
        <v>87</v>
      </c>
      <c r="F390" s="2" t="s">
        <v>1556</v>
      </c>
      <c r="G390" s="2" t="s">
        <v>1557</v>
      </c>
      <c r="H390" s="2" t="s">
        <v>90</v>
      </c>
      <c r="I390" s="2" t="s">
        <v>25</v>
      </c>
      <c r="J390" s="2" t="s">
        <v>26</v>
      </c>
      <c r="K390" s="2" t="s">
        <v>1340</v>
      </c>
      <c r="L390" s="2" t="s">
        <v>54</v>
      </c>
      <c r="M390" s="2" t="s">
        <v>1012</v>
      </c>
      <c r="N390" s="2" t="s">
        <v>30</v>
      </c>
      <c r="O390" s="2" t="s">
        <v>56</v>
      </c>
      <c r="P390" s="2" t="s">
        <v>1013</v>
      </c>
      <c r="Q390" s="2">
        <v>196.45</v>
      </c>
      <c r="R390" s="2">
        <v>5</v>
      </c>
      <c r="S390" s="2">
        <v>70.721999999999994</v>
      </c>
      <c r="T390" s="2" t="s">
        <v>33</v>
      </c>
      <c r="U390" s="2" t="s">
        <v>113</v>
      </c>
    </row>
    <row r="391" spans="1:21" ht="14.25" customHeight="1" x14ac:dyDescent="0.3">
      <c r="A391" s="2" t="s">
        <v>1558</v>
      </c>
      <c r="B391" s="5">
        <v>41841</v>
      </c>
      <c r="C391" s="2" t="str">
        <f>TEXT(data[[#This Row],[Order Date]],"YYYY")</f>
        <v>2014</v>
      </c>
      <c r="D391" s="2">
        <v>41845</v>
      </c>
      <c r="E391" s="2" t="s">
        <v>39</v>
      </c>
      <c r="F391" s="2" t="s">
        <v>1559</v>
      </c>
      <c r="G391" s="2" t="s">
        <v>1560</v>
      </c>
      <c r="H391" s="2" t="s">
        <v>90</v>
      </c>
      <c r="I391" s="2" t="s">
        <v>25</v>
      </c>
      <c r="J391" s="2" t="s">
        <v>328</v>
      </c>
      <c r="K391" s="2" t="s">
        <v>53</v>
      </c>
      <c r="L391" s="2" t="s">
        <v>54</v>
      </c>
      <c r="M391" s="2" t="s">
        <v>559</v>
      </c>
      <c r="N391" s="2" t="s">
        <v>30</v>
      </c>
      <c r="O391" s="2" t="s">
        <v>36</v>
      </c>
      <c r="P391" s="2" t="s">
        <v>560</v>
      </c>
      <c r="Q391" s="2">
        <v>801.56799999999998</v>
      </c>
      <c r="R391" s="2">
        <v>2</v>
      </c>
      <c r="S391" s="2">
        <v>50.097999999999999</v>
      </c>
      <c r="T391" s="2" t="s">
        <v>83</v>
      </c>
      <c r="U391" s="2" t="s">
        <v>71</v>
      </c>
    </row>
    <row r="392" spans="1:21" ht="14.25" customHeight="1" x14ac:dyDescent="0.3">
      <c r="A392" s="2" t="s">
        <v>1558</v>
      </c>
      <c r="B392" s="5">
        <v>41841</v>
      </c>
      <c r="C392" s="2" t="str">
        <f>TEXT(data[[#This Row],[Order Date]],"YYYY")</f>
        <v>2014</v>
      </c>
      <c r="D392" s="2">
        <v>41845</v>
      </c>
      <c r="E392" s="2" t="s">
        <v>39</v>
      </c>
      <c r="F392" s="2" t="s">
        <v>1559</v>
      </c>
      <c r="G392" s="2" t="s">
        <v>1560</v>
      </c>
      <c r="H392" s="2" t="s">
        <v>90</v>
      </c>
      <c r="I392" s="2" t="s">
        <v>25</v>
      </c>
      <c r="J392" s="2" t="s">
        <v>328</v>
      </c>
      <c r="K392" s="2" t="s">
        <v>53</v>
      </c>
      <c r="L392" s="2" t="s">
        <v>54</v>
      </c>
      <c r="M392" s="2" t="s">
        <v>1561</v>
      </c>
      <c r="N392" s="2" t="s">
        <v>30</v>
      </c>
      <c r="O392" s="2" t="s">
        <v>45</v>
      </c>
      <c r="P392" s="2" t="s">
        <v>1562</v>
      </c>
      <c r="Q392" s="2">
        <v>272.84800000000001</v>
      </c>
      <c r="R392" s="2">
        <v>1</v>
      </c>
      <c r="S392" s="2">
        <v>27.284800000000001</v>
      </c>
      <c r="T392" s="2" t="s">
        <v>83</v>
      </c>
      <c r="U392" s="2" t="s">
        <v>71</v>
      </c>
    </row>
    <row r="393" spans="1:21" ht="14.25" customHeight="1" x14ac:dyDescent="0.3">
      <c r="A393" s="2" t="s">
        <v>1563</v>
      </c>
      <c r="B393" s="5">
        <v>43060</v>
      </c>
      <c r="C393" s="2" t="str">
        <f>TEXT(data[[#This Row],[Order Date]],"YYYY")</f>
        <v>2017</v>
      </c>
      <c r="D393" s="2">
        <v>43064</v>
      </c>
      <c r="E393" s="2" t="s">
        <v>39</v>
      </c>
      <c r="F393" s="2" t="s">
        <v>1564</v>
      </c>
      <c r="G393" s="2" t="s">
        <v>1565</v>
      </c>
      <c r="H393" s="2" t="s">
        <v>24</v>
      </c>
      <c r="I393" s="2" t="s">
        <v>25</v>
      </c>
      <c r="J393" s="2" t="s">
        <v>1566</v>
      </c>
      <c r="K393" s="2" t="s">
        <v>192</v>
      </c>
      <c r="L393" s="2" t="s">
        <v>54</v>
      </c>
      <c r="M393" s="2" t="s">
        <v>1567</v>
      </c>
      <c r="N393" s="2" t="s">
        <v>30</v>
      </c>
      <c r="O393" s="2" t="s">
        <v>45</v>
      </c>
      <c r="P393" s="2" t="s">
        <v>1568</v>
      </c>
      <c r="Q393" s="2">
        <v>70.98</v>
      </c>
      <c r="R393" s="2">
        <v>1</v>
      </c>
      <c r="S393" s="2">
        <v>20.584199999999999</v>
      </c>
      <c r="T393" s="2" t="s">
        <v>83</v>
      </c>
      <c r="U393" s="2" t="s">
        <v>34</v>
      </c>
    </row>
    <row r="394" spans="1:21" ht="14.25" customHeight="1" x14ac:dyDescent="0.3">
      <c r="A394" s="2" t="s">
        <v>1569</v>
      </c>
      <c r="B394" s="5">
        <v>42439</v>
      </c>
      <c r="C394" s="2" t="str">
        <f>TEXT(data[[#This Row],[Order Date]],"YYYY")</f>
        <v>2016</v>
      </c>
      <c r="D394" s="2">
        <v>42445</v>
      </c>
      <c r="E394" s="2" t="s">
        <v>39</v>
      </c>
      <c r="F394" s="2" t="s">
        <v>1345</v>
      </c>
      <c r="G394" s="2" t="s">
        <v>1346</v>
      </c>
      <c r="H394" s="2" t="s">
        <v>24</v>
      </c>
      <c r="I394" s="2" t="s">
        <v>25</v>
      </c>
      <c r="J394" s="2" t="s">
        <v>730</v>
      </c>
      <c r="K394" s="2" t="s">
        <v>120</v>
      </c>
      <c r="L394" s="2" t="s">
        <v>67</v>
      </c>
      <c r="M394" s="2" t="s">
        <v>736</v>
      </c>
      <c r="N394" s="2" t="s">
        <v>30</v>
      </c>
      <c r="O394" s="2" t="s">
        <v>31</v>
      </c>
      <c r="P394" s="2" t="s">
        <v>737</v>
      </c>
      <c r="Q394" s="2">
        <v>176.78399999999999</v>
      </c>
      <c r="R394" s="2">
        <v>1</v>
      </c>
      <c r="S394" s="2">
        <v>-22.097999999999999</v>
      </c>
      <c r="T394" s="2" t="s">
        <v>129</v>
      </c>
      <c r="U394" s="2" t="s">
        <v>195</v>
      </c>
    </row>
    <row r="395" spans="1:21" ht="14.25" customHeight="1" x14ac:dyDescent="0.3">
      <c r="A395" s="2" t="s">
        <v>1570</v>
      </c>
      <c r="B395" s="5">
        <v>43098</v>
      </c>
      <c r="C395" s="2" t="str">
        <f>TEXT(data[[#This Row],[Order Date]],"YYYY")</f>
        <v>2017</v>
      </c>
      <c r="D395" s="2">
        <v>43102</v>
      </c>
      <c r="E395" s="2" t="s">
        <v>39</v>
      </c>
      <c r="F395" s="2" t="s">
        <v>1571</v>
      </c>
      <c r="G395" s="2" t="s">
        <v>1572</v>
      </c>
      <c r="H395" s="2" t="s">
        <v>24</v>
      </c>
      <c r="I395" s="2" t="s">
        <v>25</v>
      </c>
      <c r="J395" s="2" t="s">
        <v>52</v>
      </c>
      <c r="K395" s="2" t="s">
        <v>53</v>
      </c>
      <c r="L395" s="2" t="s">
        <v>54</v>
      </c>
      <c r="M395" s="2" t="s">
        <v>1028</v>
      </c>
      <c r="N395" s="2" t="s">
        <v>30</v>
      </c>
      <c r="O395" s="2" t="s">
        <v>36</v>
      </c>
      <c r="P395" s="2" t="s">
        <v>1029</v>
      </c>
      <c r="Q395" s="2">
        <v>393.56799999999998</v>
      </c>
      <c r="R395" s="2">
        <v>4</v>
      </c>
      <c r="S395" s="2">
        <v>-44.276400000000002</v>
      </c>
      <c r="T395" s="2" t="s">
        <v>83</v>
      </c>
      <c r="U395" s="2" t="s">
        <v>96</v>
      </c>
    </row>
    <row r="396" spans="1:21" ht="14.25" customHeight="1" x14ac:dyDescent="0.3">
      <c r="A396" s="2" t="s">
        <v>1573</v>
      </c>
      <c r="B396" s="5">
        <v>42068</v>
      </c>
      <c r="C396" s="2" t="str">
        <f>TEXT(data[[#This Row],[Order Date]],"YYYY")</f>
        <v>2015</v>
      </c>
      <c r="D396" s="2">
        <v>42068</v>
      </c>
      <c r="E396" s="2" t="s">
        <v>425</v>
      </c>
      <c r="F396" s="2" t="s">
        <v>1574</v>
      </c>
      <c r="G396" s="2" t="s">
        <v>1575</v>
      </c>
      <c r="H396" s="2" t="s">
        <v>24</v>
      </c>
      <c r="I396" s="2" t="s">
        <v>25</v>
      </c>
      <c r="J396" s="2" t="s">
        <v>173</v>
      </c>
      <c r="K396" s="2" t="s">
        <v>120</v>
      </c>
      <c r="L396" s="2" t="s">
        <v>67</v>
      </c>
      <c r="M396" s="2" t="s">
        <v>135</v>
      </c>
      <c r="N396" s="2" t="s">
        <v>30</v>
      </c>
      <c r="O396" s="2" t="s">
        <v>36</v>
      </c>
      <c r="P396" s="2" t="s">
        <v>136</v>
      </c>
      <c r="Q396" s="2">
        <v>383.60700000000003</v>
      </c>
      <c r="R396" s="2">
        <v>7</v>
      </c>
      <c r="S396" s="2">
        <v>63.9345</v>
      </c>
      <c r="T396" s="2" t="s">
        <v>430</v>
      </c>
      <c r="U396" s="2" t="s">
        <v>195</v>
      </c>
    </row>
    <row r="397" spans="1:21" ht="14.25" customHeight="1" x14ac:dyDescent="0.3">
      <c r="A397" s="2" t="s">
        <v>1576</v>
      </c>
      <c r="B397" s="5">
        <v>42482</v>
      </c>
      <c r="C397" s="2" t="str">
        <f>TEXT(data[[#This Row],[Order Date]],"YYYY")</f>
        <v>2016</v>
      </c>
      <c r="D397" s="2">
        <v>42486</v>
      </c>
      <c r="E397" s="2" t="s">
        <v>21</v>
      </c>
      <c r="F397" s="2" t="s">
        <v>593</v>
      </c>
      <c r="G397" s="2" t="s">
        <v>594</v>
      </c>
      <c r="H397" s="2" t="s">
        <v>24</v>
      </c>
      <c r="I397" s="2" t="s">
        <v>25</v>
      </c>
      <c r="J397" s="2" t="s">
        <v>328</v>
      </c>
      <c r="K397" s="2" t="s">
        <v>53</v>
      </c>
      <c r="L397" s="2" t="s">
        <v>54</v>
      </c>
      <c r="M397" s="2" t="s">
        <v>1577</v>
      </c>
      <c r="N397" s="2" t="s">
        <v>30</v>
      </c>
      <c r="O397" s="2" t="s">
        <v>56</v>
      </c>
      <c r="P397" s="2" t="s">
        <v>1578</v>
      </c>
      <c r="Q397" s="2">
        <v>31.56</v>
      </c>
      <c r="R397" s="2">
        <v>3</v>
      </c>
      <c r="S397" s="2">
        <v>10.4148</v>
      </c>
      <c r="T397" s="2" t="s">
        <v>83</v>
      </c>
      <c r="U397" s="2" t="s">
        <v>113</v>
      </c>
    </row>
    <row r="398" spans="1:21" ht="14.25" customHeight="1" x14ac:dyDescent="0.3">
      <c r="A398" s="2" t="s">
        <v>1579</v>
      </c>
      <c r="B398" s="5">
        <v>41933</v>
      </c>
      <c r="C398" s="2" t="str">
        <f>TEXT(data[[#This Row],[Order Date]],"YYYY")</f>
        <v>2014</v>
      </c>
      <c r="D398" s="2">
        <v>41934</v>
      </c>
      <c r="E398" s="2" t="s">
        <v>87</v>
      </c>
      <c r="F398" s="2" t="s">
        <v>79</v>
      </c>
      <c r="G398" s="2" t="s">
        <v>80</v>
      </c>
      <c r="H398" s="2" t="s">
        <v>24</v>
      </c>
      <c r="I398" s="2" t="s">
        <v>25</v>
      </c>
      <c r="J398" s="2" t="s">
        <v>1580</v>
      </c>
      <c r="K398" s="2" t="s">
        <v>231</v>
      </c>
      <c r="L398" s="2" t="s">
        <v>67</v>
      </c>
      <c r="M398" s="2" t="s">
        <v>441</v>
      </c>
      <c r="N398" s="2" t="s">
        <v>30</v>
      </c>
      <c r="O398" s="2" t="s">
        <v>45</v>
      </c>
      <c r="P398" s="2" t="s">
        <v>442</v>
      </c>
      <c r="Q398" s="2">
        <v>409.59</v>
      </c>
      <c r="R398" s="2">
        <v>3</v>
      </c>
      <c r="S398" s="2">
        <v>-122.877</v>
      </c>
      <c r="T398" s="2" t="s">
        <v>123</v>
      </c>
      <c r="U398" s="2" t="s">
        <v>48</v>
      </c>
    </row>
    <row r="399" spans="1:21" ht="14.25" customHeight="1" x14ac:dyDescent="0.3">
      <c r="A399" s="2" t="s">
        <v>1581</v>
      </c>
      <c r="B399" s="5">
        <v>41880</v>
      </c>
      <c r="C399" s="2" t="str">
        <f>TEXT(data[[#This Row],[Order Date]],"YYYY")</f>
        <v>2014</v>
      </c>
      <c r="D399" s="2">
        <v>41884</v>
      </c>
      <c r="E399" s="2" t="s">
        <v>21</v>
      </c>
      <c r="F399" s="2" t="s">
        <v>1582</v>
      </c>
      <c r="G399" s="2" t="s">
        <v>1583</v>
      </c>
      <c r="H399" s="2" t="s">
        <v>24</v>
      </c>
      <c r="I399" s="2" t="s">
        <v>25</v>
      </c>
      <c r="J399" s="2" t="s">
        <v>1006</v>
      </c>
      <c r="K399" s="2" t="s">
        <v>43</v>
      </c>
      <c r="L399" s="2" t="s">
        <v>28</v>
      </c>
      <c r="M399" s="2" t="s">
        <v>547</v>
      </c>
      <c r="N399" s="2" t="s">
        <v>30</v>
      </c>
      <c r="O399" s="2" t="s">
        <v>45</v>
      </c>
      <c r="P399" s="2" t="s">
        <v>548</v>
      </c>
      <c r="Q399" s="2">
        <v>174.05850000000001</v>
      </c>
      <c r="R399" s="2">
        <v>3</v>
      </c>
      <c r="S399" s="2">
        <v>-110.7645</v>
      </c>
      <c r="T399" s="2" t="s">
        <v>83</v>
      </c>
      <c r="U399" s="2" t="s">
        <v>253</v>
      </c>
    </row>
    <row r="400" spans="1:21" ht="14.25" customHeight="1" x14ac:dyDescent="0.3">
      <c r="A400" s="2" t="s">
        <v>1584</v>
      </c>
      <c r="B400" s="5">
        <v>43029</v>
      </c>
      <c r="C400" s="2" t="str">
        <f>TEXT(data[[#This Row],[Order Date]],"YYYY")</f>
        <v>2017</v>
      </c>
      <c r="D400" s="2">
        <v>43030</v>
      </c>
      <c r="E400" s="2" t="s">
        <v>87</v>
      </c>
      <c r="F400" s="2" t="s">
        <v>1304</v>
      </c>
      <c r="G400" s="2" t="s">
        <v>1305</v>
      </c>
      <c r="H400" s="2" t="s">
        <v>90</v>
      </c>
      <c r="I400" s="2" t="s">
        <v>25</v>
      </c>
      <c r="J400" s="2" t="s">
        <v>878</v>
      </c>
      <c r="K400" s="2" t="s">
        <v>1517</v>
      </c>
      <c r="L400" s="2" t="s">
        <v>54</v>
      </c>
      <c r="M400" s="2" t="s">
        <v>1585</v>
      </c>
      <c r="N400" s="2" t="s">
        <v>30</v>
      </c>
      <c r="O400" s="2" t="s">
        <v>36</v>
      </c>
      <c r="P400" s="2" t="s">
        <v>1586</v>
      </c>
      <c r="Q400" s="2">
        <v>478.48</v>
      </c>
      <c r="R400" s="2">
        <v>2</v>
      </c>
      <c r="S400" s="2">
        <v>47.847999999999999</v>
      </c>
      <c r="T400" s="2" t="s">
        <v>123</v>
      </c>
      <c r="U400" s="2" t="s">
        <v>48</v>
      </c>
    </row>
    <row r="401" spans="1:21" ht="14.25" customHeight="1" x14ac:dyDescent="0.3">
      <c r="A401" s="2" t="s">
        <v>1587</v>
      </c>
      <c r="B401" s="5">
        <v>42038</v>
      </c>
      <c r="C401" s="2" t="str">
        <f>TEXT(data[[#This Row],[Order Date]],"YYYY")</f>
        <v>2015</v>
      </c>
      <c r="D401" s="2">
        <v>42039</v>
      </c>
      <c r="E401" s="2" t="s">
        <v>87</v>
      </c>
      <c r="F401" s="2" t="s">
        <v>1588</v>
      </c>
      <c r="G401" s="2" t="s">
        <v>1589</v>
      </c>
      <c r="H401" s="2" t="s">
        <v>90</v>
      </c>
      <c r="I401" s="2" t="s">
        <v>25</v>
      </c>
      <c r="J401" s="2" t="s">
        <v>52</v>
      </c>
      <c r="K401" s="2" t="s">
        <v>53</v>
      </c>
      <c r="L401" s="2" t="s">
        <v>54</v>
      </c>
      <c r="M401" s="2" t="s">
        <v>1590</v>
      </c>
      <c r="N401" s="2" t="s">
        <v>30</v>
      </c>
      <c r="O401" s="2" t="s">
        <v>56</v>
      </c>
      <c r="P401" s="2" t="s">
        <v>1591</v>
      </c>
      <c r="Q401" s="2">
        <v>136.91999999999999</v>
      </c>
      <c r="R401" s="2">
        <v>4</v>
      </c>
      <c r="S401" s="2">
        <v>41.076000000000001</v>
      </c>
      <c r="T401" s="2" t="s">
        <v>123</v>
      </c>
      <c r="U401" s="2" t="s">
        <v>297</v>
      </c>
    </row>
    <row r="402" spans="1:21" ht="14.25" customHeight="1" x14ac:dyDescent="0.3">
      <c r="A402" s="2" t="s">
        <v>1592</v>
      </c>
      <c r="B402" s="5">
        <v>43087</v>
      </c>
      <c r="C402" s="2" t="str">
        <f>TEXT(data[[#This Row],[Order Date]],"YYYY")</f>
        <v>2017</v>
      </c>
      <c r="D402" s="2">
        <v>43092</v>
      </c>
      <c r="E402" s="2" t="s">
        <v>39</v>
      </c>
      <c r="F402" s="2" t="s">
        <v>1593</v>
      </c>
      <c r="G402" s="2" t="s">
        <v>1594</v>
      </c>
      <c r="H402" s="2" t="s">
        <v>24</v>
      </c>
      <c r="I402" s="2" t="s">
        <v>25</v>
      </c>
      <c r="J402" s="2" t="s">
        <v>761</v>
      </c>
      <c r="K402" s="2" t="s">
        <v>120</v>
      </c>
      <c r="L402" s="2" t="s">
        <v>67</v>
      </c>
      <c r="M402" s="2" t="s">
        <v>1595</v>
      </c>
      <c r="N402" s="2" t="s">
        <v>30</v>
      </c>
      <c r="O402" s="2" t="s">
        <v>56</v>
      </c>
      <c r="P402" s="2" t="s">
        <v>1596</v>
      </c>
      <c r="Q402" s="2">
        <v>18.96</v>
      </c>
      <c r="R402" s="2">
        <v>2</v>
      </c>
      <c r="S402" s="2">
        <v>8.532</v>
      </c>
      <c r="T402" s="2" t="s">
        <v>58</v>
      </c>
      <c r="U402" s="2" t="s">
        <v>96</v>
      </c>
    </row>
    <row r="403" spans="1:21" ht="14.25" customHeight="1" x14ac:dyDescent="0.3">
      <c r="A403" s="2" t="s">
        <v>1597</v>
      </c>
      <c r="B403" s="5">
        <v>42964</v>
      </c>
      <c r="C403" s="2" t="str">
        <f>TEXT(data[[#This Row],[Order Date]],"YYYY")</f>
        <v>2017</v>
      </c>
      <c r="D403" s="2">
        <v>42966</v>
      </c>
      <c r="E403" s="2" t="s">
        <v>87</v>
      </c>
      <c r="F403" s="2" t="s">
        <v>1598</v>
      </c>
      <c r="G403" s="2" t="s">
        <v>1599</v>
      </c>
      <c r="H403" s="2" t="s">
        <v>90</v>
      </c>
      <c r="I403" s="2" t="s">
        <v>25</v>
      </c>
      <c r="J403" s="2" t="s">
        <v>1365</v>
      </c>
      <c r="K403" s="2" t="s">
        <v>120</v>
      </c>
      <c r="L403" s="2" t="s">
        <v>67</v>
      </c>
      <c r="M403" s="2" t="s">
        <v>1600</v>
      </c>
      <c r="N403" s="2" t="s">
        <v>30</v>
      </c>
      <c r="O403" s="2" t="s">
        <v>36</v>
      </c>
      <c r="P403" s="2" t="s">
        <v>1601</v>
      </c>
      <c r="Q403" s="2">
        <v>462.56400000000002</v>
      </c>
      <c r="R403" s="2">
        <v>2</v>
      </c>
      <c r="S403" s="2">
        <v>97.6524</v>
      </c>
      <c r="T403" s="2" t="s">
        <v>70</v>
      </c>
      <c r="U403" s="2" t="s">
        <v>253</v>
      </c>
    </row>
    <row r="404" spans="1:21" ht="14.25" customHeight="1" x14ac:dyDescent="0.3">
      <c r="A404" s="2" t="s">
        <v>1602</v>
      </c>
      <c r="B404" s="5">
        <v>42953</v>
      </c>
      <c r="C404" s="2" t="str">
        <f>TEXT(data[[#This Row],[Order Date]],"YYYY")</f>
        <v>2017</v>
      </c>
      <c r="D404" s="2">
        <v>42957</v>
      </c>
      <c r="E404" s="2" t="s">
        <v>21</v>
      </c>
      <c r="F404" s="2" t="s">
        <v>739</v>
      </c>
      <c r="G404" s="2" t="s">
        <v>740</v>
      </c>
      <c r="H404" s="2" t="s">
        <v>24</v>
      </c>
      <c r="I404" s="2" t="s">
        <v>25</v>
      </c>
      <c r="J404" s="2" t="s">
        <v>1405</v>
      </c>
      <c r="K404" s="2" t="s">
        <v>1406</v>
      </c>
      <c r="L404" s="2" t="s">
        <v>28</v>
      </c>
      <c r="M404" s="2" t="s">
        <v>1603</v>
      </c>
      <c r="N404" s="2" t="s">
        <v>30</v>
      </c>
      <c r="O404" s="2" t="s">
        <v>31</v>
      </c>
      <c r="P404" s="2" t="s">
        <v>1604</v>
      </c>
      <c r="Q404" s="2">
        <v>145.74</v>
      </c>
      <c r="R404" s="2">
        <v>3</v>
      </c>
      <c r="S404" s="2">
        <v>23.3184</v>
      </c>
      <c r="T404" s="2" t="s">
        <v>83</v>
      </c>
      <c r="U404" s="2" t="s">
        <v>253</v>
      </c>
    </row>
    <row r="405" spans="1:21" ht="14.25" customHeight="1" x14ac:dyDescent="0.3">
      <c r="A405" s="2" t="s">
        <v>1602</v>
      </c>
      <c r="B405" s="5">
        <v>42953</v>
      </c>
      <c r="C405" s="2" t="str">
        <f>TEXT(data[[#This Row],[Order Date]],"YYYY")</f>
        <v>2017</v>
      </c>
      <c r="D405" s="2">
        <v>42957</v>
      </c>
      <c r="E405" s="2" t="s">
        <v>21</v>
      </c>
      <c r="F405" s="2" t="s">
        <v>739</v>
      </c>
      <c r="G405" s="2" t="s">
        <v>740</v>
      </c>
      <c r="H405" s="2" t="s">
        <v>24</v>
      </c>
      <c r="I405" s="2" t="s">
        <v>25</v>
      </c>
      <c r="J405" s="2" t="s">
        <v>1405</v>
      </c>
      <c r="K405" s="2" t="s">
        <v>1406</v>
      </c>
      <c r="L405" s="2" t="s">
        <v>28</v>
      </c>
      <c r="M405" s="2" t="s">
        <v>111</v>
      </c>
      <c r="N405" s="2" t="s">
        <v>30</v>
      </c>
      <c r="O405" s="2" t="s">
        <v>56</v>
      </c>
      <c r="P405" s="2" t="s">
        <v>112</v>
      </c>
      <c r="Q405" s="2">
        <v>15.4</v>
      </c>
      <c r="R405" s="2">
        <v>5</v>
      </c>
      <c r="S405" s="2">
        <v>7.3920000000000003</v>
      </c>
      <c r="T405" s="2" t="s">
        <v>83</v>
      </c>
      <c r="U405" s="2" t="s">
        <v>253</v>
      </c>
    </row>
    <row r="406" spans="1:21" ht="14.25" customHeight="1" x14ac:dyDescent="0.3">
      <c r="A406" s="2" t="s">
        <v>1605</v>
      </c>
      <c r="B406" s="5">
        <v>42149</v>
      </c>
      <c r="C406" s="2" t="str">
        <f>TEXT(data[[#This Row],[Order Date]],"YYYY")</f>
        <v>2015</v>
      </c>
      <c r="D406" s="2">
        <v>42151</v>
      </c>
      <c r="E406" s="2" t="s">
        <v>21</v>
      </c>
      <c r="F406" s="2" t="s">
        <v>1606</v>
      </c>
      <c r="G406" s="2" t="s">
        <v>1607</v>
      </c>
      <c r="H406" s="2" t="s">
        <v>100</v>
      </c>
      <c r="I406" s="2" t="s">
        <v>25</v>
      </c>
      <c r="J406" s="2" t="s">
        <v>328</v>
      </c>
      <c r="K406" s="2" t="s">
        <v>53</v>
      </c>
      <c r="L406" s="2" t="s">
        <v>54</v>
      </c>
      <c r="M406" s="2" t="s">
        <v>1099</v>
      </c>
      <c r="N406" s="2" t="s">
        <v>30</v>
      </c>
      <c r="O406" s="2" t="s">
        <v>56</v>
      </c>
      <c r="P406" s="2" t="s">
        <v>1100</v>
      </c>
      <c r="Q406" s="2">
        <v>14.73</v>
      </c>
      <c r="R406" s="2">
        <v>3</v>
      </c>
      <c r="S406" s="2">
        <v>4.8609</v>
      </c>
      <c r="T406" s="2" t="s">
        <v>70</v>
      </c>
      <c r="U406" s="2" t="s">
        <v>161</v>
      </c>
    </row>
    <row r="407" spans="1:21" ht="14.25" customHeight="1" x14ac:dyDescent="0.3">
      <c r="A407" s="2" t="s">
        <v>1608</v>
      </c>
      <c r="B407" s="5">
        <v>42559</v>
      </c>
      <c r="C407" s="2" t="str">
        <f>TEXT(data[[#This Row],[Order Date]],"YYYY")</f>
        <v>2016</v>
      </c>
      <c r="D407" s="2">
        <v>42563</v>
      </c>
      <c r="E407" s="2" t="s">
        <v>39</v>
      </c>
      <c r="F407" s="2" t="s">
        <v>1609</v>
      </c>
      <c r="G407" s="2" t="s">
        <v>1610</v>
      </c>
      <c r="H407" s="2" t="s">
        <v>24</v>
      </c>
      <c r="I407" s="2" t="s">
        <v>25</v>
      </c>
      <c r="J407" s="2" t="s">
        <v>1611</v>
      </c>
      <c r="K407" s="2" t="s">
        <v>180</v>
      </c>
      <c r="L407" s="2" t="s">
        <v>54</v>
      </c>
      <c r="M407" s="2" t="s">
        <v>246</v>
      </c>
      <c r="N407" s="2" t="s">
        <v>30</v>
      </c>
      <c r="O407" s="2" t="s">
        <v>36</v>
      </c>
      <c r="P407" s="2" t="s">
        <v>247</v>
      </c>
      <c r="Q407" s="2">
        <v>662.88</v>
      </c>
      <c r="R407" s="2">
        <v>3</v>
      </c>
      <c r="S407" s="2">
        <v>74.573999999999998</v>
      </c>
      <c r="T407" s="2" t="s">
        <v>83</v>
      </c>
      <c r="U407" s="2" t="s">
        <v>71</v>
      </c>
    </row>
    <row r="408" spans="1:21" ht="14.25" customHeight="1" x14ac:dyDescent="0.3">
      <c r="A408" s="2" t="s">
        <v>1612</v>
      </c>
      <c r="B408" s="5">
        <v>42980</v>
      </c>
      <c r="C408" s="2" t="str">
        <f>TEXT(data[[#This Row],[Order Date]],"YYYY")</f>
        <v>2017</v>
      </c>
      <c r="D408" s="2">
        <v>42984</v>
      </c>
      <c r="E408" s="2" t="s">
        <v>39</v>
      </c>
      <c r="F408" s="2" t="s">
        <v>1613</v>
      </c>
      <c r="G408" s="2" t="s">
        <v>1614</v>
      </c>
      <c r="H408" s="2" t="s">
        <v>90</v>
      </c>
      <c r="I408" s="2" t="s">
        <v>25</v>
      </c>
      <c r="J408" s="2" t="s">
        <v>173</v>
      </c>
      <c r="K408" s="2" t="s">
        <v>120</v>
      </c>
      <c r="L408" s="2" t="s">
        <v>67</v>
      </c>
      <c r="M408" s="2" t="s">
        <v>1496</v>
      </c>
      <c r="N408" s="2" t="s">
        <v>30</v>
      </c>
      <c r="O408" s="2" t="s">
        <v>56</v>
      </c>
      <c r="P408" s="2" t="s">
        <v>1497</v>
      </c>
      <c r="Q408" s="2">
        <v>11.54</v>
      </c>
      <c r="R408" s="2">
        <v>2</v>
      </c>
      <c r="S408" s="2">
        <v>3.4620000000000002</v>
      </c>
      <c r="T408" s="2" t="s">
        <v>83</v>
      </c>
      <c r="U408" s="2" t="s">
        <v>77</v>
      </c>
    </row>
    <row r="409" spans="1:21" ht="14.25" customHeight="1" x14ac:dyDescent="0.3">
      <c r="A409" s="2" t="s">
        <v>1612</v>
      </c>
      <c r="B409" s="5">
        <v>42980</v>
      </c>
      <c r="C409" s="2" t="str">
        <f>TEXT(data[[#This Row],[Order Date]],"YYYY")</f>
        <v>2017</v>
      </c>
      <c r="D409" s="2">
        <v>42984</v>
      </c>
      <c r="E409" s="2" t="s">
        <v>39</v>
      </c>
      <c r="F409" s="2" t="s">
        <v>1613</v>
      </c>
      <c r="G409" s="2" t="s">
        <v>1614</v>
      </c>
      <c r="H409" s="2" t="s">
        <v>90</v>
      </c>
      <c r="I409" s="2" t="s">
        <v>25</v>
      </c>
      <c r="J409" s="2" t="s">
        <v>173</v>
      </c>
      <c r="K409" s="2" t="s">
        <v>120</v>
      </c>
      <c r="L409" s="2" t="s">
        <v>67</v>
      </c>
      <c r="M409" s="2" t="s">
        <v>521</v>
      </c>
      <c r="N409" s="2" t="s">
        <v>30</v>
      </c>
      <c r="O409" s="2" t="s">
        <v>45</v>
      </c>
      <c r="P409" s="2" t="s">
        <v>522</v>
      </c>
      <c r="Q409" s="2">
        <v>254.52600000000001</v>
      </c>
      <c r="R409" s="2">
        <v>1</v>
      </c>
      <c r="S409" s="2">
        <v>-93.3262</v>
      </c>
      <c r="T409" s="2" t="s">
        <v>83</v>
      </c>
      <c r="U409" s="2" t="s">
        <v>77</v>
      </c>
    </row>
    <row r="410" spans="1:21" ht="14.25" customHeight="1" x14ac:dyDescent="0.3">
      <c r="A410" s="2" t="s">
        <v>1612</v>
      </c>
      <c r="B410" s="5">
        <v>42980</v>
      </c>
      <c r="C410" s="2" t="str">
        <f>TEXT(data[[#This Row],[Order Date]],"YYYY")</f>
        <v>2017</v>
      </c>
      <c r="D410" s="2">
        <v>42984</v>
      </c>
      <c r="E410" s="2" t="s">
        <v>39</v>
      </c>
      <c r="F410" s="2" t="s">
        <v>1613</v>
      </c>
      <c r="G410" s="2" t="s">
        <v>1614</v>
      </c>
      <c r="H410" s="2" t="s">
        <v>90</v>
      </c>
      <c r="I410" s="2" t="s">
        <v>25</v>
      </c>
      <c r="J410" s="2" t="s">
        <v>173</v>
      </c>
      <c r="K410" s="2" t="s">
        <v>120</v>
      </c>
      <c r="L410" s="2" t="s">
        <v>67</v>
      </c>
      <c r="M410" s="2" t="s">
        <v>575</v>
      </c>
      <c r="N410" s="2" t="s">
        <v>30</v>
      </c>
      <c r="O410" s="2" t="s">
        <v>36</v>
      </c>
      <c r="P410" s="2" t="s">
        <v>576</v>
      </c>
      <c r="Q410" s="2">
        <v>1282.4100000000001</v>
      </c>
      <c r="R410" s="2">
        <v>5</v>
      </c>
      <c r="S410" s="2">
        <v>213.73500000000001</v>
      </c>
      <c r="T410" s="2" t="s">
        <v>83</v>
      </c>
      <c r="U410" s="2" t="s">
        <v>77</v>
      </c>
    </row>
    <row r="411" spans="1:21" ht="14.25" customHeight="1" x14ac:dyDescent="0.3">
      <c r="A411" s="2" t="s">
        <v>1615</v>
      </c>
      <c r="B411" s="5">
        <v>41930</v>
      </c>
      <c r="C411" s="2" t="str">
        <f>TEXT(data[[#This Row],[Order Date]],"YYYY")</f>
        <v>2014</v>
      </c>
      <c r="D411" s="2">
        <v>41932</v>
      </c>
      <c r="E411" s="2" t="s">
        <v>21</v>
      </c>
      <c r="F411" s="2" t="s">
        <v>371</v>
      </c>
      <c r="G411" s="2" t="s">
        <v>372</v>
      </c>
      <c r="H411" s="2" t="s">
        <v>90</v>
      </c>
      <c r="I411" s="2" t="s">
        <v>25</v>
      </c>
      <c r="J411" s="2" t="s">
        <v>1616</v>
      </c>
      <c r="K411" s="2" t="s">
        <v>1276</v>
      </c>
      <c r="L411" s="2" t="s">
        <v>28</v>
      </c>
      <c r="M411" s="2" t="s">
        <v>1617</v>
      </c>
      <c r="N411" s="2" t="s">
        <v>30</v>
      </c>
      <c r="O411" s="2" t="s">
        <v>36</v>
      </c>
      <c r="P411" s="2" t="s">
        <v>1618</v>
      </c>
      <c r="Q411" s="2">
        <v>545.88</v>
      </c>
      <c r="R411" s="2">
        <v>6</v>
      </c>
      <c r="S411" s="2">
        <v>70.964399999999998</v>
      </c>
      <c r="T411" s="2" t="s">
        <v>70</v>
      </c>
      <c r="U411" s="2" t="s">
        <v>48</v>
      </c>
    </row>
    <row r="412" spans="1:21" ht="14.25" customHeight="1" x14ac:dyDescent="0.3">
      <c r="A412" s="2" t="s">
        <v>1619</v>
      </c>
      <c r="B412" s="5">
        <v>42474</v>
      </c>
      <c r="C412" s="2" t="str">
        <f>TEXT(data[[#This Row],[Order Date]],"YYYY")</f>
        <v>2016</v>
      </c>
      <c r="D412" s="2">
        <v>42474</v>
      </c>
      <c r="E412" s="2" t="s">
        <v>425</v>
      </c>
      <c r="F412" s="2" t="s">
        <v>1215</v>
      </c>
      <c r="G412" s="2" t="s">
        <v>1216</v>
      </c>
      <c r="H412" s="2" t="s">
        <v>24</v>
      </c>
      <c r="I412" s="2" t="s">
        <v>25</v>
      </c>
      <c r="J412" s="2" t="s">
        <v>1302</v>
      </c>
      <c r="K412" s="2" t="s">
        <v>520</v>
      </c>
      <c r="L412" s="2" t="s">
        <v>54</v>
      </c>
      <c r="M412" s="2" t="s">
        <v>381</v>
      </c>
      <c r="N412" s="2" t="s">
        <v>30</v>
      </c>
      <c r="O412" s="2" t="s">
        <v>36</v>
      </c>
      <c r="P412" s="2" t="s">
        <v>382</v>
      </c>
      <c r="Q412" s="2">
        <v>933.53599999999994</v>
      </c>
      <c r="R412" s="2">
        <v>4</v>
      </c>
      <c r="S412" s="2">
        <v>105.0228</v>
      </c>
      <c r="T412" s="2" t="s">
        <v>430</v>
      </c>
      <c r="U412" s="2" t="s">
        <v>113</v>
      </c>
    </row>
    <row r="413" spans="1:21" ht="14.25" customHeight="1" x14ac:dyDescent="0.3">
      <c r="A413" s="2" t="s">
        <v>1620</v>
      </c>
      <c r="B413" s="5">
        <v>41968</v>
      </c>
      <c r="C413" s="2" t="str">
        <f>TEXT(data[[#This Row],[Order Date]],"YYYY")</f>
        <v>2014</v>
      </c>
      <c r="D413" s="2">
        <v>41970</v>
      </c>
      <c r="E413" s="2" t="s">
        <v>21</v>
      </c>
      <c r="F413" s="2" t="s">
        <v>1621</v>
      </c>
      <c r="G413" s="2" t="s">
        <v>1622</v>
      </c>
      <c r="H413" s="2" t="s">
        <v>90</v>
      </c>
      <c r="I413" s="2" t="s">
        <v>25</v>
      </c>
      <c r="J413" s="2" t="s">
        <v>1623</v>
      </c>
      <c r="K413" s="2" t="s">
        <v>53</v>
      </c>
      <c r="L413" s="2" t="s">
        <v>54</v>
      </c>
      <c r="M413" s="2" t="s">
        <v>927</v>
      </c>
      <c r="N413" s="2" t="s">
        <v>30</v>
      </c>
      <c r="O413" s="2" t="s">
        <v>56</v>
      </c>
      <c r="P413" s="2" t="s">
        <v>316</v>
      </c>
      <c r="Q413" s="2">
        <v>23.88</v>
      </c>
      <c r="R413" s="2">
        <v>3</v>
      </c>
      <c r="S413" s="2">
        <v>10.507199999999999</v>
      </c>
      <c r="T413" s="2" t="s">
        <v>70</v>
      </c>
      <c r="U413" s="2" t="s">
        <v>34</v>
      </c>
    </row>
    <row r="414" spans="1:21" ht="14.25" customHeight="1" x14ac:dyDescent="0.3">
      <c r="A414" s="2" t="s">
        <v>1624</v>
      </c>
      <c r="B414" s="5">
        <v>42317</v>
      </c>
      <c r="C414" s="2" t="str">
        <f>TEXT(data[[#This Row],[Order Date]],"YYYY")</f>
        <v>2015</v>
      </c>
      <c r="D414" s="2">
        <v>42321</v>
      </c>
      <c r="E414" s="2" t="s">
        <v>39</v>
      </c>
      <c r="F414" s="2" t="s">
        <v>1625</v>
      </c>
      <c r="G414" s="2" t="s">
        <v>1626</v>
      </c>
      <c r="H414" s="2" t="s">
        <v>24</v>
      </c>
      <c r="I414" s="2" t="s">
        <v>25</v>
      </c>
      <c r="J414" s="2" t="s">
        <v>878</v>
      </c>
      <c r="K414" s="2" t="s">
        <v>565</v>
      </c>
      <c r="L414" s="2" t="s">
        <v>93</v>
      </c>
      <c r="M414" s="2" t="s">
        <v>1627</v>
      </c>
      <c r="N414" s="2" t="s">
        <v>30</v>
      </c>
      <c r="O414" s="2" t="s">
        <v>45</v>
      </c>
      <c r="P414" s="2" t="s">
        <v>1628</v>
      </c>
      <c r="Q414" s="2">
        <v>1024.3800000000001</v>
      </c>
      <c r="R414" s="2">
        <v>7</v>
      </c>
      <c r="S414" s="2">
        <v>215.1198</v>
      </c>
      <c r="T414" s="2" t="s">
        <v>83</v>
      </c>
      <c r="U414" s="2" t="s">
        <v>34</v>
      </c>
    </row>
    <row r="415" spans="1:21" ht="14.25" customHeight="1" x14ac:dyDescent="0.3">
      <c r="A415" s="2" t="s">
        <v>1629</v>
      </c>
      <c r="B415" s="5">
        <v>43071</v>
      </c>
      <c r="C415" s="2" t="str">
        <f>TEXT(data[[#This Row],[Order Date]],"YYYY")</f>
        <v>2017</v>
      </c>
      <c r="D415" s="2">
        <v>43073</v>
      </c>
      <c r="E415" s="2" t="s">
        <v>21</v>
      </c>
      <c r="F415" s="2" t="s">
        <v>1630</v>
      </c>
      <c r="G415" s="2" t="s">
        <v>1631</v>
      </c>
      <c r="H415" s="2" t="s">
        <v>24</v>
      </c>
      <c r="I415" s="2" t="s">
        <v>25</v>
      </c>
      <c r="J415" s="2" t="s">
        <v>101</v>
      </c>
      <c r="K415" s="2" t="s">
        <v>92</v>
      </c>
      <c r="L415" s="2" t="s">
        <v>93</v>
      </c>
      <c r="M415" s="2" t="s">
        <v>620</v>
      </c>
      <c r="N415" s="2" t="s">
        <v>30</v>
      </c>
      <c r="O415" s="2" t="s">
        <v>56</v>
      </c>
      <c r="P415" s="2" t="s">
        <v>621</v>
      </c>
      <c r="Q415" s="2">
        <v>8.7520000000000007</v>
      </c>
      <c r="R415" s="2">
        <v>4</v>
      </c>
      <c r="S415" s="2">
        <v>-3.7195999999999998</v>
      </c>
      <c r="T415" s="2" t="s">
        <v>70</v>
      </c>
      <c r="U415" s="2" t="s">
        <v>96</v>
      </c>
    </row>
    <row r="416" spans="1:21" ht="14.25" customHeight="1" x14ac:dyDescent="0.3">
      <c r="A416" s="2" t="s">
        <v>1632</v>
      </c>
      <c r="B416" s="5">
        <v>43094</v>
      </c>
      <c r="C416" s="2" t="str">
        <f>TEXT(data[[#This Row],[Order Date]],"YYYY")</f>
        <v>2017</v>
      </c>
      <c r="D416" s="2">
        <v>43097</v>
      </c>
      <c r="E416" s="2" t="s">
        <v>21</v>
      </c>
      <c r="F416" s="2" t="s">
        <v>1468</v>
      </c>
      <c r="G416" s="2" t="s">
        <v>1469</v>
      </c>
      <c r="H416" s="2" t="s">
        <v>24</v>
      </c>
      <c r="I416" s="2" t="s">
        <v>25</v>
      </c>
      <c r="J416" s="2" t="s">
        <v>865</v>
      </c>
      <c r="K416" s="2" t="s">
        <v>27</v>
      </c>
      <c r="L416" s="2" t="s">
        <v>28</v>
      </c>
      <c r="M416" s="2" t="s">
        <v>135</v>
      </c>
      <c r="N416" s="2" t="s">
        <v>30</v>
      </c>
      <c r="O416" s="2" t="s">
        <v>36</v>
      </c>
      <c r="P416" s="2" t="s">
        <v>136</v>
      </c>
      <c r="Q416" s="2">
        <v>304.45</v>
      </c>
      <c r="R416" s="2">
        <v>5</v>
      </c>
      <c r="S416" s="2">
        <v>76.112499999999997</v>
      </c>
      <c r="T416" s="2" t="s">
        <v>33</v>
      </c>
      <c r="U416" s="2" t="s">
        <v>96</v>
      </c>
    </row>
    <row r="417" spans="1:21" ht="14.25" customHeight="1" x14ac:dyDescent="0.3">
      <c r="A417" s="2" t="s">
        <v>1633</v>
      </c>
      <c r="B417" s="5">
        <v>42950</v>
      </c>
      <c r="C417" s="2" t="str">
        <f>TEXT(data[[#This Row],[Order Date]],"YYYY")</f>
        <v>2017</v>
      </c>
      <c r="D417" s="2">
        <v>42951</v>
      </c>
      <c r="E417" s="2" t="s">
        <v>87</v>
      </c>
      <c r="F417" s="2" t="s">
        <v>1634</v>
      </c>
      <c r="G417" s="2" t="s">
        <v>1635</v>
      </c>
      <c r="H417" s="2" t="s">
        <v>24</v>
      </c>
      <c r="I417" s="2" t="s">
        <v>25</v>
      </c>
      <c r="J417" s="2" t="s">
        <v>133</v>
      </c>
      <c r="K417" s="2" t="s">
        <v>134</v>
      </c>
      <c r="L417" s="2" t="s">
        <v>93</v>
      </c>
      <c r="M417" s="2" t="s">
        <v>1636</v>
      </c>
      <c r="N417" s="2" t="s">
        <v>30</v>
      </c>
      <c r="O417" s="2" t="s">
        <v>31</v>
      </c>
      <c r="P417" s="2" t="s">
        <v>1637</v>
      </c>
      <c r="Q417" s="2">
        <v>183.37200000000001</v>
      </c>
      <c r="R417" s="2">
        <v>2</v>
      </c>
      <c r="S417" s="2">
        <v>-36.674399999999999</v>
      </c>
      <c r="T417" s="2" t="s">
        <v>123</v>
      </c>
      <c r="U417" s="2" t="s">
        <v>253</v>
      </c>
    </row>
    <row r="418" spans="1:21" ht="14.25" customHeight="1" x14ac:dyDescent="0.3">
      <c r="A418" s="2" t="s">
        <v>1638</v>
      </c>
      <c r="B418" s="5">
        <v>42631</v>
      </c>
      <c r="C418" s="2" t="str">
        <f>TEXT(data[[#This Row],[Order Date]],"YYYY")</f>
        <v>2016</v>
      </c>
      <c r="D418" s="2">
        <v>42636</v>
      </c>
      <c r="E418" s="2" t="s">
        <v>39</v>
      </c>
      <c r="F418" s="2" t="s">
        <v>1639</v>
      </c>
      <c r="G418" s="2" t="s">
        <v>1640</v>
      </c>
      <c r="H418" s="2" t="s">
        <v>24</v>
      </c>
      <c r="I418" s="2" t="s">
        <v>25</v>
      </c>
      <c r="J418" s="2" t="s">
        <v>952</v>
      </c>
      <c r="K418" s="2" t="s">
        <v>1276</v>
      </c>
      <c r="L418" s="2" t="s">
        <v>28</v>
      </c>
      <c r="M418" s="2" t="s">
        <v>1486</v>
      </c>
      <c r="N418" s="2" t="s">
        <v>30</v>
      </c>
      <c r="O418" s="2" t="s">
        <v>36</v>
      </c>
      <c r="P418" s="2" t="s">
        <v>1487</v>
      </c>
      <c r="Q418" s="2">
        <v>350.98</v>
      </c>
      <c r="R418" s="2">
        <v>1</v>
      </c>
      <c r="S418" s="2">
        <v>84.235200000000006</v>
      </c>
      <c r="T418" s="2" t="s">
        <v>58</v>
      </c>
      <c r="U418" s="2" t="s">
        <v>77</v>
      </c>
    </row>
    <row r="419" spans="1:21" ht="14.25" customHeight="1" x14ac:dyDescent="0.3">
      <c r="A419" s="2" t="s">
        <v>1641</v>
      </c>
      <c r="B419" s="5">
        <v>42632</v>
      </c>
      <c r="C419" s="2" t="str">
        <f>TEXT(data[[#This Row],[Order Date]],"YYYY")</f>
        <v>2016</v>
      </c>
      <c r="D419" s="2">
        <v>42634</v>
      </c>
      <c r="E419" s="2" t="s">
        <v>87</v>
      </c>
      <c r="F419" s="2" t="s">
        <v>1642</v>
      </c>
      <c r="G419" s="2" t="s">
        <v>1643</v>
      </c>
      <c r="H419" s="2" t="s">
        <v>100</v>
      </c>
      <c r="I419" s="2" t="s">
        <v>25</v>
      </c>
      <c r="J419" s="2" t="s">
        <v>1644</v>
      </c>
      <c r="K419" s="2" t="s">
        <v>1645</v>
      </c>
      <c r="L419" s="2" t="s">
        <v>67</v>
      </c>
      <c r="M419" s="2" t="s">
        <v>816</v>
      </c>
      <c r="N419" s="2" t="s">
        <v>30</v>
      </c>
      <c r="O419" s="2" t="s">
        <v>36</v>
      </c>
      <c r="P419" s="2" t="s">
        <v>817</v>
      </c>
      <c r="Q419" s="2">
        <v>872.32</v>
      </c>
      <c r="R419" s="2">
        <v>4</v>
      </c>
      <c r="S419" s="2">
        <v>244.24959999999999</v>
      </c>
      <c r="T419" s="2" t="s">
        <v>70</v>
      </c>
      <c r="U419" s="2" t="s">
        <v>77</v>
      </c>
    </row>
    <row r="420" spans="1:21" ht="14.25" customHeight="1" x14ac:dyDescent="0.3">
      <c r="A420" s="2" t="s">
        <v>1646</v>
      </c>
      <c r="B420" s="5">
        <v>42076</v>
      </c>
      <c r="C420" s="2" t="str">
        <f>TEXT(data[[#This Row],[Order Date]],"YYYY")</f>
        <v>2015</v>
      </c>
      <c r="D420" s="2">
        <v>42078</v>
      </c>
      <c r="E420" s="2" t="s">
        <v>87</v>
      </c>
      <c r="F420" s="2" t="s">
        <v>1403</v>
      </c>
      <c r="G420" s="2" t="s">
        <v>1404</v>
      </c>
      <c r="H420" s="2" t="s">
        <v>24</v>
      </c>
      <c r="I420" s="2" t="s">
        <v>25</v>
      </c>
      <c r="J420" s="2" t="s">
        <v>191</v>
      </c>
      <c r="K420" s="2" t="s">
        <v>192</v>
      </c>
      <c r="L420" s="2" t="s">
        <v>54</v>
      </c>
      <c r="M420" s="2" t="s">
        <v>810</v>
      </c>
      <c r="N420" s="2" t="s">
        <v>30</v>
      </c>
      <c r="O420" s="2" t="s">
        <v>31</v>
      </c>
      <c r="P420" s="2" t="s">
        <v>811</v>
      </c>
      <c r="Q420" s="2">
        <v>141.96</v>
      </c>
      <c r="R420" s="2">
        <v>2</v>
      </c>
      <c r="S420" s="2">
        <v>39.748800000000003</v>
      </c>
      <c r="T420" s="2" t="s">
        <v>70</v>
      </c>
      <c r="U420" s="2" t="s">
        <v>195</v>
      </c>
    </row>
    <row r="421" spans="1:21" ht="14.25" customHeight="1" x14ac:dyDescent="0.3">
      <c r="A421" s="2" t="s">
        <v>1647</v>
      </c>
      <c r="B421" s="5">
        <v>43003</v>
      </c>
      <c r="C421" s="2" t="str">
        <f>TEXT(data[[#This Row],[Order Date]],"YYYY")</f>
        <v>2017</v>
      </c>
      <c r="D421" s="2">
        <v>43007</v>
      </c>
      <c r="E421" s="2" t="s">
        <v>39</v>
      </c>
      <c r="F421" s="2" t="s">
        <v>1648</v>
      </c>
      <c r="G421" s="2" t="s">
        <v>1649</v>
      </c>
      <c r="H421" s="2" t="s">
        <v>24</v>
      </c>
      <c r="I421" s="2" t="s">
        <v>25</v>
      </c>
      <c r="J421" s="2" t="s">
        <v>894</v>
      </c>
      <c r="K421" s="2" t="s">
        <v>166</v>
      </c>
      <c r="L421" s="2" t="s">
        <v>93</v>
      </c>
      <c r="M421" s="2" t="s">
        <v>114</v>
      </c>
      <c r="N421" s="2" t="s">
        <v>30</v>
      </c>
      <c r="O421" s="2" t="s">
        <v>36</v>
      </c>
      <c r="P421" s="2" t="s">
        <v>115</v>
      </c>
      <c r="Q421" s="2">
        <v>269.97000000000003</v>
      </c>
      <c r="R421" s="2">
        <v>3</v>
      </c>
      <c r="S421" s="2">
        <v>51.2943</v>
      </c>
      <c r="T421" s="2" t="s">
        <v>83</v>
      </c>
      <c r="U421" s="2" t="s">
        <v>77</v>
      </c>
    </row>
    <row r="422" spans="1:21" ht="14.25" customHeight="1" x14ac:dyDescent="0.3">
      <c r="A422" s="2" t="s">
        <v>1650</v>
      </c>
      <c r="B422" s="5">
        <v>42173</v>
      </c>
      <c r="C422" s="2" t="str">
        <f>TEXT(data[[#This Row],[Order Date]],"YYYY")</f>
        <v>2015</v>
      </c>
      <c r="D422" s="2">
        <v>42178</v>
      </c>
      <c r="E422" s="2" t="s">
        <v>39</v>
      </c>
      <c r="F422" s="2" t="s">
        <v>1651</v>
      </c>
      <c r="G422" s="2" t="s">
        <v>1652</v>
      </c>
      <c r="H422" s="2" t="s">
        <v>100</v>
      </c>
      <c r="I422" s="2" t="s">
        <v>25</v>
      </c>
      <c r="J422" s="2" t="s">
        <v>1379</v>
      </c>
      <c r="K422" s="2" t="s">
        <v>520</v>
      </c>
      <c r="L422" s="2" t="s">
        <v>54</v>
      </c>
      <c r="M422" s="2" t="s">
        <v>1542</v>
      </c>
      <c r="N422" s="2" t="s">
        <v>30</v>
      </c>
      <c r="O422" s="2" t="s">
        <v>56</v>
      </c>
      <c r="P422" s="2" t="s">
        <v>1543</v>
      </c>
      <c r="Q422" s="2">
        <v>75.36</v>
      </c>
      <c r="R422" s="2">
        <v>5</v>
      </c>
      <c r="S422" s="2">
        <v>20.724</v>
      </c>
      <c r="T422" s="2" t="s">
        <v>58</v>
      </c>
      <c r="U422" s="2" t="s">
        <v>59</v>
      </c>
    </row>
    <row r="423" spans="1:21" ht="14.25" customHeight="1" x14ac:dyDescent="0.3">
      <c r="A423" s="2" t="s">
        <v>1653</v>
      </c>
      <c r="B423" s="5">
        <v>42196</v>
      </c>
      <c r="C423" s="2" t="str">
        <f>TEXT(data[[#This Row],[Order Date]],"YYYY")</f>
        <v>2015</v>
      </c>
      <c r="D423" s="2">
        <v>42198</v>
      </c>
      <c r="E423" s="2" t="s">
        <v>87</v>
      </c>
      <c r="F423" s="2" t="s">
        <v>1654</v>
      </c>
      <c r="G423" s="2" t="s">
        <v>1655</v>
      </c>
      <c r="H423" s="2" t="s">
        <v>24</v>
      </c>
      <c r="I423" s="2" t="s">
        <v>25</v>
      </c>
      <c r="J423" s="2" t="s">
        <v>65</v>
      </c>
      <c r="K423" s="2" t="s">
        <v>66</v>
      </c>
      <c r="L423" s="2" t="s">
        <v>67</v>
      </c>
      <c r="M423" s="2" t="s">
        <v>84</v>
      </c>
      <c r="N423" s="2" t="s">
        <v>30</v>
      </c>
      <c r="O423" s="2" t="s">
        <v>56</v>
      </c>
      <c r="P423" s="2" t="s">
        <v>85</v>
      </c>
      <c r="Q423" s="2">
        <v>289.8</v>
      </c>
      <c r="R423" s="2">
        <v>7</v>
      </c>
      <c r="S423" s="2">
        <v>36.225000000000001</v>
      </c>
      <c r="T423" s="2" t="s">
        <v>70</v>
      </c>
      <c r="U423" s="2" t="s">
        <v>71</v>
      </c>
    </row>
    <row r="424" spans="1:21" ht="14.25" customHeight="1" x14ac:dyDescent="0.3">
      <c r="A424" s="2" t="s">
        <v>1653</v>
      </c>
      <c r="B424" s="5">
        <v>42196</v>
      </c>
      <c r="C424" s="2" t="str">
        <f>TEXT(data[[#This Row],[Order Date]],"YYYY")</f>
        <v>2015</v>
      </c>
      <c r="D424" s="2">
        <v>42198</v>
      </c>
      <c r="E424" s="2" t="s">
        <v>87</v>
      </c>
      <c r="F424" s="2" t="s">
        <v>1654</v>
      </c>
      <c r="G424" s="2" t="s">
        <v>1655</v>
      </c>
      <c r="H424" s="2" t="s">
        <v>24</v>
      </c>
      <c r="I424" s="2" t="s">
        <v>25</v>
      </c>
      <c r="J424" s="2" t="s">
        <v>65</v>
      </c>
      <c r="K424" s="2" t="s">
        <v>66</v>
      </c>
      <c r="L424" s="2" t="s">
        <v>67</v>
      </c>
      <c r="M424" s="2" t="s">
        <v>1656</v>
      </c>
      <c r="N424" s="2" t="s">
        <v>30</v>
      </c>
      <c r="O424" s="2" t="s">
        <v>36</v>
      </c>
      <c r="P424" s="2" t="s">
        <v>1657</v>
      </c>
      <c r="Q424" s="2">
        <v>341.488</v>
      </c>
      <c r="R424" s="2">
        <v>8</v>
      </c>
      <c r="S424" s="2">
        <v>-73.176000000000002</v>
      </c>
      <c r="T424" s="2" t="s">
        <v>70</v>
      </c>
      <c r="U424" s="2" t="s">
        <v>71</v>
      </c>
    </row>
    <row r="425" spans="1:21" ht="14.25" customHeight="1" x14ac:dyDescent="0.3">
      <c r="A425" s="2" t="s">
        <v>1653</v>
      </c>
      <c r="B425" s="5">
        <v>42196</v>
      </c>
      <c r="C425" s="2" t="str">
        <f>TEXT(data[[#This Row],[Order Date]],"YYYY")</f>
        <v>2015</v>
      </c>
      <c r="D425" s="2">
        <v>42198</v>
      </c>
      <c r="E425" s="2" t="s">
        <v>87</v>
      </c>
      <c r="F425" s="2" t="s">
        <v>1654</v>
      </c>
      <c r="G425" s="2" t="s">
        <v>1655</v>
      </c>
      <c r="H425" s="2" t="s">
        <v>24</v>
      </c>
      <c r="I425" s="2" t="s">
        <v>25</v>
      </c>
      <c r="J425" s="2" t="s">
        <v>65</v>
      </c>
      <c r="K425" s="2" t="s">
        <v>66</v>
      </c>
      <c r="L425" s="2" t="s">
        <v>67</v>
      </c>
      <c r="M425" s="2" t="s">
        <v>1658</v>
      </c>
      <c r="N425" s="2" t="s">
        <v>30</v>
      </c>
      <c r="O425" s="2" t="s">
        <v>56</v>
      </c>
      <c r="P425" s="2" t="s">
        <v>1659</v>
      </c>
      <c r="Q425" s="2">
        <v>25.344000000000001</v>
      </c>
      <c r="R425" s="2">
        <v>6</v>
      </c>
      <c r="S425" s="2">
        <v>3.4847999999999999</v>
      </c>
      <c r="T425" s="2" t="s">
        <v>70</v>
      </c>
      <c r="U425" s="2" t="s">
        <v>71</v>
      </c>
    </row>
    <row r="426" spans="1:21" ht="14.25" customHeight="1" x14ac:dyDescent="0.3">
      <c r="A426" s="2" t="s">
        <v>1660</v>
      </c>
      <c r="B426" s="5">
        <v>42705</v>
      </c>
      <c r="C426" s="2" t="str">
        <f>TEXT(data[[#This Row],[Order Date]],"YYYY")</f>
        <v>2016</v>
      </c>
      <c r="D426" s="2">
        <v>42711</v>
      </c>
      <c r="E426" s="2" t="s">
        <v>39</v>
      </c>
      <c r="F426" s="2" t="s">
        <v>1661</v>
      </c>
      <c r="G426" s="2" t="s">
        <v>1662</v>
      </c>
      <c r="H426" s="2" t="s">
        <v>24</v>
      </c>
      <c r="I426" s="2" t="s">
        <v>25</v>
      </c>
      <c r="J426" s="2" t="s">
        <v>635</v>
      </c>
      <c r="K426" s="2" t="s">
        <v>110</v>
      </c>
      <c r="L426" s="2" t="s">
        <v>93</v>
      </c>
      <c r="M426" s="2" t="s">
        <v>1496</v>
      </c>
      <c r="N426" s="2" t="s">
        <v>30</v>
      </c>
      <c r="O426" s="2" t="s">
        <v>56</v>
      </c>
      <c r="P426" s="2" t="s">
        <v>1497</v>
      </c>
      <c r="Q426" s="2">
        <v>17.309999999999999</v>
      </c>
      <c r="R426" s="2">
        <v>3</v>
      </c>
      <c r="S426" s="2">
        <v>5.1929999999999996</v>
      </c>
      <c r="T426" s="2" t="s">
        <v>129</v>
      </c>
      <c r="U426" s="2" t="s">
        <v>96</v>
      </c>
    </row>
    <row r="427" spans="1:21" ht="14.25" customHeight="1" x14ac:dyDescent="0.3">
      <c r="A427" s="2" t="s">
        <v>1663</v>
      </c>
      <c r="B427" s="5">
        <v>43091</v>
      </c>
      <c r="C427" s="2" t="str">
        <f>TEXT(data[[#This Row],[Order Date]],"YYYY")</f>
        <v>2017</v>
      </c>
      <c r="D427" s="2">
        <v>43094</v>
      </c>
      <c r="E427" s="2" t="s">
        <v>87</v>
      </c>
      <c r="F427" s="2" t="s">
        <v>1664</v>
      </c>
      <c r="G427" s="2" t="s">
        <v>1665</v>
      </c>
      <c r="H427" s="2" t="s">
        <v>24</v>
      </c>
      <c r="I427" s="2" t="s">
        <v>25</v>
      </c>
      <c r="J427" s="2" t="s">
        <v>288</v>
      </c>
      <c r="K427" s="2" t="s">
        <v>289</v>
      </c>
      <c r="L427" s="2" t="s">
        <v>93</v>
      </c>
      <c r="M427" s="2" t="s">
        <v>805</v>
      </c>
      <c r="N427" s="2" t="s">
        <v>30</v>
      </c>
      <c r="O427" s="2" t="s">
        <v>36</v>
      </c>
      <c r="P427" s="2" t="s">
        <v>806</v>
      </c>
      <c r="Q427" s="2">
        <v>1586.69</v>
      </c>
      <c r="R427" s="2">
        <v>7</v>
      </c>
      <c r="S427" s="2">
        <v>412.5394</v>
      </c>
      <c r="T427" s="2" t="s">
        <v>33</v>
      </c>
      <c r="U427" s="2" t="s">
        <v>96</v>
      </c>
    </row>
    <row r="428" spans="1:21" ht="14.25" customHeight="1" x14ac:dyDescent="0.3">
      <c r="A428" s="2" t="s">
        <v>1663</v>
      </c>
      <c r="B428" s="5">
        <v>43091</v>
      </c>
      <c r="C428" s="2" t="str">
        <f>TEXT(data[[#This Row],[Order Date]],"YYYY")</f>
        <v>2017</v>
      </c>
      <c r="D428" s="2">
        <v>43094</v>
      </c>
      <c r="E428" s="2" t="s">
        <v>87</v>
      </c>
      <c r="F428" s="2" t="s">
        <v>1664</v>
      </c>
      <c r="G428" s="2" t="s">
        <v>1665</v>
      </c>
      <c r="H428" s="2" t="s">
        <v>24</v>
      </c>
      <c r="I428" s="2" t="s">
        <v>25</v>
      </c>
      <c r="J428" s="2" t="s">
        <v>288</v>
      </c>
      <c r="K428" s="2" t="s">
        <v>289</v>
      </c>
      <c r="L428" s="2" t="s">
        <v>93</v>
      </c>
      <c r="M428" s="2" t="s">
        <v>212</v>
      </c>
      <c r="N428" s="2" t="s">
        <v>30</v>
      </c>
      <c r="O428" s="2" t="s">
        <v>45</v>
      </c>
      <c r="P428" s="2" t="s">
        <v>213</v>
      </c>
      <c r="Q428" s="2">
        <v>411.8</v>
      </c>
      <c r="R428" s="2">
        <v>2</v>
      </c>
      <c r="S428" s="2">
        <v>70.006</v>
      </c>
      <c r="T428" s="2" t="s">
        <v>33</v>
      </c>
      <c r="U428" s="2" t="s">
        <v>96</v>
      </c>
    </row>
    <row r="429" spans="1:21" ht="14.25" customHeight="1" x14ac:dyDescent="0.3">
      <c r="A429" s="2" t="s">
        <v>1666</v>
      </c>
      <c r="B429" s="5">
        <v>41943</v>
      </c>
      <c r="C429" s="2" t="str">
        <f>TEXT(data[[#This Row],[Order Date]],"YYYY")</f>
        <v>2014</v>
      </c>
      <c r="D429" s="2">
        <v>41947</v>
      </c>
      <c r="E429" s="2" t="s">
        <v>39</v>
      </c>
      <c r="F429" s="2" t="s">
        <v>1667</v>
      </c>
      <c r="G429" s="2" t="s">
        <v>1668</v>
      </c>
      <c r="H429" s="2" t="s">
        <v>90</v>
      </c>
      <c r="I429" s="2" t="s">
        <v>25</v>
      </c>
      <c r="J429" s="2" t="s">
        <v>52</v>
      </c>
      <c r="K429" s="2" t="s">
        <v>53</v>
      </c>
      <c r="L429" s="2" t="s">
        <v>54</v>
      </c>
      <c r="M429" s="2" t="s">
        <v>1656</v>
      </c>
      <c r="N429" s="2" t="s">
        <v>30</v>
      </c>
      <c r="O429" s="2" t="s">
        <v>36</v>
      </c>
      <c r="P429" s="2" t="s">
        <v>1657</v>
      </c>
      <c r="Q429" s="2">
        <v>146.352</v>
      </c>
      <c r="R429" s="2">
        <v>3</v>
      </c>
      <c r="S429" s="2">
        <v>-9.1470000000000002</v>
      </c>
      <c r="T429" s="2" t="s">
        <v>83</v>
      </c>
      <c r="U429" s="2" t="s">
        <v>48</v>
      </c>
    </row>
    <row r="430" spans="1:21" ht="14.25" customHeight="1" x14ac:dyDescent="0.3">
      <c r="A430" s="2" t="s">
        <v>1669</v>
      </c>
      <c r="B430" s="5">
        <v>42107</v>
      </c>
      <c r="C430" s="2" t="str">
        <f>TEXT(data[[#This Row],[Order Date]],"YYYY")</f>
        <v>2015</v>
      </c>
      <c r="D430" s="2">
        <v>42113</v>
      </c>
      <c r="E430" s="2" t="s">
        <v>39</v>
      </c>
      <c r="F430" s="2" t="s">
        <v>843</v>
      </c>
      <c r="G430" s="2" t="s">
        <v>844</v>
      </c>
      <c r="H430" s="2" t="s">
        <v>24</v>
      </c>
      <c r="I430" s="2" t="s">
        <v>25</v>
      </c>
      <c r="J430" s="2" t="s">
        <v>1670</v>
      </c>
      <c r="K430" s="2" t="s">
        <v>53</v>
      </c>
      <c r="L430" s="2" t="s">
        <v>54</v>
      </c>
      <c r="M430" s="2" t="s">
        <v>1671</v>
      </c>
      <c r="N430" s="2" t="s">
        <v>30</v>
      </c>
      <c r="O430" s="2" t="s">
        <v>45</v>
      </c>
      <c r="P430" s="2" t="s">
        <v>1672</v>
      </c>
      <c r="Q430" s="2">
        <v>710.83199999999999</v>
      </c>
      <c r="R430" s="2">
        <v>3</v>
      </c>
      <c r="S430" s="2">
        <v>-97.739400000000003</v>
      </c>
      <c r="T430" s="2" t="s">
        <v>129</v>
      </c>
      <c r="U430" s="2" t="s">
        <v>113</v>
      </c>
    </row>
    <row r="431" spans="1:21" ht="14.25" customHeight="1" x14ac:dyDescent="0.3">
      <c r="A431" s="2" t="s">
        <v>1673</v>
      </c>
      <c r="B431" s="5">
        <v>43059</v>
      </c>
      <c r="C431" s="2" t="str">
        <f>TEXT(data[[#This Row],[Order Date]],"YYYY")</f>
        <v>2017</v>
      </c>
      <c r="D431" s="2">
        <v>43064</v>
      </c>
      <c r="E431" s="2" t="s">
        <v>39</v>
      </c>
      <c r="F431" s="2" t="s">
        <v>1674</v>
      </c>
      <c r="G431" s="2" t="s">
        <v>1675</v>
      </c>
      <c r="H431" s="2" t="s">
        <v>24</v>
      </c>
      <c r="I431" s="2" t="s">
        <v>25</v>
      </c>
      <c r="J431" s="2" t="s">
        <v>1676</v>
      </c>
      <c r="K431" s="2" t="s">
        <v>53</v>
      </c>
      <c r="L431" s="2" t="s">
        <v>54</v>
      </c>
      <c r="M431" s="2" t="s">
        <v>458</v>
      </c>
      <c r="N431" s="2" t="s">
        <v>30</v>
      </c>
      <c r="O431" s="2" t="s">
        <v>36</v>
      </c>
      <c r="P431" s="2" t="s">
        <v>459</v>
      </c>
      <c r="Q431" s="2">
        <v>283.92</v>
      </c>
      <c r="R431" s="2">
        <v>5</v>
      </c>
      <c r="S431" s="2">
        <v>-46.137</v>
      </c>
      <c r="T431" s="2" t="s">
        <v>58</v>
      </c>
      <c r="U431" s="2" t="s">
        <v>34</v>
      </c>
    </row>
    <row r="432" spans="1:21" ht="14.25" customHeight="1" x14ac:dyDescent="0.3">
      <c r="A432" s="2" t="s">
        <v>1677</v>
      </c>
      <c r="B432" s="5">
        <v>41974</v>
      </c>
      <c r="C432" s="2" t="str">
        <f>TEXT(data[[#This Row],[Order Date]],"YYYY")</f>
        <v>2014</v>
      </c>
      <c r="D432" s="2">
        <v>41978</v>
      </c>
      <c r="E432" s="2" t="s">
        <v>39</v>
      </c>
      <c r="F432" s="2" t="s">
        <v>1678</v>
      </c>
      <c r="G432" s="2" t="s">
        <v>1679</v>
      </c>
      <c r="H432" s="2" t="s">
        <v>24</v>
      </c>
      <c r="I432" s="2" t="s">
        <v>25</v>
      </c>
      <c r="J432" s="2" t="s">
        <v>328</v>
      </c>
      <c r="K432" s="2" t="s">
        <v>53</v>
      </c>
      <c r="L432" s="2" t="s">
        <v>54</v>
      </c>
      <c r="M432" s="2" t="s">
        <v>363</v>
      </c>
      <c r="N432" s="2" t="s">
        <v>30</v>
      </c>
      <c r="O432" s="2" t="s">
        <v>56</v>
      </c>
      <c r="P432" s="2" t="s">
        <v>364</v>
      </c>
      <c r="Q432" s="2">
        <v>58.2</v>
      </c>
      <c r="R432" s="2">
        <v>3</v>
      </c>
      <c r="S432" s="2">
        <v>28.518000000000001</v>
      </c>
      <c r="T432" s="2" t="s">
        <v>83</v>
      </c>
      <c r="U432" s="2" t="s">
        <v>96</v>
      </c>
    </row>
    <row r="433" spans="1:21" ht="14.25" customHeight="1" x14ac:dyDescent="0.3">
      <c r="A433" s="2" t="s">
        <v>1680</v>
      </c>
      <c r="B433" s="5">
        <v>42362</v>
      </c>
      <c r="C433" s="2" t="str">
        <f>TEXT(data[[#This Row],[Order Date]],"YYYY")</f>
        <v>2015</v>
      </c>
      <c r="D433" s="2">
        <v>42367</v>
      </c>
      <c r="E433" s="2" t="s">
        <v>39</v>
      </c>
      <c r="F433" s="2" t="s">
        <v>1681</v>
      </c>
      <c r="G433" s="2" t="s">
        <v>1682</v>
      </c>
      <c r="H433" s="2" t="s">
        <v>24</v>
      </c>
      <c r="I433" s="2" t="s">
        <v>25</v>
      </c>
      <c r="J433" s="2" t="s">
        <v>519</v>
      </c>
      <c r="K433" s="2" t="s">
        <v>520</v>
      </c>
      <c r="L433" s="2" t="s">
        <v>54</v>
      </c>
      <c r="M433" s="2" t="s">
        <v>959</v>
      </c>
      <c r="N433" s="2" t="s">
        <v>30</v>
      </c>
      <c r="O433" s="2" t="s">
        <v>56</v>
      </c>
      <c r="P433" s="2" t="s">
        <v>960</v>
      </c>
      <c r="Q433" s="2">
        <v>7.7119999999999997</v>
      </c>
      <c r="R433" s="2">
        <v>2</v>
      </c>
      <c r="S433" s="2">
        <v>1.7352000000000001</v>
      </c>
      <c r="T433" s="2" t="s">
        <v>58</v>
      </c>
      <c r="U433" s="2" t="s">
        <v>96</v>
      </c>
    </row>
    <row r="434" spans="1:21" ht="14.25" customHeight="1" x14ac:dyDescent="0.3">
      <c r="A434" s="2" t="s">
        <v>1683</v>
      </c>
      <c r="B434" s="5">
        <v>42931</v>
      </c>
      <c r="C434" s="2" t="str">
        <f>TEXT(data[[#This Row],[Order Date]],"YYYY")</f>
        <v>2017</v>
      </c>
      <c r="D434" s="2">
        <v>42935</v>
      </c>
      <c r="E434" s="2" t="s">
        <v>39</v>
      </c>
      <c r="F434" s="2" t="s">
        <v>1684</v>
      </c>
      <c r="G434" s="2" t="s">
        <v>1685</v>
      </c>
      <c r="H434" s="2" t="s">
        <v>24</v>
      </c>
      <c r="I434" s="2" t="s">
        <v>25</v>
      </c>
      <c r="J434" s="2" t="s">
        <v>199</v>
      </c>
      <c r="K434" s="2" t="s">
        <v>200</v>
      </c>
      <c r="L434" s="2" t="s">
        <v>67</v>
      </c>
      <c r="M434" s="2" t="s">
        <v>1465</v>
      </c>
      <c r="N434" s="2" t="s">
        <v>30</v>
      </c>
      <c r="O434" s="2" t="s">
        <v>45</v>
      </c>
      <c r="P434" s="2" t="s">
        <v>1466</v>
      </c>
      <c r="Q434" s="2">
        <v>310.44299999999998</v>
      </c>
      <c r="R434" s="2">
        <v>3</v>
      </c>
      <c r="S434" s="2">
        <v>-48.783900000000003</v>
      </c>
      <c r="T434" s="2" t="s">
        <v>83</v>
      </c>
      <c r="U434" s="2" t="s">
        <v>71</v>
      </c>
    </row>
    <row r="435" spans="1:21" ht="14.25" customHeight="1" x14ac:dyDescent="0.3">
      <c r="A435" s="2" t="s">
        <v>1686</v>
      </c>
      <c r="B435" s="5">
        <v>41960</v>
      </c>
      <c r="C435" s="2" t="str">
        <f>TEXT(data[[#This Row],[Order Date]],"YYYY")</f>
        <v>2014</v>
      </c>
      <c r="D435" s="2">
        <v>41964</v>
      </c>
      <c r="E435" s="2" t="s">
        <v>39</v>
      </c>
      <c r="F435" s="2" t="s">
        <v>258</v>
      </c>
      <c r="G435" s="2" t="s">
        <v>259</v>
      </c>
      <c r="H435" s="2" t="s">
        <v>100</v>
      </c>
      <c r="I435" s="2" t="s">
        <v>25</v>
      </c>
      <c r="J435" s="2" t="s">
        <v>1687</v>
      </c>
      <c r="K435" s="2" t="s">
        <v>166</v>
      </c>
      <c r="L435" s="2" t="s">
        <v>93</v>
      </c>
      <c r="M435" s="2" t="s">
        <v>1279</v>
      </c>
      <c r="N435" s="2" t="s">
        <v>30</v>
      </c>
      <c r="O435" s="2" t="s">
        <v>36</v>
      </c>
      <c r="P435" s="2" t="s">
        <v>1280</v>
      </c>
      <c r="Q435" s="2">
        <v>479.9</v>
      </c>
      <c r="R435" s="2">
        <v>5</v>
      </c>
      <c r="S435" s="2">
        <v>81.582999999999998</v>
      </c>
      <c r="T435" s="2" t="s">
        <v>83</v>
      </c>
      <c r="U435" s="2" t="s">
        <v>34</v>
      </c>
    </row>
    <row r="436" spans="1:21" ht="14.25" customHeight="1" x14ac:dyDescent="0.3">
      <c r="A436" s="2" t="s">
        <v>1688</v>
      </c>
      <c r="B436" s="5">
        <v>41838</v>
      </c>
      <c r="C436" s="2" t="str">
        <f>TEXT(data[[#This Row],[Order Date]],"YYYY")</f>
        <v>2014</v>
      </c>
      <c r="D436" s="2">
        <v>41838</v>
      </c>
      <c r="E436" s="2" t="s">
        <v>425</v>
      </c>
      <c r="F436" s="2" t="s">
        <v>1689</v>
      </c>
      <c r="G436" s="2" t="s">
        <v>1690</v>
      </c>
      <c r="H436" s="2" t="s">
        <v>100</v>
      </c>
      <c r="I436" s="2" t="s">
        <v>25</v>
      </c>
      <c r="J436" s="2" t="s">
        <v>1222</v>
      </c>
      <c r="K436" s="2" t="s">
        <v>520</v>
      </c>
      <c r="L436" s="2" t="s">
        <v>54</v>
      </c>
      <c r="M436" s="2" t="s">
        <v>495</v>
      </c>
      <c r="N436" s="2" t="s">
        <v>30</v>
      </c>
      <c r="O436" s="2" t="s">
        <v>36</v>
      </c>
      <c r="P436" s="2" t="s">
        <v>496</v>
      </c>
      <c r="Q436" s="2">
        <v>259.13600000000002</v>
      </c>
      <c r="R436" s="2">
        <v>4</v>
      </c>
      <c r="S436" s="2">
        <v>-25.913599999999999</v>
      </c>
      <c r="T436" s="2" t="s">
        <v>430</v>
      </c>
      <c r="U436" s="2" t="s">
        <v>71</v>
      </c>
    </row>
    <row r="437" spans="1:21" ht="14.25" customHeight="1" x14ac:dyDescent="0.3">
      <c r="A437" s="2" t="s">
        <v>1691</v>
      </c>
      <c r="B437" s="5">
        <v>42308</v>
      </c>
      <c r="C437" s="2" t="str">
        <f>TEXT(data[[#This Row],[Order Date]],"YYYY")</f>
        <v>2015</v>
      </c>
      <c r="D437" s="2">
        <v>42308</v>
      </c>
      <c r="E437" s="2" t="s">
        <v>425</v>
      </c>
      <c r="F437" s="2" t="s">
        <v>1692</v>
      </c>
      <c r="G437" s="2" t="s">
        <v>1693</v>
      </c>
      <c r="H437" s="2" t="s">
        <v>24</v>
      </c>
      <c r="I437" s="2" t="s">
        <v>25</v>
      </c>
      <c r="J437" s="2" t="s">
        <v>1694</v>
      </c>
      <c r="K437" s="2" t="s">
        <v>53</v>
      </c>
      <c r="L437" s="2" t="s">
        <v>54</v>
      </c>
      <c r="M437" s="2" t="s">
        <v>104</v>
      </c>
      <c r="N437" s="2" t="s">
        <v>30</v>
      </c>
      <c r="O437" s="2" t="s">
        <v>36</v>
      </c>
      <c r="P437" s="2" t="s">
        <v>105</v>
      </c>
      <c r="Q437" s="2">
        <v>323.13600000000002</v>
      </c>
      <c r="R437" s="2">
        <v>4</v>
      </c>
      <c r="S437" s="2">
        <v>20.196000000000002</v>
      </c>
      <c r="T437" s="2" t="s">
        <v>430</v>
      </c>
      <c r="U437" s="2" t="s">
        <v>48</v>
      </c>
    </row>
    <row r="438" spans="1:21" ht="14.25" customHeight="1" x14ac:dyDescent="0.3">
      <c r="A438" s="2" t="s">
        <v>1691</v>
      </c>
      <c r="B438" s="5">
        <v>42308</v>
      </c>
      <c r="C438" s="2" t="str">
        <f>TEXT(data[[#This Row],[Order Date]],"YYYY")</f>
        <v>2015</v>
      </c>
      <c r="D438" s="2">
        <v>42308</v>
      </c>
      <c r="E438" s="2" t="s">
        <v>425</v>
      </c>
      <c r="F438" s="2" t="s">
        <v>1692</v>
      </c>
      <c r="G438" s="2" t="s">
        <v>1693</v>
      </c>
      <c r="H438" s="2" t="s">
        <v>24</v>
      </c>
      <c r="I438" s="2" t="s">
        <v>25</v>
      </c>
      <c r="J438" s="2" t="s">
        <v>1694</v>
      </c>
      <c r="K438" s="2" t="s">
        <v>53</v>
      </c>
      <c r="L438" s="2" t="s">
        <v>54</v>
      </c>
      <c r="M438" s="2" t="s">
        <v>1695</v>
      </c>
      <c r="N438" s="2" t="s">
        <v>30</v>
      </c>
      <c r="O438" s="2" t="s">
        <v>31</v>
      </c>
      <c r="P438" s="2" t="s">
        <v>1696</v>
      </c>
      <c r="Q438" s="2">
        <v>425.83300000000003</v>
      </c>
      <c r="R438" s="2">
        <v>1</v>
      </c>
      <c r="S438" s="2">
        <v>20.039200000000001</v>
      </c>
      <c r="T438" s="2" t="s">
        <v>430</v>
      </c>
      <c r="U438" s="2" t="s">
        <v>48</v>
      </c>
    </row>
    <row r="439" spans="1:21" ht="14.25" customHeight="1" x14ac:dyDescent="0.3">
      <c r="A439" s="2" t="s">
        <v>1697</v>
      </c>
      <c r="B439" s="5">
        <v>42289</v>
      </c>
      <c r="C439" s="2" t="str">
        <f>TEXT(data[[#This Row],[Order Date]],"YYYY")</f>
        <v>2015</v>
      </c>
      <c r="D439" s="2">
        <v>42294</v>
      </c>
      <c r="E439" s="2" t="s">
        <v>21</v>
      </c>
      <c r="F439" s="2" t="s">
        <v>1698</v>
      </c>
      <c r="G439" s="2" t="s">
        <v>1699</v>
      </c>
      <c r="H439" s="2" t="s">
        <v>24</v>
      </c>
      <c r="I439" s="2" t="s">
        <v>25</v>
      </c>
      <c r="J439" s="2" t="s">
        <v>894</v>
      </c>
      <c r="K439" s="2" t="s">
        <v>120</v>
      </c>
      <c r="L439" s="2" t="s">
        <v>67</v>
      </c>
      <c r="M439" s="2" t="s">
        <v>1461</v>
      </c>
      <c r="N439" s="2" t="s">
        <v>30</v>
      </c>
      <c r="O439" s="2" t="s">
        <v>45</v>
      </c>
      <c r="P439" s="2" t="s">
        <v>1462</v>
      </c>
      <c r="Q439" s="2">
        <v>209.67</v>
      </c>
      <c r="R439" s="2">
        <v>1</v>
      </c>
      <c r="S439" s="2">
        <v>-13.978</v>
      </c>
      <c r="T439" s="2" t="s">
        <v>58</v>
      </c>
      <c r="U439" s="2" t="s">
        <v>48</v>
      </c>
    </row>
    <row r="440" spans="1:21" ht="14.25" customHeight="1" x14ac:dyDescent="0.3">
      <c r="A440" s="2" t="s">
        <v>1700</v>
      </c>
      <c r="B440" s="5">
        <v>43048</v>
      </c>
      <c r="C440" s="2" t="str">
        <f>TEXT(data[[#This Row],[Order Date]],"YYYY")</f>
        <v>2017</v>
      </c>
      <c r="D440" s="2">
        <v>43050</v>
      </c>
      <c r="E440" s="2" t="s">
        <v>87</v>
      </c>
      <c r="F440" s="2" t="s">
        <v>1701</v>
      </c>
      <c r="G440" s="2" t="s">
        <v>1702</v>
      </c>
      <c r="H440" s="2" t="s">
        <v>90</v>
      </c>
      <c r="I440" s="2" t="s">
        <v>25</v>
      </c>
      <c r="J440" s="2" t="s">
        <v>1703</v>
      </c>
      <c r="K440" s="2" t="s">
        <v>53</v>
      </c>
      <c r="L440" s="2" t="s">
        <v>54</v>
      </c>
      <c r="M440" s="2" t="s">
        <v>114</v>
      </c>
      <c r="N440" s="2" t="s">
        <v>30</v>
      </c>
      <c r="O440" s="2" t="s">
        <v>36</v>
      </c>
      <c r="P440" s="2" t="s">
        <v>115</v>
      </c>
      <c r="Q440" s="2">
        <v>215.976</v>
      </c>
      <c r="R440" s="2">
        <v>3</v>
      </c>
      <c r="S440" s="2">
        <v>-2.6997</v>
      </c>
      <c r="T440" s="2" t="s">
        <v>70</v>
      </c>
      <c r="U440" s="2" t="s">
        <v>34</v>
      </c>
    </row>
    <row r="441" spans="1:21" ht="14.25" customHeight="1" x14ac:dyDescent="0.3">
      <c r="A441" s="2" t="s">
        <v>1704</v>
      </c>
      <c r="B441" s="5">
        <v>43000</v>
      </c>
      <c r="C441" s="2" t="str">
        <f>TEXT(data[[#This Row],[Order Date]],"YYYY")</f>
        <v>2017</v>
      </c>
      <c r="D441" s="2">
        <v>43002</v>
      </c>
      <c r="E441" s="2" t="s">
        <v>21</v>
      </c>
      <c r="F441" s="2" t="s">
        <v>1705</v>
      </c>
      <c r="G441" s="2" t="s">
        <v>1706</v>
      </c>
      <c r="H441" s="2" t="s">
        <v>100</v>
      </c>
      <c r="I441" s="2" t="s">
        <v>25</v>
      </c>
      <c r="J441" s="2" t="s">
        <v>1707</v>
      </c>
      <c r="K441" s="2" t="s">
        <v>289</v>
      </c>
      <c r="L441" s="2" t="s">
        <v>93</v>
      </c>
      <c r="M441" s="2" t="s">
        <v>456</v>
      </c>
      <c r="N441" s="2" t="s">
        <v>30</v>
      </c>
      <c r="O441" s="2" t="s">
        <v>31</v>
      </c>
      <c r="P441" s="2" t="s">
        <v>457</v>
      </c>
      <c r="Q441" s="2">
        <v>241.96</v>
      </c>
      <c r="R441" s="2">
        <v>2</v>
      </c>
      <c r="S441" s="2">
        <v>41.133200000000002</v>
      </c>
      <c r="T441" s="2" t="s">
        <v>70</v>
      </c>
      <c r="U441" s="2" t="s">
        <v>77</v>
      </c>
    </row>
    <row r="442" spans="1:21" ht="14.25" customHeight="1" x14ac:dyDescent="0.3">
      <c r="A442" s="2" t="s">
        <v>1708</v>
      </c>
      <c r="B442" s="5">
        <v>42281</v>
      </c>
      <c r="C442" s="2" t="str">
        <f>TEXT(data[[#This Row],[Order Date]],"YYYY")</f>
        <v>2015</v>
      </c>
      <c r="D442" s="2">
        <v>42286</v>
      </c>
      <c r="E442" s="2" t="s">
        <v>39</v>
      </c>
      <c r="F442" s="2" t="s">
        <v>1237</v>
      </c>
      <c r="G442" s="2" t="s">
        <v>1238</v>
      </c>
      <c r="H442" s="2" t="s">
        <v>100</v>
      </c>
      <c r="I442" s="2" t="s">
        <v>25</v>
      </c>
      <c r="J442" s="2" t="s">
        <v>65</v>
      </c>
      <c r="K442" s="2" t="s">
        <v>66</v>
      </c>
      <c r="L442" s="2" t="s">
        <v>67</v>
      </c>
      <c r="M442" s="2" t="s">
        <v>1709</v>
      </c>
      <c r="N442" s="2" t="s">
        <v>30</v>
      </c>
      <c r="O442" s="2" t="s">
        <v>56</v>
      </c>
      <c r="P442" s="2" t="s">
        <v>1710</v>
      </c>
      <c r="Q442" s="2">
        <v>64.944000000000003</v>
      </c>
      <c r="R442" s="2">
        <v>3</v>
      </c>
      <c r="S442" s="2">
        <v>6.4943999999999997</v>
      </c>
      <c r="T442" s="2" t="s">
        <v>58</v>
      </c>
      <c r="U442" s="2" t="s">
        <v>48</v>
      </c>
    </row>
    <row r="443" spans="1:21" ht="14.25" customHeight="1" x14ac:dyDescent="0.3">
      <c r="A443" s="2" t="s">
        <v>1711</v>
      </c>
      <c r="B443" s="5">
        <v>41779</v>
      </c>
      <c r="C443" s="2" t="str">
        <f>TEXT(data[[#This Row],[Order Date]],"YYYY")</f>
        <v>2014</v>
      </c>
      <c r="D443" s="2">
        <v>41781</v>
      </c>
      <c r="E443" s="2" t="s">
        <v>21</v>
      </c>
      <c r="F443" s="2" t="s">
        <v>1712</v>
      </c>
      <c r="G443" s="2" t="s">
        <v>1713</v>
      </c>
      <c r="H443" s="2" t="s">
        <v>90</v>
      </c>
      <c r="I443" s="2" t="s">
        <v>25</v>
      </c>
      <c r="J443" s="2" t="s">
        <v>741</v>
      </c>
      <c r="K443" s="2" t="s">
        <v>884</v>
      </c>
      <c r="L443" s="2" t="s">
        <v>67</v>
      </c>
      <c r="M443" s="2" t="s">
        <v>1121</v>
      </c>
      <c r="N443" s="2" t="s">
        <v>30</v>
      </c>
      <c r="O443" s="2" t="s">
        <v>56</v>
      </c>
      <c r="P443" s="2" t="s">
        <v>1122</v>
      </c>
      <c r="Q443" s="2">
        <v>139.86000000000001</v>
      </c>
      <c r="R443" s="2">
        <v>7</v>
      </c>
      <c r="S443" s="2">
        <v>60.139800000000001</v>
      </c>
      <c r="T443" s="2" t="s">
        <v>70</v>
      </c>
      <c r="U443" s="2" t="s">
        <v>161</v>
      </c>
    </row>
    <row r="444" spans="1:21" ht="14.25" customHeight="1" x14ac:dyDescent="0.3">
      <c r="A444" s="2" t="s">
        <v>1714</v>
      </c>
      <c r="B444" s="5">
        <v>42369</v>
      </c>
      <c r="C444" s="2" t="str">
        <f>TEXT(data[[#This Row],[Order Date]],"YYYY")</f>
        <v>2015</v>
      </c>
      <c r="D444" s="2">
        <v>42374</v>
      </c>
      <c r="E444" s="2" t="s">
        <v>39</v>
      </c>
      <c r="F444" s="2" t="s">
        <v>1715</v>
      </c>
      <c r="G444" s="2" t="s">
        <v>1716</v>
      </c>
      <c r="H444" s="2" t="s">
        <v>24</v>
      </c>
      <c r="I444" s="2" t="s">
        <v>25</v>
      </c>
      <c r="J444" s="2" t="s">
        <v>1717</v>
      </c>
      <c r="K444" s="2" t="s">
        <v>92</v>
      </c>
      <c r="L444" s="2" t="s">
        <v>93</v>
      </c>
      <c r="M444" s="2" t="s">
        <v>1718</v>
      </c>
      <c r="N444" s="2" t="s">
        <v>30</v>
      </c>
      <c r="O444" s="2" t="s">
        <v>56</v>
      </c>
      <c r="P444" s="2" t="s">
        <v>1719</v>
      </c>
      <c r="Q444" s="2">
        <v>14.76</v>
      </c>
      <c r="R444" s="2">
        <v>5</v>
      </c>
      <c r="S444" s="2">
        <v>-11.439</v>
      </c>
      <c r="T444" s="2" t="s">
        <v>58</v>
      </c>
      <c r="U444" s="2" t="s">
        <v>96</v>
      </c>
    </row>
    <row r="445" spans="1:21" ht="14.25" customHeight="1" x14ac:dyDescent="0.3">
      <c r="A445" s="2" t="s">
        <v>1720</v>
      </c>
      <c r="B445" s="5">
        <v>41796</v>
      </c>
      <c r="C445" s="2" t="str">
        <f>TEXT(data[[#This Row],[Order Date]],"YYYY")</f>
        <v>2014</v>
      </c>
      <c r="D445" s="2">
        <v>41801</v>
      </c>
      <c r="E445" s="2" t="s">
        <v>39</v>
      </c>
      <c r="F445" s="2" t="s">
        <v>1721</v>
      </c>
      <c r="G445" s="2" t="s">
        <v>1722</v>
      </c>
      <c r="H445" s="2" t="s">
        <v>90</v>
      </c>
      <c r="I445" s="2" t="s">
        <v>25</v>
      </c>
      <c r="J445" s="2" t="s">
        <v>730</v>
      </c>
      <c r="K445" s="2" t="s">
        <v>120</v>
      </c>
      <c r="L445" s="2" t="s">
        <v>67</v>
      </c>
      <c r="M445" s="2" t="s">
        <v>1723</v>
      </c>
      <c r="N445" s="2" t="s">
        <v>30</v>
      </c>
      <c r="O445" s="2" t="s">
        <v>45</v>
      </c>
      <c r="P445" s="2" t="s">
        <v>1724</v>
      </c>
      <c r="Q445" s="2">
        <v>991.76400000000001</v>
      </c>
      <c r="R445" s="2">
        <v>3</v>
      </c>
      <c r="S445" s="2">
        <v>-347.11739999999998</v>
      </c>
      <c r="T445" s="2" t="s">
        <v>58</v>
      </c>
      <c r="U445" s="2" t="s">
        <v>59</v>
      </c>
    </row>
    <row r="446" spans="1:21" ht="14.25" customHeight="1" x14ac:dyDescent="0.3">
      <c r="A446" s="2" t="s">
        <v>1725</v>
      </c>
      <c r="B446" s="5">
        <v>42546</v>
      </c>
      <c r="C446" s="2" t="str">
        <f>TEXT(data[[#This Row],[Order Date]],"YYYY")</f>
        <v>2016</v>
      </c>
      <c r="D446" s="2">
        <v>42550</v>
      </c>
      <c r="E446" s="2" t="s">
        <v>39</v>
      </c>
      <c r="F446" s="2" t="s">
        <v>1726</v>
      </c>
      <c r="G446" s="2" t="s">
        <v>1727</v>
      </c>
      <c r="H446" s="2" t="s">
        <v>90</v>
      </c>
      <c r="I446" s="2" t="s">
        <v>25</v>
      </c>
      <c r="J446" s="2" t="s">
        <v>1728</v>
      </c>
      <c r="K446" s="2" t="s">
        <v>66</v>
      </c>
      <c r="L446" s="2" t="s">
        <v>67</v>
      </c>
      <c r="M446" s="2" t="s">
        <v>329</v>
      </c>
      <c r="N446" s="2" t="s">
        <v>30</v>
      </c>
      <c r="O446" s="2" t="s">
        <v>36</v>
      </c>
      <c r="P446" s="2" t="s">
        <v>330</v>
      </c>
      <c r="Q446" s="2">
        <v>422.05799999999999</v>
      </c>
      <c r="R446" s="2">
        <v>3</v>
      </c>
      <c r="S446" s="2">
        <v>-18.088200000000001</v>
      </c>
      <c r="T446" s="2" t="s">
        <v>83</v>
      </c>
      <c r="U446" s="2" t="s">
        <v>59</v>
      </c>
    </row>
    <row r="447" spans="1:21" ht="14.25" customHeight="1" x14ac:dyDescent="0.3">
      <c r="A447" s="2" t="s">
        <v>1729</v>
      </c>
      <c r="B447" s="5">
        <v>41985</v>
      </c>
      <c r="C447" s="2" t="str">
        <f>TEXT(data[[#This Row],[Order Date]],"YYYY")</f>
        <v>2014</v>
      </c>
      <c r="D447" s="2">
        <v>41990</v>
      </c>
      <c r="E447" s="2" t="s">
        <v>39</v>
      </c>
      <c r="F447" s="2" t="s">
        <v>1730</v>
      </c>
      <c r="G447" s="2" t="s">
        <v>1731</v>
      </c>
      <c r="H447" s="2" t="s">
        <v>24</v>
      </c>
      <c r="I447" s="2" t="s">
        <v>25</v>
      </c>
      <c r="J447" s="2" t="s">
        <v>509</v>
      </c>
      <c r="K447" s="2" t="s">
        <v>53</v>
      </c>
      <c r="L447" s="2" t="s">
        <v>54</v>
      </c>
      <c r="M447" s="2" t="s">
        <v>990</v>
      </c>
      <c r="N447" s="2" t="s">
        <v>30</v>
      </c>
      <c r="O447" s="2" t="s">
        <v>56</v>
      </c>
      <c r="P447" s="2" t="s">
        <v>991</v>
      </c>
      <c r="Q447" s="2">
        <v>43.31</v>
      </c>
      <c r="R447" s="2">
        <v>1</v>
      </c>
      <c r="S447" s="2">
        <v>4.3310000000000004</v>
      </c>
      <c r="T447" s="2" t="s">
        <v>58</v>
      </c>
      <c r="U447" s="2" t="s">
        <v>96</v>
      </c>
    </row>
    <row r="448" spans="1:21" ht="14.25" customHeight="1" x14ac:dyDescent="0.3">
      <c r="A448" s="2" t="s">
        <v>1732</v>
      </c>
      <c r="B448" s="5">
        <v>43058</v>
      </c>
      <c r="C448" s="2" t="str">
        <f>TEXT(data[[#This Row],[Order Date]],"YYYY")</f>
        <v>2017</v>
      </c>
      <c r="D448" s="2">
        <v>43065</v>
      </c>
      <c r="E448" s="2" t="s">
        <v>39</v>
      </c>
      <c r="F448" s="2" t="s">
        <v>1733</v>
      </c>
      <c r="G448" s="2" t="s">
        <v>1734</v>
      </c>
      <c r="H448" s="2" t="s">
        <v>24</v>
      </c>
      <c r="I448" s="2" t="s">
        <v>25</v>
      </c>
      <c r="J448" s="2" t="s">
        <v>1735</v>
      </c>
      <c r="K448" s="2" t="s">
        <v>92</v>
      </c>
      <c r="L448" s="2" t="s">
        <v>93</v>
      </c>
      <c r="M448" s="2" t="s">
        <v>1164</v>
      </c>
      <c r="N448" s="2" t="s">
        <v>30</v>
      </c>
      <c r="O448" s="2" t="s">
        <v>36</v>
      </c>
      <c r="P448" s="2" t="s">
        <v>1165</v>
      </c>
      <c r="Q448" s="2">
        <v>233.05799999999999</v>
      </c>
      <c r="R448" s="2">
        <v>3</v>
      </c>
      <c r="S448" s="2">
        <v>-53.270400000000002</v>
      </c>
      <c r="T448" s="2" t="s">
        <v>47</v>
      </c>
      <c r="U448" s="2" t="s">
        <v>34</v>
      </c>
    </row>
    <row r="449" spans="1:21" ht="14.25" customHeight="1" x14ac:dyDescent="0.3">
      <c r="A449" s="2" t="s">
        <v>1736</v>
      </c>
      <c r="B449" s="5">
        <v>42490</v>
      </c>
      <c r="C449" s="2" t="str">
        <f>TEXT(data[[#This Row],[Order Date]],"YYYY")</f>
        <v>2016</v>
      </c>
      <c r="D449" s="2">
        <v>42495</v>
      </c>
      <c r="E449" s="2" t="s">
        <v>39</v>
      </c>
      <c r="F449" s="2" t="s">
        <v>1737</v>
      </c>
      <c r="G449" s="2" t="s">
        <v>1738</v>
      </c>
      <c r="H449" s="2" t="s">
        <v>100</v>
      </c>
      <c r="I449" s="2" t="s">
        <v>25</v>
      </c>
      <c r="J449" s="2" t="s">
        <v>1739</v>
      </c>
      <c r="K449" s="2" t="s">
        <v>92</v>
      </c>
      <c r="L449" s="2" t="s">
        <v>93</v>
      </c>
      <c r="M449" s="2" t="s">
        <v>1542</v>
      </c>
      <c r="N449" s="2" t="s">
        <v>30</v>
      </c>
      <c r="O449" s="2" t="s">
        <v>56</v>
      </c>
      <c r="P449" s="2" t="s">
        <v>1543</v>
      </c>
      <c r="Q449" s="2">
        <v>22.608000000000001</v>
      </c>
      <c r="R449" s="2">
        <v>3</v>
      </c>
      <c r="S449" s="2">
        <v>-10.1736</v>
      </c>
      <c r="T449" s="2" t="s">
        <v>58</v>
      </c>
      <c r="U449" s="2" t="s">
        <v>113</v>
      </c>
    </row>
    <row r="450" spans="1:21" ht="14.25" customHeight="1" x14ac:dyDescent="0.3">
      <c r="A450" s="2" t="s">
        <v>1740</v>
      </c>
      <c r="B450" s="5">
        <v>42504</v>
      </c>
      <c r="C450" s="2" t="str">
        <f>TEXT(data[[#This Row],[Order Date]],"YYYY")</f>
        <v>2016</v>
      </c>
      <c r="D450" s="2">
        <v>42504</v>
      </c>
      <c r="E450" s="2" t="s">
        <v>425</v>
      </c>
      <c r="F450" s="2" t="s">
        <v>326</v>
      </c>
      <c r="G450" s="2" t="s">
        <v>327</v>
      </c>
      <c r="H450" s="2" t="s">
        <v>24</v>
      </c>
      <c r="I450" s="2" t="s">
        <v>25</v>
      </c>
      <c r="J450" s="2" t="s">
        <v>1741</v>
      </c>
      <c r="K450" s="2" t="s">
        <v>231</v>
      </c>
      <c r="L450" s="2" t="s">
        <v>67</v>
      </c>
      <c r="M450" s="2" t="s">
        <v>1400</v>
      </c>
      <c r="N450" s="2" t="s">
        <v>30</v>
      </c>
      <c r="O450" s="2" t="s">
        <v>56</v>
      </c>
      <c r="P450" s="2" t="s">
        <v>1401</v>
      </c>
      <c r="Q450" s="2">
        <v>79.384</v>
      </c>
      <c r="R450" s="2">
        <v>1</v>
      </c>
      <c r="S450" s="2">
        <v>29.768999999999998</v>
      </c>
      <c r="T450" s="2" t="s">
        <v>430</v>
      </c>
      <c r="U450" s="2" t="s">
        <v>161</v>
      </c>
    </row>
    <row r="451" spans="1:21" ht="14.25" customHeight="1" x14ac:dyDescent="0.3">
      <c r="A451" s="2" t="s">
        <v>1742</v>
      </c>
      <c r="B451" s="5">
        <v>42656</v>
      </c>
      <c r="C451" s="2" t="str">
        <f>TEXT(data[[#This Row],[Order Date]],"YYYY")</f>
        <v>2016</v>
      </c>
      <c r="D451" s="2">
        <v>42662</v>
      </c>
      <c r="E451" s="2" t="s">
        <v>39</v>
      </c>
      <c r="F451" s="2" t="s">
        <v>335</v>
      </c>
      <c r="G451" s="2" t="s">
        <v>336</v>
      </c>
      <c r="H451" s="2" t="s">
        <v>24</v>
      </c>
      <c r="I451" s="2" t="s">
        <v>25</v>
      </c>
      <c r="J451" s="2" t="s">
        <v>1743</v>
      </c>
      <c r="K451" s="2" t="s">
        <v>92</v>
      </c>
      <c r="L451" s="2" t="s">
        <v>93</v>
      </c>
      <c r="M451" s="2" t="s">
        <v>725</v>
      </c>
      <c r="N451" s="2" t="s">
        <v>30</v>
      </c>
      <c r="O451" s="2" t="s">
        <v>56</v>
      </c>
      <c r="P451" s="2" t="s">
        <v>726</v>
      </c>
      <c r="Q451" s="2">
        <v>139.91999999999999</v>
      </c>
      <c r="R451" s="2">
        <v>5</v>
      </c>
      <c r="S451" s="2">
        <v>-150.41399999999999</v>
      </c>
      <c r="T451" s="2" t="s">
        <v>129</v>
      </c>
      <c r="U451" s="2" t="s">
        <v>48</v>
      </c>
    </row>
    <row r="452" spans="1:21" ht="14.25" customHeight="1" x14ac:dyDescent="0.3">
      <c r="A452" s="2" t="s">
        <v>1744</v>
      </c>
      <c r="B452" s="5">
        <v>43058</v>
      </c>
      <c r="C452" s="2" t="str">
        <f>TEXT(data[[#This Row],[Order Date]],"YYYY")</f>
        <v>2017</v>
      </c>
      <c r="D452" s="2">
        <v>43064</v>
      </c>
      <c r="E452" s="2" t="s">
        <v>39</v>
      </c>
      <c r="F452" s="2" t="s">
        <v>1297</v>
      </c>
      <c r="G452" s="2" t="s">
        <v>1298</v>
      </c>
      <c r="H452" s="2" t="s">
        <v>90</v>
      </c>
      <c r="I452" s="2" t="s">
        <v>25</v>
      </c>
      <c r="J452" s="2" t="s">
        <v>1745</v>
      </c>
      <c r="K452" s="2" t="s">
        <v>92</v>
      </c>
      <c r="L452" s="2" t="s">
        <v>93</v>
      </c>
      <c r="M452" s="2" t="s">
        <v>816</v>
      </c>
      <c r="N452" s="2" t="s">
        <v>30</v>
      </c>
      <c r="O452" s="2" t="s">
        <v>36</v>
      </c>
      <c r="P452" s="2" t="s">
        <v>817</v>
      </c>
      <c r="Q452" s="2">
        <v>305.31200000000001</v>
      </c>
      <c r="R452" s="2">
        <v>2</v>
      </c>
      <c r="S452" s="2">
        <v>-8.7232000000000003</v>
      </c>
      <c r="T452" s="2" t="s">
        <v>129</v>
      </c>
      <c r="U452" s="2" t="s">
        <v>34</v>
      </c>
    </row>
    <row r="453" spans="1:21" ht="14.25" customHeight="1" x14ac:dyDescent="0.3">
      <c r="A453" s="2" t="s">
        <v>1746</v>
      </c>
      <c r="B453" s="5">
        <v>42497</v>
      </c>
      <c r="C453" s="2" t="str">
        <f>TEXT(data[[#This Row],[Order Date]],"YYYY")</f>
        <v>2016</v>
      </c>
      <c r="D453" s="2">
        <v>42501</v>
      </c>
      <c r="E453" s="2" t="s">
        <v>39</v>
      </c>
      <c r="F453" s="2" t="s">
        <v>1345</v>
      </c>
      <c r="G453" s="2" t="s">
        <v>1346</v>
      </c>
      <c r="H453" s="2" t="s">
        <v>24</v>
      </c>
      <c r="I453" s="2" t="s">
        <v>25</v>
      </c>
      <c r="J453" s="2" t="s">
        <v>173</v>
      </c>
      <c r="K453" s="2" t="s">
        <v>120</v>
      </c>
      <c r="L453" s="2" t="s">
        <v>67</v>
      </c>
      <c r="M453" s="2" t="s">
        <v>1747</v>
      </c>
      <c r="N453" s="2" t="s">
        <v>30</v>
      </c>
      <c r="O453" s="2" t="s">
        <v>36</v>
      </c>
      <c r="P453" s="2" t="s">
        <v>1748</v>
      </c>
      <c r="Q453" s="2">
        <v>442.76400000000001</v>
      </c>
      <c r="R453" s="2">
        <v>4</v>
      </c>
      <c r="S453" s="2">
        <v>59.035200000000003</v>
      </c>
      <c r="T453" s="2" t="s">
        <v>83</v>
      </c>
      <c r="U453" s="2" t="s">
        <v>161</v>
      </c>
    </row>
    <row r="454" spans="1:21" ht="14.25" customHeight="1" x14ac:dyDescent="0.3">
      <c r="A454" s="2" t="s">
        <v>1746</v>
      </c>
      <c r="B454" s="5">
        <v>42497</v>
      </c>
      <c r="C454" s="2" t="str">
        <f>TEXT(data[[#This Row],[Order Date]],"YYYY")</f>
        <v>2016</v>
      </c>
      <c r="D454" s="2">
        <v>42501</v>
      </c>
      <c r="E454" s="2" t="s">
        <v>39</v>
      </c>
      <c r="F454" s="2" t="s">
        <v>1345</v>
      </c>
      <c r="G454" s="2" t="s">
        <v>1346</v>
      </c>
      <c r="H454" s="2" t="s">
        <v>24</v>
      </c>
      <c r="I454" s="2" t="s">
        <v>25</v>
      </c>
      <c r="J454" s="2" t="s">
        <v>173</v>
      </c>
      <c r="K454" s="2" t="s">
        <v>120</v>
      </c>
      <c r="L454" s="2" t="s">
        <v>67</v>
      </c>
      <c r="M454" s="2" t="s">
        <v>927</v>
      </c>
      <c r="N454" s="2" t="s">
        <v>30</v>
      </c>
      <c r="O454" s="2" t="s">
        <v>56</v>
      </c>
      <c r="P454" s="2" t="s">
        <v>316</v>
      </c>
      <c r="Q454" s="2">
        <v>63.68</v>
      </c>
      <c r="R454" s="2">
        <v>8</v>
      </c>
      <c r="S454" s="2">
        <v>28.019200000000001</v>
      </c>
      <c r="T454" s="2" t="s">
        <v>83</v>
      </c>
      <c r="U454" s="2" t="s">
        <v>161</v>
      </c>
    </row>
    <row r="455" spans="1:21" ht="14.25" customHeight="1" x14ac:dyDescent="0.3">
      <c r="A455" s="2" t="s">
        <v>1749</v>
      </c>
      <c r="B455" s="5">
        <v>42957</v>
      </c>
      <c r="C455" s="2" t="str">
        <f>TEXT(data[[#This Row],[Order Date]],"YYYY")</f>
        <v>2017</v>
      </c>
      <c r="D455" s="2">
        <v>42962</v>
      </c>
      <c r="E455" s="2" t="s">
        <v>39</v>
      </c>
      <c r="F455" s="2" t="s">
        <v>1750</v>
      </c>
      <c r="G455" s="2" t="s">
        <v>1751</v>
      </c>
      <c r="H455" s="2" t="s">
        <v>24</v>
      </c>
      <c r="I455" s="2" t="s">
        <v>25</v>
      </c>
      <c r="J455" s="2" t="s">
        <v>347</v>
      </c>
      <c r="K455" s="2" t="s">
        <v>110</v>
      </c>
      <c r="L455" s="2" t="s">
        <v>93</v>
      </c>
      <c r="M455" s="2" t="s">
        <v>144</v>
      </c>
      <c r="N455" s="2" t="s">
        <v>30</v>
      </c>
      <c r="O455" s="2" t="s">
        <v>56</v>
      </c>
      <c r="P455" s="2" t="s">
        <v>145</v>
      </c>
      <c r="Q455" s="2">
        <v>121.3</v>
      </c>
      <c r="R455" s="2">
        <v>2</v>
      </c>
      <c r="S455" s="2">
        <v>25.472999999999999</v>
      </c>
      <c r="T455" s="2" t="s">
        <v>58</v>
      </c>
      <c r="U455" s="2" t="s">
        <v>253</v>
      </c>
    </row>
    <row r="456" spans="1:21" ht="14.25" customHeight="1" x14ac:dyDescent="0.3">
      <c r="A456" s="2" t="s">
        <v>1752</v>
      </c>
      <c r="B456" s="5">
        <v>41791</v>
      </c>
      <c r="C456" s="2" t="str">
        <f>TEXT(data[[#This Row],[Order Date]],"YYYY")</f>
        <v>2014</v>
      </c>
      <c r="D456" s="2">
        <v>41796</v>
      </c>
      <c r="E456" s="2" t="s">
        <v>39</v>
      </c>
      <c r="F456" s="2" t="s">
        <v>813</v>
      </c>
      <c r="G456" s="2" t="s">
        <v>814</v>
      </c>
      <c r="H456" s="2" t="s">
        <v>24</v>
      </c>
      <c r="I456" s="2" t="s">
        <v>25</v>
      </c>
      <c r="J456" s="2" t="s">
        <v>1753</v>
      </c>
      <c r="K456" s="2" t="s">
        <v>1058</v>
      </c>
      <c r="L456" s="2" t="s">
        <v>28</v>
      </c>
      <c r="M456" s="2" t="s">
        <v>446</v>
      </c>
      <c r="N456" s="2" t="s">
        <v>30</v>
      </c>
      <c r="O456" s="2" t="s">
        <v>56</v>
      </c>
      <c r="P456" s="2" t="s">
        <v>447</v>
      </c>
      <c r="Q456" s="2">
        <v>22.2</v>
      </c>
      <c r="R456" s="2">
        <v>6</v>
      </c>
      <c r="S456" s="2">
        <v>9.1020000000000003</v>
      </c>
      <c r="T456" s="2" t="s">
        <v>58</v>
      </c>
      <c r="U456" s="2" t="s">
        <v>59</v>
      </c>
    </row>
    <row r="457" spans="1:21" ht="14.25" customHeight="1" x14ac:dyDescent="0.3">
      <c r="A457" s="2" t="s">
        <v>1754</v>
      </c>
      <c r="B457" s="5">
        <v>42253</v>
      </c>
      <c r="C457" s="2" t="str">
        <f>TEXT(data[[#This Row],[Order Date]],"YYYY")</f>
        <v>2015</v>
      </c>
      <c r="D457" s="2">
        <v>42259</v>
      </c>
      <c r="E457" s="2" t="s">
        <v>39</v>
      </c>
      <c r="F457" s="2" t="s">
        <v>1266</v>
      </c>
      <c r="G457" s="2" t="s">
        <v>1267</v>
      </c>
      <c r="H457" s="2" t="s">
        <v>100</v>
      </c>
      <c r="I457" s="2" t="s">
        <v>25</v>
      </c>
      <c r="J457" s="2" t="s">
        <v>191</v>
      </c>
      <c r="K457" s="2" t="s">
        <v>192</v>
      </c>
      <c r="L457" s="2" t="s">
        <v>54</v>
      </c>
      <c r="M457" s="2" t="s">
        <v>1755</v>
      </c>
      <c r="N457" s="2" t="s">
        <v>30</v>
      </c>
      <c r="O457" s="2" t="s">
        <v>56</v>
      </c>
      <c r="P457" s="2" t="s">
        <v>1756</v>
      </c>
      <c r="Q457" s="2">
        <v>191.82</v>
      </c>
      <c r="R457" s="2">
        <v>3</v>
      </c>
      <c r="S457" s="2">
        <v>74.809799999999996</v>
      </c>
      <c r="T457" s="2" t="s">
        <v>129</v>
      </c>
      <c r="U457" s="2" t="s">
        <v>77</v>
      </c>
    </row>
    <row r="458" spans="1:21" ht="14.25" customHeight="1" x14ac:dyDescent="0.3">
      <c r="A458" s="2" t="s">
        <v>1757</v>
      </c>
      <c r="B458" s="5">
        <v>42184</v>
      </c>
      <c r="C458" s="2" t="str">
        <f>TEXT(data[[#This Row],[Order Date]],"YYYY")</f>
        <v>2015</v>
      </c>
      <c r="D458" s="2">
        <v>42190</v>
      </c>
      <c r="E458" s="2" t="s">
        <v>39</v>
      </c>
      <c r="F458" s="2" t="s">
        <v>197</v>
      </c>
      <c r="G458" s="2" t="s">
        <v>198</v>
      </c>
      <c r="H458" s="2" t="s">
        <v>24</v>
      </c>
      <c r="I458" s="2" t="s">
        <v>25</v>
      </c>
      <c r="J458" s="2" t="s">
        <v>815</v>
      </c>
      <c r="K458" s="2" t="s">
        <v>66</v>
      </c>
      <c r="L458" s="2" t="s">
        <v>67</v>
      </c>
      <c r="M458" s="2" t="s">
        <v>1290</v>
      </c>
      <c r="N458" s="2" t="s">
        <v>30</v>
      </c>
      <c r="O458" s="2" t="s">
        <v>56</v>
      </c>
      <c r="P458" s="2" t="s">
        <v>1758</v>
      </c>
      <c r="Q458" s="2">
        <v>20.103999999999999</v>
      </c>
      <c r="R458" s="2">
        <v>1</v>
      </c>
      <c r="S458" s="2">
        <v>1.7591000000000001</v>
      </c>
      <c r="T458" s="2" t="s">
        <v>129</v>
      </c>
      <c r="U458" s="2" t="s">
        <v>59</v>
      </c>
    </row>
    <row r="459" spans="1:21" ht="14.25" customHeight="1" x14ac:dyDescent="0.3">
      <c r="A459" s="2" t="s">
        <v>1759</v>
      </c>
      <c r="B459" s="5">
        <v>43060</v>
      </c>
      <c r="C459" s="2" t="str">
        <f>TEXT(data[[#This Row],[Order Date]],"YYYY")</f>
        <v>2017</v>
      </c>
      <c r="D459" s="2">
        <v>43064</v>
      </c>
      <c r="E459" s="2" t="s">
        <v>39</v>
      </c>
      <c r="F459" s="2" t="s">
        <v>1760</v>
      </c>
      <c r="G459" s="2" t="s">
        <v>1761</v>
      </c>
      <c r="H459" s="2" t="s">
        <v>24</v>
      </c>
      <c r="I459" s="2" t="s">
        <v>25</v>
      </c>
      <c r="J459" s="2" t="s">
        <v>173</v>
      </c>
      <c r="K459" s="2" t="s">
        <v>120</v>
      </c>
      <c r="L459" s="2" t="s">
        <v>67</v>
      </c>
      <c r="M459" s="2" t="s">
        <v>1149</v>
      </c>
      <c r="N459" s="2" t="s">
        <v>30</v>
      </c>
      <c r="O459" s="2" t="s">
        <v>56</v>
      </c>
      <c r="P459" s="2" t="s">
        <v>1150</v>
      </c>
      <c r="Q459" s="2">
        <v>27.42</v>
      </c>
      <c r="R459" s="2">
        <v>1</v>
      </c>
      <c r="S459" s="2">
        <v>11.2422</v>
      </c>
      <c r="T459" s="2" t="s">
        <v>83</v>
      </c>
      <c r="U459" s="2" t="s">
        <v>34</v>
      </c>
    </row>
    <row r="460" spans="1:21" ht="14.25" customHeight="1" x14ac:dyDescent="0.3">
      <c r="A460" s="2" t="s">
        <v>1762</v>
      </c>
      <c r="B460" s="5">
        <v>43009</v>
      </c>
      <c r="C460" s="2" t="str">
        <f>TEXT(data[[#This Row],[Order Date]],"YYYY")</f>
        <v>2017</v>
      </c>
      <c r="D460" s="2">
        <v>43010</v>
      </c>
      <c r="E460" s="2" t="s">
        <v>87</v>
      </c>
      <c r="F460" s="2" t="s">
        <v>1763</v>
      </c>
      <c r="G460" s="2" t="s">
        <v>1764</v>
      </c>
      <c r="H460" s="2" t="s">
        <v>24</v>
      </c>
      <c r="I460" s="2" t="s">
        <v>25</v>
      </c>
      <c r="J460" s="2" t="s">
        <v>1491</v>
      </c>
      <c r="K460" s="2" t="s">
        <v>53</v>
      </c>
      <c r="L460" s="2" t="s">
        <v>54</v>
      </c>
      <c r="M460" s="2" t="s">
        <v>1765</v>
      </c>
      <c r="N460" s="2" t="s">
        <v>30</v>
      </c>
      <c r="O460" s="2" t="s">
        <v>36</v>
      </c>
      <c r="P460" s="2" t="s">
        <v>1766</v>
      </c>
      <c r="Q460" s="2">
        <v>108.608</v>
      </c>
      <c r="R460" s="2">
        <v>4</v>
      </c>
      <c r="S460" s="2">
        <v>9.5031999999999996</v>
      </c>
      <c r="T460" s="2" t="s">
        <v>123</v>
      </c>
      <c r="U460" s="2" t="s">
        <v>48</v>
      </c>
    </row>
    <row r="461" spans="1:21" ht="14.25" customHeight="1" x14ac:dyDescent="0.3">
      <c r="A461" s="2" t="s">
        <v>1767</v>
      </c>
      <c r="B461" s="5">
        <v>42344</v>
      </c>
      <c r="C461" s="2" t="str">
        <f>TEXT(data[[#This Row],[Order Date]],"YYYY")</f>
        <v>2015</v>
      </c>
      <c r="D461" s="2">
        <v>42344</v>
      </c>
      <c r="E461" s="2" t="s">
        <v>425</v>
      </c>
      <c r="F461" s="2" t="s">
        <v>1768</v>
      </c>
      <c r="G461" s="2" t="s">
        <v>1769</v>
      </c>
      <c r="H461" s="2" t="s">
        <v>24</v>
      </c>
      <c r="I461" s="2" t="s">
        <v>25</v>
      </c>
      <c r="J461" s="2" t="s">
        <v>1770</v>
      </c>
      <c r="K461" s="2" t="s">
        <v>231</v>
      </c>
      <c r="L461" s="2" t="s">
        <v>67</v>
      </c>
      <c r="M461" s="2" t="s">
        <v>295</v>
      </c>
      <c r="N461" s="2" t="s">
        <v>30</v>
      </c>
      <c r="O461" s="2" t="s">
        <v>36</v>
      </c>
      <c r="P461" s="2" t="s">
        <v>296</v>
      </c>
      <c r="Q461" s="2">
        <v>70.686000000000007</v>
      </c>
      <c r="R461" s="2">
        <v>1</v>
      </c>
      <c r="S461" s="2">
        <v>-24.235199999999999</v>
      </c>
      <c r="T461" s="2" t="s">
        <v>430</v>
      </c>
      <c r="U461" s="2" t="s">
        <v>96</v>
      </c>
    </row>
    <row r="462" spans="1:21" ht="14.25" customHeight="1" x14ac:dyDescent="0.3">
      <c r="A462" s="2" t="s">
        <v>1771</v>
      </c>
      <c r="B462" s="5">
        <v>42448</v>
      </c>
      <c r="C462" s="2" t="str">
        <f>TEXT(data[[#This Row],[Order Date]],"YYYY")</f>
        <v>2016</v>
      </c>
      <c r="D462" s="2">
        <v>42450</v>
      </c>
      <c r="E462" s="2" t="s">
        <v>21</v>
      </c>
      <c r="F462" s="2" t="s">
        <v>1772</v>
      </c>
      <c r="G462" s="2" t="s">
        <v>1773</v>
      </c>
      <c r="H462" s="2" t="s">
        <v>24</v>
      </c>
      <c r="I462" s="2" t="s">
        <v>25</v>
      </c>
      <c r="J462" s="2" t="s">
        <v>1774</v>
      </c>
      <c r="K462" s="2" t="s">
        <v>180</v>
      </c>
      <c r="L462" s="2" t="s">
        <v>54</v>
      </c>
      <c r="M462" s="2" t="s">
        <v>1775</v>
      </c>
      <c r="N462" s="2" t="s">
        <v>30</v>
      </c>
      <c r="O462" s="2" t="s">
        <v>31</v>
      </c>
      <c r="P462" s="2" t="s">
        <v>1776</v>
      </c>
      <c r="Q462" s="2">
        <v>72.293999999999997</v>
      </c>
      <c r="R462" s="2">
        <v>1</v>
      </c>
      <c r="S462" s="2">
        <v>-98.8018</v>
      </c>
      <c r="T462" s="2" t="s">
        <v>70</v>
      </c>
      <c r="U462" s="2" t="s">
        <v>195</v>
      </c>
    </row>
    <row r="463" spans="1:21" ht="14.25" customHeight="1" x14ac:dyDescent="0.3">
      <c r="A463" s="2" t="s">
        <v>1777</v>
      </c>
      <c r="B463" s="5">
        <v>42644</v>
      </c>
      <c r="C463" s="2" t="str">
        <f>TEXT(data[[#This Row],[Order Date]],"YYYY")</f>
        <v>2016</v>
      </c>
      <c r="D463" s="2">
        <v>42648</v>
      </c>
      <c r="E463" s="2" t="s">
        <v>39</v>
      </c>
      <c r="F463" s="2" t="s">
        <v>1126</v>
      </c>
      <c r="G463" s="2" t="s">
        <v>1127</v>
      </c>
      <c r="H463" s="2" t="s">
        <v>24</v>
      </c>
      <c r="I463" s="2" t="s">
        <v>25</v>
      </c>
      <c r="J463" s="2" t="s">
        <v>173</v>
      </c>
      <c r="K463" s="2" t="s">
        <v>120</v>
      </c>
      <c r="L463" s="2" t="s">
        <v>67</v>
      </c>
      <c r="M463" s="2" t="s">
        <v>1723</v>
      </c>
      <c r="N463" s="2" t="s">
        <v>30</v>
      </c>
      <c r="O463" s="2" t="s">
        <v>45</v>
      </c>
      <c r="P463" s="2" t="s">
        <v>1724</v>
      </c>
      <c r="Q463" s="2">
        <v>330.58800000000002</v>
      </c>
      <c r="R463" s="2">
        <v>1</v>
      </c>
      <c r="S463" s="2">
        <v>-115.7058</v>
      </c>
      <c r="T463" s="2" t="s">
        <v>83</v>
      </c>
      <c r="U463" s="2" t="s">
        <v>48</v>
      </c>
    </row>
    <row r="464" spans="1:21" ht="14.25" customHeight="1" x14ac:dyDescent="0.3">
      <c r="A464" s="2" t="s">
        <v>1778</v>
      </c>
      <c r="B464" s="5">
        <v>42912</v>
      </c>
      <c r="C464" s="2" t="str">
        <f>TEXT(data[[#This Row],[Order Date]],"YYYY")</f>
        <v>2017</v>
      </c>
      <c r="D464" s="2">
        <v>42917</v>
      </c>
      <c r="E464" s="2" t="s">
        <v>39</v>
      </c>
      <c r="F464" s="2" t="s">
        <v>1779</v>
      </c>
      <c r="G464" s="2" t="s">
        <v>1780</v>
      </c>
      <c r="H464" s="2" t="s">
        <v>24</v>
      </c>
      <c r="I464" s="2" t="s">
        <v>25</v>
      </c>
      <c r="J464" s="2" t="s">
        <v>1154</v>
      </c>
      <c r="K464" s="2" t="s">
        <v>110</v>
      </c>
      <c r="L464" s="2" t="s">
        <v>93</v>
      </c>
      <c r="M464" s="2" t="s">
        <v>1010</v>
      </c>
      <c r="N464" s="2" t="s">
        <v>30</v>
      </c>
      <c r="O464" s="2" t="s">
        <v>56</v>
      </c>
      <c r="P464" s="2" t="s">
        <v>1011</v>
      </c>
      <c r="Q464" s="2">
        <v>526.45000000000005</v>
      </c>
      <c r="R464" s="2">
        <v>5</v>
      </c>
      <c r="S464" s="2">
        <v>31.587</v>
      </c>
      <c r="T464" s="2" t="s">
        <v>58</v>
      </c>
      <c r="U464" s="2" t="s">
        <v>59</v>
      </c>
    </row>
    <row r="465" spans="1:21" ht="14.25" customHeight="1" x14ac:dyDescent="0.3">
      <c r="A465" s="2" t="s">
        <v>1781</v>
      </c>
      <c r="B465" s="5">
        <v>42845</v>
      </c>
      <c r="C465" s="2" t="str">
        <f>TEXT(data[[#This Row],[Order Date]],"YYYY")</f>
        <v>2017</v>
      </c>
      <c r="D465" s="2">
        <v>42851</v>
      </c>
      <c r="E465" s="2" t="s">
        <v>39</v>
      </c>
      <c r="F465" s="2" t="s">
        <v>1782</v>
      </c>
      <c r="G465" s="2" t="s">
        <v>1783</v>
      </c>
      <c r="H465" s="2" t="s">
        <v>100</v>
      </c>
      <c r="I465" s="2" t="s">
        <v>25</v>
      </c>
      <c r="J465" s="2" t="s">
        <v>133</v>
      </c>
      <c r="K465" s="2" t="s">
        <v>134</v>
      </c>
      <c r="L465" s="2" t="s">
        <v>93</v>
      </c>
      <c r="M465" s="2" t="s">
        <v>1784</v>
      </c>
      <c r="N465" s="2" t="s">
        <v>30</v>
      </c>
      <c r="O465" s="2" t="s">
        <v>56</v>
      </c>
      <c r="P465" s="2" t="s">
        <v>1785</v>
      </c>
      <c r="Q465" s="2">
        <v>44.4</v>
      </c>
      <c r="R465" s="2">
        <v>2</v>
      </c>
      <c r="S465" s="2">
        <v>-52.17</v>
      </c>
      <c r="T465" s="2" t="s">
        <v>129</v>
      </c>
      <c r="U465" s="2" t="s">
        <v>113</v>
      </c>
    </row>
    <row r="466" spans="1:21" ht="14.25" customHeight="1" x14ac:dyDescent="0.3">
      <c r="A466" s="2" t="s">
        <v>1786</v>
      </c>
      <c r="B466" s="5">
        <v>42630</v>
      </c>
      <c r="C466" s="2" t="str">
        <f>TEXT(data[[#This Row],[Order Date]],"YYYY")</f>
        <v>2016</v>
      </c>
      <c r="D466" s="2">
        <v>42635</v>
      </c>
      <c r="E466" s="2" t="s">
        <v>39</v>
      </c>
      <c r="F466" s="2" t="s">
        <v>984</v>
      </c>
      <c r="G466" s="2" t="s">
        <v>985</v>
      </c>
      <c r="H466" s="2" t="s">
        <v>90</v>
      </c>
      <c r="I466" s="2" t="s">
        <v>25</v>
      </c>
      <c r="J466" s="2" t="s">
        <v>1787</v>
      </c>
      <c r="K466" s="2" t="s">
        <v>1788</v>
      </c>
      <c r="L466" s="2" t="s">
        <v>67</v>
      </c>
      <c r="M466" s="2" t="s">
        <v>1085</v>
      </c>
      <c r="N466" s="2" t="s">
        <v>30</v>
      </c>
      <c r="O466" s="2" t="s">
        <v>56</v>
      </c>
      <c r="P466" s="2" t="s">
        <v>1086</v>
      </c>
      <c r="Q466" s="2">
        <v>109.48</v>
      </c>
      <c r="R466" s="2">
        <v>2</v>
      </c>
      <c r="S466" s="2">
        <v>33.938800000000001</v>
      </c>
      <c r="T466" s="2" t="s">
        <v>58</v>
      </c>
      <c r="U466" s="2" t="s">
        <v>77</v>
      </c>
    </row>
    <row r="467" spans="1:21" ht="14.25" customHeight="1" x14ac:dyDescent="0.3">
      <c r="A467" s="2" t="s">
        <v>1789</v>
      </c>
      <c r="B467" s="5">
        <v>42902</v>
      </c>
      <c r="C467" s="2" t="str">
        <f>TEXT(data[[#This Row],[Order Date]],"YYYY")</f>
        <v>2017</v>
      </c>
      <c r="D467" s="2">
        <v>42905</v>
      </c>
      <c r="E467" s="2" t="s">
        <v>87</v>
      </c>
      <c r="F467" s="2" t="s">
        <v>1428</v>
      </c>
      <c r="G467" s="2" t="s">
        <v>1429</v>
      </c>
      <c r="H467" s="2" t="s">
        <v>24</v>
      </c>
      <c r="I467" s="2" t="s">
        <v>25</v>
      </c>
      <c r="J467" s="2" t="s">
        <v>328</v>
      </c>
      <c r="K467" s="2" t="s">
        <v>53</v>
      </c>
      <c r="L467" s="2" t="s">
        <v>54</v>
      </c>
      <c r="M467" s="2" t="s">
        <v>479</v>
      </c>
      <c r="N467" s="2" t="s">
        <v>30</v>
      </c>
      <c r="O467" s="2" t="s">
        <v>36</v>
      </c>
      <c r="P467" s="2" t="s">
        <v>480</v>
      </c>
      <c r="Q467" s="2">
        <v>1212.96</v>
      </c>
      <c r="R467" s="2">
        <v>7</v>
      </c>
      <c r="S467" s="2">
        <v>90.971999999999994</v>
      </c>
      <c r="T467" s="2" t="s">
        <v>33</v>
      </c>
      <c r="U467" s="2" t="s">
        <v>59</v>
      </c>
    </row>
    <row r="468" spans="1:21" ht="14.25" customHeight="1" x14ac:dyDescent="0.3">
      <c r="A468" s="2" t="s">
        <v>1790</v>
      </c>
      <c r="B468" s="5">
        <v>42772</v>
      </c>
      <c r="C468" s="2" t="str">
        <f>TEXT(data[[#This Row],[Order Date]],"YYYY")</f>
        <v>2017</v>
      </c>
      <c r="D468" s="2">
        <v>42775</v>
      </c>
      <c r="E468" s="2" t="s">
        <v>87</v>
      </c>
      <c r="F468" s="2" t="s">
        <v>1791</v>
      </c>
      <c r="G468" s="2" t="s">
        <v>1792</v>
      </c>
      <c r="H468" s="2" t="s">
        <v>24</v>
      </c>
      <c r="I468" s="2" t="s">
        <v>25</v>
      </c>
      <c r="J468" s="2" t="s">
        <v>689</v>
      </c>
      <c r="K468" s="2" t="s">
        <v>716</v>
      </c>
      <c r="L468" s="2" t="s">
        <v>28</v>
      </c>
      <c r="M468" s="2" t="s">
        <v>710</v>
      </c>
      <c r="N468" s="2" t="s">
        <v>30</v>
      </c>
      <c r="O468" s="2" t="s">
        <v>31</v>
      </c>
      <c r="P468" s="2" t="s">
        <v>711</v>
      </c>
      <c r="Q468" s="2">
        <v>359.97</v>
      </c>
      <c r="R468" s="2">
        <v>3</v>
      </c>
      <c r="S468" s="2">
        <v>79.193399999999997</v>
      </c>
      <c r="T468" s="2" t="s">
        <v>33</v>
      </c>
      <c r="U468" s="2" t="s">
        <v>297</v>
      </c>
    </row>
    <row r="469" spans="1:21" ht="14.25" customHeight="1" x14ac:dyDescent="0.3">
      <c r="A469" s="2" t="s">
        <v>1793</v>
      </c>
      <c r="B469" s="5">
        <v>42069</v>
      </c>
      <c r="C469" s="2" t="str">
        <f>TEXT(data[[#This Row],[Order Date]],"YYYY")</f>
        <v>2015</v>
      </c>
      <c r="D469" s="2">
        <v>42074</v>
      </c>
      <c r="E469" s="2" t="s">
        <v>39</v>
      </c>
      <c r="F469" s="2" t="s">
        <v>1794</v>
      </c>
      <c r="G469" s="2" t="s">
        <v>1795</v>
      </c>
      <c r="H469" s="2" t="s">
        <v>24</v>
      </c>
      <c r="I469" s="2" t="s">
        <v>25</v>
      </c>
      <c r="J469" s="2" t="s">
        <v>328</v>
      </c>
      <c r="K469" s="2" t="s">
        <v>53</v>
      </c>
      <c r="L469" s="2" t="s">
        <v>54</v>
      </c>
      <c r="M469" s="2" t="s">
        <v>1796</v>
      </c>
      <c r="N469" s="2" t="s">
        <v>30</v>
      </c>
      <c r="O469" s="2" t="s">
        <v>56</v>
      </c>
      <c r="P469" s="2" t="s">
        <v>1797</v>
      </c>
      <c r="Q469" s="2">
        <v>435.26</v>
      </c>
      <c r="R469" s="2">
        <v>7</v>
      </c>
      <c r="S469" s="2">
        <v>95.757199999999997</v>
      </c>
      <c r="T469" s="2" t="s">
        <v>58</v>
      </c>
      <c r="U469" s="2" t="s">
        <v>195</v>
      </c>
    </row>
    <row r="470" spans="1:21" ht="14.25" customHeight="1" x14ac:dyDescent="0.3">
      <c r="A470" s="2" t="s">
        <v>1798</v>
      </c>
      <c r="B470" s="5">
        <v>41915</v>
      </c>
      <c r="C470" s="2" t="str">
        <f>TEXT(data[[#This Row],[Order Date]],"YYYY")</f>
        <v>2014</v>
      </c>
      <c r="D470" s="2">
        <v>41920</v>
      </c>
      <c r="E470" s="2" t="s">
        <v>21</v>
      </c>
      <c r="F470" s="2" t="s">
        <v>432</v>
      </c>
      <c r="G470" s="2" t="s">
        <v>433</v>
      </c>
      <c r="H470" s="2" t="s">
        <v>90</v>
      </c>
      <c r="I470" s="2" t="s">
        <v>25</v>
      </c>
      <c r="J470" s="2" t="s">
        <v>52</v>
      </c>
      <c r="K470" s="2" t="s">
        <v>53</v>
      </c>
      <c r="L470" s="2" t="s">
        <v>54</v>
      </c>
      <c r="M470" s="2" t="s">
        <v>1799</v>
      </c>
      <c r="N470" s="2" t="s">
        <v>30</v>
      </c>
      <c r="O470" s="2" t="s">
        <v>45</v>
      </c>
      <c r="P470" s="2" t="s">
        <v>1800</v>
      </c>
      <c r="Q470" s="2">
        <v>143.43199999999999</v>
      </c>
      <c r="R470" s="2">
        <v>1</v>
      </c>
      <c r="S470" s="2">
        <v>3.5857999999999999</v>
      </c>
      <c r="T470" s="2" t="s">
        <v>58</v>
      </c>
      <c r="U470" s="2" t="s">
        <v>48</v>
      </c>
    </row>
    <row r="471" spans="1:21" ht="14.25" customHeight="1" x14ac:dyDescent="0.3">
      <c r="A471" s="2" t="s">
        <v>1798</v>
      </c>
      <c r="B471" s="5">
        <v>41915</v>
      </c>
      <c r="C471" s="2" t="str">
        <f>TEXT(data[[#This Row],[Order Date]],"YYYY")</f>
        <v>2014</v>
      </c>
      <c r="D471" s="2">
        <v>41920</v>
      </c>
      <c r="E471" s="2" t="s">
        <v>21</v>
      </c>
      <c r="F471" s="2" t="s">
        <v>432</v>
      </c>
      <c r="G471" s="2" t="s">
        <v>433</v>
      </c>
      <c r="H471" s="2" t="s">
        <v>90</v>
      </c>
      <c r="I471" s="2" t="s">
        <v>25</v>
      </c>
      <c r="J471" s="2" t="s">
        <v>52</v>
      </c>
      <c r="K471" s="2" t="s">
        <v>53</v>
      </c>
      <c r="L471" s="2" t="s">
        <v>54</v>
      </c>
      <c r="M471" s="2" t="s">
        <v>68</v>
      </c>
      <c r="N471" s="2" t="s">
        <v>30</v>
      </c>
      <c r="O471" s="2" t="s">
        <v>36</v>
      </c>
      <c r="P471" s="2" t="s">
        <v>69</v>
      </c>
      <c r="Q471" s="2">
        <v>122.352</v>
      </c>
      <c r="R471" s="2">
        <v>3</v>
      </c>
      <c r="S471" s="2">
        <v>13.7646</v>
      </c>
      <c r="T471" s="2" t="s">
        <v>58</v>
      </c>
      <c r="U471" s="2" t="s">
        <v>48</v>
      </c>
    </row>
    <row r="472" spans="1:21" ht="14.25" customHeight="1" x14ac:dyDescent="0.3">
      <c r="A472" s="2" t="s">
        <v>1801</v>
      </c>
      <c r="B472" s="5">
        <v>41817</v>
      </c>
      <c r="C472" s="2" t="str">
        <f>TEXT(data[[#This Row],[Order Date]],"YYYY")</f>
        <v>2014</v>
      </c>
      <c r="D472" s="2">
        <v>41821</v>
      </c>
      <c r="E472" s="2" t="s">
        <v>39</v>
      </c>
      <c r="F472" s="2" t="s">
        <v>1802</v>
      </c>
      <c r="G472" s="2" t="s">
        <v>1803</v>
      </c>
      <c r="H472" s="2" t="s">
        <v>24</v>
      </c>
      <c r="I472" s="2" t="s">
        <v>25</v>
      </c>
      <c r="J472" s="2" t="s">
        <v>1804</v>
      </c>
      <c r="K472" s="2" t="s">
        <v>478</v>
      </c>
      <c r="L472" s="2" t="s">
        <v>28</v>
      </c>
      <c r="M472" s="2" t="s">
        <v>1259</v>
      </c>
      <c r="N472" s="2" t="s">
        <v>30</v>
      </c>
      <c r="O472" s="2" t="s">
        <v>45</v>
      </c>
      <c r="P472" s="2" t="s">
        <v>1063</v>
      </c>
      <c r="Q472" s="2">
        <v>85.98</v>
      </c>
      <c r="R472" s="2">
        <v>1</v>
      </c>
      <c r="S472" s="2">
        <v>22.354800000000001</v>
      </c>
      <c r="T472" s="2" t="s">
        <v>83</v>
      </c>
      <c r="U472" s="2" t="s">
        <v>59</v>
      </c>
    </row>
    <row r="473" spans="1:21" ht="14.25" customHeight="1" x14ac:dyDescent="0.3">
      <c r="A473" s="2" t="s">
        <v>1805</v>
      </c>
      <c r="B473" s="5">
        <v>43038</v>
      </c>
      <c r="C473" s="2" t="str">
        <f>TEXT(data[[#This Row],[Order Date]],"YYYY")</f>
        <v>2017</v>
      </c>
      <c r="D473" s="2">
        <v>43041</v>
      </c>
      <c r="E473" s="2" t="s">
        <v>87</v>
      </c>
      <c r="F473" s="2" t="s">
        <v>1806</v>
      </c>
      <c r="G473" s="2" t="s">
        <v>1807</v>
      </c>
      <c r="H473" s="2" t="s">
        <v>24</v>
      </c>
      <c r="I473" s="2" t="s">
        <v>25</v>
      </c>
      <c r="J473" s="2" t="s">
        <v>191</v>
      </c>
      <c r="K473" s="2" t="s">
        <v>192</v>
      </c>
      <c r="L473" s="2" t="s">
        <v>54</v>
      </c>
      <c r="M473" s="2" t="s">
        <v>1656</v>
      </c>
      <c r="N473" s="2" t="s">
        <v>30</v>
      </c>
      <c r="O473" s="2" t="s">
        <v>36</v>
      </c>
      <c r="P473" s="2" t="s">
        <v>1657</v>
      </c>
      <c r="Q473" s="2">
        <v>97.567999999999998</v>
      </c>
      <c r="R473" s="2">
        <v>2</v>
      </c>
      <c r="S473" s="2">
        <v>-6.0979999999999999</v>
      </c>
      <c r="T473" s="2" t="s">
        <v>33</v>
      </c>
      <c r="U473" s="2" t="s">
        <v>48</v>
      </c>
    </row>
    <row r="474" spans="1:21" ht="14.25" customHeight="1" x14ac:dyDescent="0.3">
      <c r="A474" s="2" t="s">
        <v>1805</v>
      </c>
      <c r="B474" s="5">
        <v>43038</v>
      </c>
      <c r="C474" s="2" t="str">
        <f>TEXT(data[[#This Row],[Order Date]],"YYYY")</f>
        <v>2017</v>
      </c>
      <c r="D474" s="2">
        <v>43041</v>
      </c>
      <c r="E474" s="2" t="s">
        <v>87</v>
      </c>
      <c r="F474" s="2" t="s">
        <v>1806</v>
      </c>
      <c r="G474" s="2" t="s">
        <v>1807</v>
      </c>
      <c r="H474" s="2" t="s">
        <v>24</v>
      </c>
      <c r="I474" s="2" t="s">
        <v>25</v>
      </c>
      <c r="J474" s="2" t="s">
        <v>191</v>
      </c>
      <c r="K474" s="2" t="s">
        <v>192</v>
      </c>
      <c r="L474" s="2" t="s">
        <v>54</v>
      </c>
      <c r="M474" s="2" t="s">
        <v>1279</v>
      </c>
      <c r="N474" s="2" t="s">
        <v>30</v>
      </c>
      <c r="O474" s="2" t="s">
        <v>36</v>
      </c>
      <c r="P474" s="2" t="s">
        <v>1280</v>
      </c>
      <c r="Q474" s="2">
        <v>614.27200000000005</v>
      </c>
      <c r="R474" s="2">
        <v>8</v>
      </c>
      <c r="S474" s="2">
        <v>-23.0352</v>
      </c>
      <c r="T474" s="2" t="s">
        <v>33</v>
      </c>
      <c r="U474" s="2" t="s">
        <v>48</v>
      </c>
    </row>
    <row r="475" spans="1:21" ht="14.25" customHeight="1" x14ac:dyDescent="0.3">
      <c r="A475" s="2" t="s">
        <v>1805</v>
      </c>
      <c r="B475" s="5">
        <v>43038</v>
      </c>
      <c r="C475" s="2" t="str">
        <f>TEXT(data[[#This Row],[Order Date]],"YYYY")</f>
        <v>2017</v>
      </c>
      <c r="D475" s="2">
        <v>43041</v>
      </c>
      <c r="E475" s="2" t="s">
        <v>87</v>
      </c>
      <c r="F475" s="2" t="s">
        <v>1806</v>
      </c>
      <c r="G475" s="2" t="s">
        <v>1807</v>
      </c>
      <c r="H475" s="2" t="s">
        <v>24</v>
      </c>
      <c r="I475" s="2" t="s">
        <v>25</v>
      </c>
      <c r="J475" s="2" t="s">
        <v>191</v>
      </c>
      <c r="K475" s="2" t="s">
        <v>192</v>
      </c>
      <c r="L475" s="2" t="s">
        <v>54</v>
      </c>
      <c r="M475" s="2" t="s">
        <v>1136</v>
      </c>
      <c r="N475" s="2" t="s">
        <v>30</v>
      </c>
      <c r="O475" s="2" t="s">
        <v>31</v>
      </c>
      <c r="P475" s="2" t="s">
        <v>1137</v>
      </c>
      <c r="Q475" s="2">
        <v>199.98</v>
      </c>
      <c r="R475" s="2">
        <v>2</v>
      </c>
      <c r="S475" s="2">
        <v>37.996200000000002</v>
      </c>
      <c r="T475" s="2" t="s">
        <v>33</v>
      </c>
      <c r="U475" s="2" t="s">
        <v>48</v>
      </c>
    </row>
    <row r="476" spans="1:21" ht="14.25" customHeight="1" x14ac:dyDescent="0.3">
      <c r="A476" s="2" t="s">
        <v>1808</v>
      </c>
      <c r="B476" s="5">
        <v>42743</v>
      </c>
      <c r="C476" s="2" t="str">
        <f>TEXT(data[[#This Row],[Order Date]],"YYYY")</f>
        <v>2017</v>
      </c>
      <c r="D476" s="2">
        <v>42746</v>
      </c>
      <c r="E476" s="2" t="s">
        <v>87</v>
      </c>
      <c r="F476" s="2" t="s">
        <v>1809</v>
      </c>
      <c r="G476" s="2" t="s">
        <v>1810</v>
      </c>
      <c r="H476" s="2" t="s">
        <v>90</v>
      </c>
      <c r="I476" s="2" t="s">
        <v>25</v>
      </c>
      <c r="J476" s="2" t="s">
        <v>191</v>
      </c>
      <c r="K476" s="2" t="s">
        <v>192</v>
      </c>
      <c r="L476" s="2" t="s">
        <v>54</v>
      </c>
      <c r="M476" s="2" t="s">
        <v>1811</v>
      </c>
      <c r="N476" s="2" t="s">
        <v>30</v>
      </c>
      <c r="O476" s="2" t="s">
        <v>45</v>
      </c>
      <c r="P476" s="2" t="s">
        <v>1812</v>
      </c>
      <c r="Q476" s="2">
        <v>892.98</v>
      </c>
      <c r="R476" s="2">
        <v>2</v>
      </c>
      <c r="S476" s="2">
        <v>80.368200000000002</v>
      </c>
      <c r="T476" s="2" t="s">
        <v>33</v>
      </c>
      <c r="U476" s="2" t="s">
        <v>169</v>
      </c>
    </row>
    <row r="477" spans="1:21" ht="14.25" customHeight="1" x14ac:dyDescent="0.3">
      <c r="A477" s="2" t="s">
        <v>1813</v>
      </c>
      <c r="B477" s="5">
        <v>42114</v>
      </c>
      <c r="C477" s="2" t="str">
        <f>TEXT(data[[#This Row],[Order Date]],"YYYY")</f>
        <v>2015</v>
      </c>
      <c r="D477" s="2">
        <v>42119</v>
      </c>
      <c r="E477" s="2" t="s">
        <v>39</v>
      </c>
      <c r="F477" s="2" t="s">
        <v>1726</v>
      </c>
      <c r="G477" s="2" t="s">
        <v>1727</v>
      </c>
      <c r="H477" s="2" t="s">
        <v>90</v>
      </c>
      <c r="I477" s="2" t="s">
        <v>25</v>
      </c>
      <c r="J477" s="2" t="s">
        <v>347</v>
      </c>
      <c r="K477" s="2" t="s">
        <v>667</v>
      </c>
      <c r="L477" s="2" t="s">
        <v>28</v>
      </c>
      <c r="M477" s="2" t="s">
        <v>1400</v>
      </c>
      <c r="N477" s="2" t="s">
        <v>30</v>
      </c>
      <c r="O477" s="2" t="s">
        <v>56</v>
      </c>
      <c r="P477" s="2" t="s">
        <v>1401</v>
      </c>
      <c r="Q477" s="2">
        <v>595.38</v>
      </c>
      <c r="R477" s="2">
        <v>6</v>
      </c>
      <c r="S477" s="2">
        <v>297.69</v>
      </c>
      <c r="T477" s="2" t="s">
        <v>58</v>
      </c>
      <c r="U477" s="2" t="s">
        <v>113</v>
      </c>
    </row>
    <row r="478" spans="1:21" ht="14.25" customHeight="1" x14ac:dyDescent="0.3">
      <c r="A478" s="2" t="s">
        <v>1814</v>
      </c>
      <c r="B478" s="5">
        <v>43092</v>
      </c>
      <c r="C478" s="2" t="str">
        <f>TEXT(data[[#This Row],[Order Date]],"YYYY")</f>
        <v>2017</v>
      </c>
      <c r="D478" s="2">
        <v>43096</v>
      </c>
      <c r="E478" s="2" t="s">
        <v>39</v>
      </c>
      <c r="F478" s="2" t="s">
        <v>1459</v>
      </c>
      <c r="G478" s="2" t="s">
        <v>1460</v>
      </c>
      <c r="H478" s="2" t="s">
        <v>90</v>
      </c>
      <c r="I478" s="2" t="s">
        <v>25</v>
      </c>
      <c r="J478" s="2" t="s">
        <v>1289</v>
      </c>
      <c r="K478" s="2" t="s">
        <v>429</v>
      </c>
      <c r="L478" s="2" t="s">
        <v>67</v>
      </c>
      <c r="M478" s="2" t="s">
        <v>144</v>
      </c>
      <c r="N478" s="2" t="s">
        <v>30</v>
      </c>
      <c r="O478" s="2" t="s">
        <v>56</v>
      </c>
      <c r="P478" s="2" t="s">
        <v>145</v>
      </c>
      <c r="Q478" s="2">
        <v>181.95</v>
      </c>
      <c r="R478" s="2">
        <v>3</v>
      </c>
      <c r="S478" s="2">
        <v>38.209499999999998</v>
      </c>
      <c r="T478" s="2" t="s">
        <v>83</v>
      </c>
      <c r="U478" s="2" t="s">
        <v>96</v>
      </c>
    </row>
    <row r="479" spans="1:21" ht="14.25" customHeight="1" x14ac:dyDescent="0.3">
      <c r="A479" s="2" t="s">
        <v>1815</v>
      </c>
      <c r="B479" s="5">
        <v>42309</v>
      </c>
      <c r="C479" s="2" t="str">
        <f>TEXT(data[[#This Row],[Order Date]],"YYYY")</f>
        <v>2015</v>
      </c>
      <c r="D479" s="2">
        <v>42313</v>
      </c>
      <c r="E479" s="2" t="s">
        <v>39</v>
      </c>
      <c r="F479" s="2" t="s">
        <v>293</v>
      </c>
      <c r="G479" s="2" t="s">
        <v>294</v>
      </c>
      <c r="H479" s="2" t="s">
        <v>24</v>
      </c>
      <c r="I479" s="2" t="s">
        <v>25</v>
      </c>
      <c r="J479" s="2" t="s">
        <v>173</v>
      </c>
      <c r="K479" s="2" t="s">
        <v>120</v>
      </c>
      <c r="L479" s="2" t="s">
        <v>67</v>
      </c>
      <c r="M479" s="2" t="s">
        <v>879</v>
      </c>
      <c r="N479" s="2" t="s">
        <v>30</v>
      </c>
      <c r="O479" s="2" t="s">
        <v>56</v>
      </c>
      <c r="P479" s="2" t="s">
        <v>880</v>
      </c>
      <c r="Q479" s="2">
        <v>259.7</v>
      </c>
      <c r="R479" s="2">
        <v>5</v>
      </c>
      <c r="S479" s="2">
        <v>106.477</v>
      </c>
      <c r="T479" s="2" t="s">
        <v>83</v>
      </c>
      <c r="U479" s="2" t="s">
        <v>34</v>
      </c>
    </row>
    <row r="480" spans="1:21" ht="14.25" customHeight="1" x14ac:dyDescent="0.3">
      <c r="A480" s="2" t="s">
        <v>1816</v>
      </c>
      <c r="B480" s="5">
        <v>42995</v>
      </c>
      <c r="C480" s="2" t="str">
        <f>TEXT(data[[#This Row],[Order Date]],"YYYY")</f>
        <v>2017</v>
      </c>
      <c r="D480" s="2">
        <v>43000</v>
      </c>
      <c r="E480" s="2" t="s">
        <v>21</v>
      </c>
      <c r="F480" s="2" t="s">
        <v>659</v>
      </c>
      <c r="G480" s="2" t="s">
        <v>660</v>
      </c>
      <c r="H480" s="2" t="s">
        <v>100</v>
      </c>
      <c r="I480" s="2" t="s">
        <v>25</v>
      </c>
      <c r="J480" s="2" t="s">
        <v>1817</v>
      </c>
      <c r="K480" s="2" t="s">
        <v>667</v>
      </c>
      <c r="L480" s="2" t="s">
        <v>28</v>
      </c>
      <c r="M480" s="2" t="s">
        <v>420</v>
      </c>
      <c r="N480" s="2" t="s">
        <v>30</v>
      </c>
      <c r="O480" s="2" t="s">
        <v>36</v>
      </c>
      <c r="P480" s="2" t="s">
        <v>421</v>
      </c>
      <c r="Q480" s="2">
        <v>723.92</v>
      </c>
      <c r="R480" s="2">
        <v>4</v>
      </c>
      <c r="S480" s="2">
        <v>188.2192</v>
      </c>
      <c r="T480" s="2" t="s">
        <v>58</v>
      </c>
      <c r="U480" s="2" t="s">
        <v>77</v>
      </c>
    </row>
    <row r="481" spans="1:21" ht="14.25" customHeight="1" x14ac:dyDescent="0.3">
      <c r="A481" s="2" t="s">
        <v>1818</v>
      </c>
      <c r="B481" s="5">
        <v>42727</v>
      </c>
      <c r="C481" s="2" t="str">
        <f>TEXT(data[[#This Row],[Order Date]],"YYYY")</f>
        <v>2016</v>
      </c>
      <c r="D481" s="2">
        <v>42728</v>
      </c>
      <c r="E481" s="2" t="s">
        <v>87</v>
      </c>
      <c r="F481" s="2" t="s">
        <v>376</v>
      </c>
      <c r="G481" s="2" t="s">
        <v>377</v>
      </c>
      <c r="H481" s="2" t="s">
        <v>90</v>
      </c>
      <c r="I481" s="2" t="s">
        <v>25</v>
      </c>
      <c r="J481" s="2" t="s">
        <v>133</v>
      </c>
      <c r="K481" s="2" t="s">
        <v>134</v>
      </c>
      <c r="L481" s="2" t="s">
        <v>93</v>
      </c>
      <c r="M481" s="2" t="s">
        <v>898</v>
      </c>
      <c r="N481" s="2" t="s">
        <v>30</v>
      </c>
      <c r="O481" s="2" t="s">
        <v>31</v>
      </c>
      <c r="P481" s="2" t="s">
        <v>899</v>
      </c>
      <c r="Q481" s="2">
        <v>141.37200000000001</v>
      </c>
      <c r="R481" s="2">
        <v>2</v>
      </c>
      <c r="S481" s="2">
        <v>-14.1372</v>
      </c>
      <c r="T481" s="2" t="s">
        <v>123</v>
      </c>
      <c r="U481" s="2" t="s">
        <v>96</v>
      </c>
    </row>
    <row r="482" spans="1:21" ht="14.25" customHeight="1" x14ac:dyDescent="0.3">
      <c r="A482" s="2" t="s">
        <v>1819</v>
      </c>
      <c r="B482" s="5">
        <v>42897</v>
      </c>
      <c r="C482" s="2" t="str">
        <f>TEXT(data[[#This Row],[Order Date]],"YYYY")</f>
        <v>2017</v>
      </c>
      <c r="D482" s="2">
        <v>42898</v>
      </c>
      <c r="E482" s="2" t="s">
        <v>87</v>
      </c>
      <c r="F482" s="2" t="s">
        <v>1820</v>
      </c>
      <c r="G482" s="2" t="s">
        <v>1821</v>
      </c>
      <c r="H482" s="2" t="s">
        <v>100</v>
      </c>
      <c r="I482" s="2" t="s">
        <v>25</v>
      </c>
      <c r="J482" s="2" t="s">
        <v>1379</v>
      </c>
      <c r="K482" s="2" t="s">
        <v>520</v>
      </c>
      <c r="L482" s="2" t="s">
        <v>54</v>
      </c>
      <c r="M482" s="2" t="s">
        <v>851</v>
      </c>
      <c r="N482" s="2" t="s">
        <v>30</v>
      </c>
      <c r="O482" s="2" t="s">
        <v>36</v>
      </c>
      <c r="P482" s="2" t="s">
        <v>852</v>
      </c>
      <c r="Q482" s="2">
        <v>280.79199999999997</v>
      </c>
      <c r="R482" s="2">
        <v>1</v>
      </c>
      <c r="S482" s="2">
        <v>35.098999999999997</v>
      </c>
      <c r="T482" s="2" t="s">
        <v>123</v>
      </c>
      <c r="U482" s="2" t="s">
        <v>59</v>
      </c>
    </row>
    <row r="483" spans="1:21" ht="14.25" customHeight="1" x14ac:dyDescent="0.3">
      <c r="A483" s="2" t="s">
        <v>1822</v>
      </c>
      <c r="B483" s="5">
        <v>42936</v>
      </c>
      <c r="C483" s="2" t="str">
        <f>TEXT(data[[#This Row],[Order Date]],"YYYY")</f>
        <v>2017</v>
      </c>
      <c r="D483" s="2">
        <v>42941</v>
      </c>
      <c r="E483" s="2" t="s">
        <v>39</v>
      </c>
      <c r="F483" s="2" t="s">
        <v>1823</v>
      </c>
      <c r="G483" s="2" t="s">
        <v>1824</v>
      </c>
      <c r="H483" s="2" t="s">
        <v>90</v>
      </c>
      <c r="I483" s="2" t="s">
        <v>25</v>
      </c>
      <c r="J483" s="2" t="s">
        <v>1825</v>
      </c>
      <c r="K483" s="2" t="s">
        <v>1826</v>
      </c>
      <c r="L483" s="2" t="s">
        <v>93</v>
      </c>
      <c r="M483" s="2" t="s">
        <v>1656</v>
      </c>
      <c r="N483" s="2" t="s">
        <v>30</v>
      </c>
      <c r="O483" s="2" t="s">
        <v>36</v>
      </c>
      <c r="P483" s="2" t="s">
        <v>1657</v>
      </c>
      <c r="Q483" s="2">
        <v>182.94</v>
      </c>
      <c r="R483" s="2">
        <v>3</v>
      </c>
      <c r="S483" s="2">
        <v>27.440999999999999</v>
      </c>
      <c r="T483" s="2" t="s">
        <v>58</v>
      </c>
      <c r="U483" s="2" t="s">
        <v>71</v>
      </c>
    </row>
    <row r="484" spans="1:21" ht="14.25" customHeight="1" x14ac:dyDescent="0.3">
      <c r="A484" s="2" t="s">
        <v>1827</v>
      </c>
      <c r="B484" s="5">
        <v>42262</v>
      </c>
      <c r="C484" s="2" t="str">
        <f>TEXT(data[[#This Row],[Order Date]],"YYYY")</f>
        <v>2015</v>
      </c>
      <c r="D484" s="2">
        <v>42266</v>
      </c>
      <c r="E484" s="2" t="s">
        <v>21</v>
      </c>
      <c r="F484" s="2" t="s">
        <v>1828</v>
      </c>
      <c r="G484" s="2" t="s">
        <v>1829</v>
      </c>
      <c r="H484" s="2" t="s">
        <v>90</v>
      </c>
      <c r="I484" s="2" t="s">
        <v>25</v>
      </c>
      <c r="J484" s="2" t="s">
        <v>173</v>
      </c>
      <c r="K484" s="2" t="s">
        <v>120</v>
      </c>
      <c r="L484" s="2" t="s">
        <v>67</v>
      </c>
      <c r="M484" s="2" t="s">
        <v>348</v>
      </c>
      <c r="N484" s="2" t="s">
        <v>30</v>
      </c>
      <c r="O484" s="2" t="s">
        <v>31</v>
      </c>
      <c r="P484" s="2" t="s">
        <v>349</v>
      </c>
      <c r="Q484" s="2">
        <v>46.384</v>
      </c>
      <c r="R484" s="2">
        <v>1</v>
      </c>
      <c r="S484" s="2">
        <v>1.1596</v>
      </c>
      <c r="T484" s="2" t="s">
        <v>83</v>
      </c>
      <c r="U484" s="2" t="s">
        <v>77</v>
      </c>
    </row>
    <row r="485" spans="1:21" ht="14.25" customHeight="1" x14ac:dyDescent="0.3">
      <c r="A485" s="2" t="s">
        <v>1830</v>
      </c>
      <c r="B485" s="5">
        <v>42363</v>
      </c>
      <c r="C485" s="2" t="str">
        <f>TEXT(data[[#This Row],[Order Date]],"YYYY")</f>
        <v>2015</v>
      </c>
      <c r="D485" s="2">
        <v>42367</v>
      </c>
      <c r="E485" s="2" t="s">
        <v>39</v>
      </c>
      <c r="F485" s="2" t="s">
        <v>675</v>
      </c>
      <c r="G485" s="2" t="s">
        <v>676</v>
      </c>
      <c r="H485" s="2" t="s">
        <v>90</v>
      </c>
      <c r="I485" s="2" t="s">
        <v>25</v>
      </c>
      <c r="J485" s="2" t="s">
        <v>65</v>
      </c>
      <c r="K485" s="2" t="s">
        <v>66</v>
      </c>
      <c r="L485" s="2" t="s">
        <v>67</v>
      </c>
      <c r="M485" s="2" t="s">
        <v>1831</v>
      </c>
      <c r="N485" s="2" t="s">
        <v>30</v>
      </c>
      <c r="O485" s="2" t="s">
        <v>56</v>
      </c>
      <c r="P485" s="2" t="s">
        <v>1832</v>
      </c>
      <c r="Q485" s="2">
        <v>547.13599999999997</v>
      </c>
      <c r="R485" s="2">
        <v>4</v>
      </c>
      <c r="S485" s="2">
        <v>-68.391999999999996</v>
      </c>
      <c r="T485" s="2" t="s">
        <v>83</v>
      </c>
      <c r="U485" s="2" t="s">
        <v>96</v>
      </c>
    </row>
    <row r="486" spans="1:21" ht="14.25" customHeight="1" x14ac:dyDescent="0.3">
      <c r="A486" s="2" t="s">
        <v>1833</v>
      </c>
      <c r="B486" s="5">
        <v>42004</v>
      </c>
      <c r="C486" s="2" t="str">
        <f>TEXT(data[[#This Row],[Order Date]],"YYYY")</f>
        <v>2014</v>
      </c>
      <c r="D486" s="2">
        <v>42007</v>
      </c>
      <c r="E486" s="2" t="s">
        <v>87</v>
      </c>
      <c r="F486" s="2" t="s">
        <v>1252</v>
      </c>
      <c r="G486" s="2" t="s">
        <v>1253</v>
      </c>
      <c r="H486" s="2" t="s">
        <v>100</v>
      </c>
      <c r="I486" s="2" t="s">
        <v>25</v>
      </c>
      <c r="J486" s="2" t="s">
        <v>237</v>
      </c>
      <c r="K486" s="2" t="s">
        <v>434</v>
      </c>
      <c r="L486" s="2" t="s">
        <v>67</v>
      </c>
      <c r="M486" s="2" t="s">
        <v>1834</v>
      </c>
      <c r="N486" s="2" t="s">
        <v>30</v>
      </c>
      <c r="O486" s="2" t="s">
        <v>56</v>
      </c>
      <c r="P486" s="2" t="s">
        <v>1835</v>
      </c>
      <c r="Q486" s="2">
        <v>63.2</v>
      </c>
      <c r="R486" s="2">
        <v>5</v>
      </c>
      <c r="S486" s="2">
        <v>23.384</v>
      </c>
      <c r="T486" s="2" t="s">
        <v>33</v>
      </c>
      <c r="U486" s="2" t="s">
        <v>96</v>
      </c>
    </row>
    <row r="487" spans="1:21" ht="14.25" customHeight="1" x14ac:dyDescent="0.3">
      <c r="A487" s="2" t="s">
        <v>1836</v>
      </c>
      <c r="B487" s="5">
        <v>42442</v>
      </c>
      <c r="C487" s="2" t="str">
        <f>TEXT(data[[#This Row],[Order Date]],"YYYY")</f>
        <v>2016</v>
      </c>
      <c r="D487" s="2">
        <v>42447</v>
      </c>
      <c r="E487" s="2" t="s">
        <v>39</v>
      </c>
      <c r="F487" s="2" t="s">
        <v>813</v>
      </c>
      <c r="G487" s="2" t="s">
        <v>814</v>
      </c>
      <c r="H487" s="2" t="s">
        <v>24</v>
      </c>
      <c r="I487" s="2" t="s">
        <v>25</v>
      </c>
      <c r="J487" s="2" t="s">
        <v>245</v>
      </c>
      <c r="K487" s="2" t="s">
        <v>92</v>
      </c>
      <c r="L487" s="2" t="s">
        <v>93</v>
      </c>
      <c r="M487" s="2" t="s">
        <v>1134</v>
      </c>
      <c r="N487" s="2" t="s">
        <v>30</v>
      </c>
      <c r="O487" s="2" t="s">
        <v>45</v>
      </c>
      <c r="P487" s="2" t="s">
        <v>1135</v>
      </c>
      <c r="Q487" s="2">
        <v>557.58500000000004</v>
      </c>
      <c r="R487" s="2">
        <v>5</v>
      </c>
      <c r="S487" s="2">
        <v>0</v>
      </c>
      <c r="T487" s="2" t="s">
        <v>58</v>
      </c>
      <c r="U487" s="2" t="s">
        <v>195</v>
      </c>
    </row>
    <row r="488" spans="1:21" ht="14.25" customHeight="1" x14ac:dyDescent="0.3">
      <c r="A488" s="2" t="s">
        <v>1837</v>
      </c>
      <c r="B488" s="5">
        <v>42247</v>
      </c>
      <c r="C488" s="2" t="str">
        <f>TEXT(data[[#This Row],[Order Date]],"YYYY")</f>
        <v>2015</v>
      </c>
      <c r="D488" s="2">
        <v>42249</v>
      </c>
      <c r="E488" s="2" t="s">
        <v>87</v>
      </c>
      <c r="F488" s="2" t="s">
        <v>1838</v>
      </c>
      <c r="G488" s="2" t="s">
        <v>1839</v>
      </c>
      <c r="H488" s="2" t="s">
        <v>90</v>
      </c>
      <c r="I488" s="2" t="s">
        <v>25</v>
      </c>
      <c r="J488" s="2" t="s">
        <v>328</v>
      </c>
      <c r="K488" s="2" t="s">
        <v>53</v>
      </c>
      <c r="L488" s="2" t="s">
        <v>54</v>
      </c>
      <c r="M488" s="2" t="s">
        <v>102</v>
      </c>
      <c r="N488" s="2" t="s">
        <v>30</v>
      </c>
      <c r="O488" s="2" t="s">
        <v>31</v>
      </c>
      <c r="P488" s="2" t="s">
        <v>103</v>
      </c>
      <c r="Q488" s="2">
        <v>1552.8309999999999</v>
      </c>
      <c r="R488" s="2">
        <v>7</v>
      </c>
      <c r="S488" s="2">
        <v>200.9546</v>
      </c>
      <c r="T488" s="2" t="s">
        <v>70</v>
      </c>
      <c r="U488" s="2" t="s">
        <v>253</v>
      </c>
    </row>
    <row r="489" spans="1:21" ht="14.25" customHeight="1" x14ac:dyDescent="0.3">
      <c r="A489" s="2" t="s">
        <v>1840</v>
      </c>
      <c r="B489" s="5">
        <v>41715</v>
      </c>
      <c r="C489" s="2" t="str">
        <f>TEXT(data[[#This Row],[Order Date]],"YYYY")</f>
        <v>2014</v>
      </c>
      <c r="D489" s="2">
        <v>41719</v>
      </c>
      <c r="E489" s="2" t="s">
        <v>39</v>
      </c>
      <c r="F489" s="2" t="s">
        <v>1841</v>
      </c>
      <c r="G489" s="2" t="s">
        <v>1842</v>
      </c>
      <c r="H489" s="2" t="s">
        <v>90</v>
      </c>
      <c r="I489" s="2" t="s">
        <v>25</v>
      </c>
      <c r="J489" s="2" t="s">
        <v>173</v>
      </c>
      <c r="K489" s="2" t="s">
        <v>120</v>
      </c>
      <c r="L489" s="2" t="s">
        <v>67</v>
      </c>
      <c r="M489" s="2" t="s">
        <v>306</v>
      </c>
      <c r="N489" s="2" t="s">
        <v>30</v>
      </c>
      <c r="O489" s="2" t="s">
        <v>45</v>
      </c>
      <c r="P489" s="2" t="s">
        <v>307</v>
      </c>
      <c r="Q489" s="2">
        <v>1579.7460000000001</v>
      </c>
      <c r="R489" s="2">
        <v>7</v>
      </c>
      <c r="S489" s="2">
        <v>-447.59469999999999</v>
      </c>
      <c r="T489" s="2" t="s">
        <v>83</v>
      </c>
      <c r="U489" s="2" t="s">
        <v>195</v>
      </c>
    </row>
    <row r="490" spans="1:21" ht="14.25" customHeight="1" x14ac:dyDescent="0.3">
      <c r="A490" s="2" t="s">
        <v>1840</v>
      </c>
      <c r="B490" s="5">
        <v>41715</v>
      </c>
      <c r="C490" s="2" t="str">
        <f>TEXT(data[[#This Row],[Order Date]],"YYYY")</f>
        <v>2014</v>
      </c>
      <c r="D490" s="2">
        <v>41719</v>
      </c>
      <c r="E490" s="2" t="s">
        <v>39</v>
      </c>
      <c r="F490" s="2" t="s">
        <v>1841</v>
      </c>
      <c r="G490" s="2" t="s">
        <v>1842</v>
      </c>
      <c r="H490" s="2" t="s">
        <v>90</v>
      </c>
      <c r="I490" s="2" t="s">
        <v>25</v>
      </c>
      <c r="J490" s="2" t="s">
        <v>173</v>
      </c>
      <c r="K490" s="2" t="s">
        <v>120</v>
      </c>
      <c r="L490" s="2" t="s">
        <v>67</v>
      </c>
      <c r="M490" s="2" t="s">
        <v>1811</v>
      </c>
      <c r="N490" s="2" t="s">
        <v>30</v>
      </c>
      <c r="O490" s="2" t="s">
        <v>45</v>
      </c>
      <c r="P490" s="2" t="s">
        <v>1812</v>
      </c>
      <c r="Q490" s="2">
        <v>1071.576</v>
      </c>
      <c r="R490" s="2">
        <v>4</v>
      </c>
      <c r="S490" s="2">
        <v>-553.64760000000001</v>
      </c>
      <c r="T490" s="2" t="s">
        <v>83</v>
      </c>
      <c r="U490" s="2" t="s">
        <v>195</v>
      </c>
    </row>
    <row r="491" spans="1:21" ht="14.25" customHeight="1" x14ac:dyDescent="0.3">
      <c r="A491" s="2" t="s">
        <v>1840</v>
      </c>
      <c r="B491" s="5">
        <v>41715</v>
      </c>
      <c r="C491" s="2" t="str">
        <f>TEXT(data[[#This Row],[Order Date]],"YYYY")</f>
        <v>2014</v>
      </c>
      <c r="D491" s="2">
        <v>41719</v>
      </c>
      <c r="E491" s="2" t="s">
        <v>39</v>
      </c>
      <c r="F491" s="2" t="s">
        <v>1841</v>
      </c>
      <c r="G491" s="2" t="s">
        <v>1842</v>
      </c>
      <c r="H491" s="2" t="s">
        <v>90</v>
      </c>
      <c r="I491" s="2" t="s">
        <v>25</v>
      </c>
      <c r="J491" s="2" t="s">
        <v>173</v>
      </c>
      <c r="K491" s="2" t="s">
        <v>120</v>
      </c>
      <c r="L491" s="2" t="s">
        <v>67</v>
      </c>
      <c r="M491" s="2" t="s">
        <v>1561</v>
      </c>
      <c r="N491" s="2" t="s">
        <v>30</v>
      </c>
      <c r="O491" s="2" t="s">
        <v>45</v>
      </c>
      <c r="P491" s="2" t="s">
        <v>1562</v>
      </c>
      <c r="Q491" s="2">
        <v>613.90800000000002</v>
      </c>
      <c r="R491" s="2">
        <v>3</v>
      </c>
      <c r="S491" s="2">
        <v>-122.7816</v>
      </c>
      <c r="T491" s="2" t="s">
        <v>83</v>
      </c>
      <c r="U491" s="2" t="s">
        <v>195</v>
      </c>
    </row>
    <row r="492" spans="1:21" ht="14.25" customHeight="1" x14ac:dyDescent="0.3">
      <c r="A492" s="2" t="s">
        <v>1843</v>
      </c>
      <c r="B492" s="5">
        <v>42442</v>
      </c>
      <c r="C492" s="2" t="str">
        <f>TEXT(data[[#This Row],[Order Date]],"YYYY")</f>
        <v>2016</v>
      </c>
      <c r="D492" s="2">
        <v>42447</v>
      </c>
      <c r="E492" s="2" t="s">
        <v>39</v>
      </c>
      <c r="F492" s="2" t="s">
        <v>1844</v>
      </c>
      <c r="G492" s="2" t="s">
        <v>1845</v>
      </c>
      <c r="H492" s="2" t="s">
        <v>100</v>
      </c>
      <c r="I492" s="2" t="s">
        <v>25</v>
      </c>
      <c r="J492" s="2" t="s">
        <v>715</v>
      </c>
      <c r="K492" s="2" t="s">
        <v>716</v>
      </c>
      <c r="L492" s="2" t="s">
        <v>28</v>
      </c>
      <c r="M492" s="2" t="s">
        <v>551</v>
      </c>
      <c r="N492" s="2" t="s">
        <v>30</v>
      </c>
      <c r="O492" s="2" t="s">
        <v>56</v>
      </c>
      <c r="P492" s="2" t="s">
        <v>552</v>
      </c>
      <c r="Q492" s="2">
        <v>127.88</v>
      </c>
      <c r="R492" s="2">
        <v>2</v>
      </c>
      <c r="S492" s="2">
        <v>40.921599999999998</v>
      </c>
      <c r="T492" s="2" t="s">
        <v>58</v>
      </c>
      <c r="U492" s="2" t="s">
        <v>195</v>
      </c>
    </row>
    <row r="493" spans="1:21" ht="14.25" customHeight="1" x14ac:dyDescent="0.3">
      <c r="A493" s="2" t="s">
        <v>1846</v>
      </c>
      <c r="B493" s="5">
        <v>41967</v>
      </c>
      <c r="C493" s="2" t="str">
        <f>TEXT(data[[#This Row],[Order Date]],"YYYY")</f>
        <v>2014</v>
      </c>
      <c r="D493" s="2">
        <v>41969</v>
      </c>
      <c r="E493" s="2" t="s">
        <v>21</v>
      </c>
      <c r="F493" s="2" t="s">
        <v>1847</v>
      </c>
      <c r="G493" s="2" t="s">
        <v>1848</v>
      </c>
      <c r="H493" s="2" t="s">
        <v>24</v>
      </c>
      <c r="I493" s="2" t="s">
        <v>25</v>
      </c>
      <c r="J493" s="2" t="s">
        <v>1849</v>
      </c>
      <c r="K493" s="2" t="s">
        <v>53</v>
      </c>
      <c r="L493" s="2" t="s">
        <v>54</v>
      </c>
      <c r="M493" s="2" t="s">
        <v>1850</v>
      </c>
      <c r="N493" s="2" t="s">
        <v>30</v>
      </c>
      <c r="O493" s="2" t="s">
        <v>36</v>
      </c>
      <c r="P493" s="2" t="s">
        <v>1851</v>
      </c>
      <c r="Q493" s="2">
        <v>120.712</v>
      </c>
      <c r="R493" s="2">
        <v>1</v>
      </c>
      <c r="S493" s="2">
        <v>-18.1068</v>
      </c>
      <c r="T493" s="2" t="s">
        <v>70</v>
      </c>
      <c r="U493" s="2" t="s">
        <v>34</v>
      </c>
    </row>
    <row r="494" spans="1:21" ht="14.25" customHeight="1" x14ac:dyDescent="0.3">
      <c r="A494" s="2" t="s">
        <v>1852</v>
      </c>
      <c r="B494" s="5">
        <v>42636</v>
      </c>
      <c r="C494" s="2" t="str">
        <f>TEXT(data[[#This Row],[Order Date]],"YYYY")</f>
        <v>2016</v>
      </c>
      <c r="D494" s="2">
        <v>42640</v>
      </c>
      <c r="E494" s="2" t="s">
        <v>39</v>
      </c>
      <c r="F494" s="2" t="s">
        <v>351</v>
      </c>
      <c r="G494" s="2" t="s">
        <v>352</v>
      </c>
      <c r="H494" s="2" t="s">
        <v>90</v>
      </c>
      <c r="I494" s="2" t="s">
        <v>25</v>
      </c>
      <c r="J494" s="2" t="s">
        <v>1580</v>
      </c>
      <c r="K494" s="2" t="s">
        <v>231</v>
      </c>
      <c r="L494" s="2" t="s">
        <v>67</v>
      </c>
      <c r="M494" s="2" t="s">
        <v>1853</v>
      </c>
      <c r="N494" s="2" t="s">
        <v>30</v>
      </c>
      <c r="O494" s="2" t="s">
        <v>56</v>
      </c>
      <c r="P494" s="2" t="s">
        <v>1854</v>
      </c>
      <c r="Q494" s="2">
        <v>532.70399999999995</v>
      </c>
      <c r="R494" s="2">
        <v>6</v>
      </c>
      <c r="S494" s="2">
        <v>-26.635200000000001</v>
      </c>
      <c r="T494" s="2" t="s">
        <v>83</v>
      </c>
      <c r="U494" s="2" t="s">
        <v>77</v>
      </c>
    </row>
    <row r="495" spans="1:21" ht="14.25" customHeight="1" x14ac:dyDescent="0.3">
      <c r="A495" s="2" t="s">
        <v>1855</v>
      </c>
      <c r="B495" s="5">
        <v>42558</v>
      </c>
      <c r="C495" s="2" t="str">
        <f>TEXT(data[[#This Row],[Order Date]],"YYYY")</f>
        <v>2016</v>
      </c>
      <c r="D495" s="2">
        <v>42562</v>
      </c>
      <c r="E495" s="2" t="s">
        <v>21</v>
      </c>
      <c r="F495" s="2" t="s">
        <v>1856</v>
      </c>
      <c r="G495" s="2" t="s">
        <v>1857</v>
      </c>
      <c r="H495" s="2" t="s">
        <v>90</v>
      </c>
      <c r="I495" s="2" t="s">
        <v>25</v>
      </c>
      <c r="J495" s="2" t="s">
        <v>179</v>
      </c>
      <c r="K495" s="2" t="s">
        <v>134</v>
      </c>
      <c r="L495" s="2" t="s">
        <v>93</v>
      </c>
      <c r="M495" s="2" t="s">
        <v>1542</v>
      </c>
      <c r="N495" s="2" t="s">
        <v>30</v>
      </c>
      <c r="O495" s="2" t="s">
        <v>56</v>
      </c>
      <c r="P495" s="2" t="s">
        <v>1543</v>
      </c>
      <c r="Q495" s="2">
        <v>60.287999999999997</v>
      </c>
      <c r="R495" s="2">
        <v>8</v>
      </c>
      <c r="S495" s="2">
        <v>-27.1296</v>
      </c>
      <c r="T495" s="2" t="s">
        <v>83</v>
      </c>
      <c r="U495" s="2" t="s">
        <v>71</v>
      </c>
    </row>
    <row r="496" spans="1:21" ht="14.25" customHeight="1" x14ac:dyDescent="0.3">
      <c r="A496" s="2" t="s">
        <v>1855</v>
      </c>
      <c r="B496" s="5">
        <v>42558</v>
      </c>
      <c r="C496" s="2" t="str">
        <f>TEXT(data[[#This Row],[Order Date]],"YYYY")</f>
        <v>2016</v>
      </c>
      <c r="D496" s="2">
        <v>42562</v>
      </c>
      <c r="E496" s="2" t="s">
        <v>21</v>
      </c>
      <c r="F496" s="2" t="s">
        <v>1856</v>
      </c>
      <c r="G496" s="2" t="s">
        <v>1857</v>
      </c>
      <c r="H496" s="2" t="s">
        <v>90</v>
      </c>
      <c r="I496" s="2" t="s">
        <v>25</v>
      </c>
      <c r="J496" s="2" t="s">
        <v>179</v>
      </c>
      <c r="K496" s="2" t="s">
        <v>134</v>
      </c>
      <c r="L496" s="2" t="s">
        <v>93</v>
      </c>
      <c r="M496" s="2" t="s">
        <v>420</v>
      </c>
      <c r="N496" s="2" t="s">
        <v>30</v>
      </c>
      <c r="O496" s="2" t="s">
        <v>36</v>
      </c>
      <c r="P496" s="2" t="s">
        <v>421</v>
      </c>
      <c r="Q496" s="2">
        <v>253.37200000000001</v>
      </c>
      <c r="R496" s="2">
        <v>2</v>
      </c>
      <c r="S496" s="2">
        <v>-14.478400000000001</v>
      </c>
      <c r="T496" s="2" t="s">
        <v>83</v>
      </c>
      <c r="U496" s="2" t="s">
        <v>71</v>
      </c>
    </row>
    <row r="497" spans="1:21" ht="14.25" customHeight="1" x14ac:dyDescent="0.3">
      <c r="A497" s="2" t="s">
        <v>1858</v>
      </c>
      <c r="B497" s="5">
        <v>42496</v>
      </c>
      <c r="C497" s="2" t="str">
        <f>TEXT(data[[#This Row],[Order Date]],"YYYY")</f>
        <v>2016</v>
      </c>
      <c r="D497" s="2">
        <v>42500</v>
      </c>
      <c r="E497" s="2" t="s">
        <v>39</v>
      </c>
      <c r="F497" s="2" t="s">
        <v>1859</v>
      </c>
      <c r="G497" s="2" t="s">
        <v>1860</v>
      </c>
      <c r="H497" s="2" t="s">
        <v>100</v>
      </c>
      <c r="I497" s="2" t="s">
        <v>25</v>
      </c>
      <c r="J497" s="2" t="s">
        <v>869</v>
      </c>
      <c r="K497" s="2" t="s">
        <v>231</v>
      </c>
      <c r="L497" s="2" t="s">
        <v>67</v>
      </c>
      <c r="M497" s="2" t="s">
        <v>84</v>
      </c>
      <c r="N497" s="2" t="s">
        <v>30</v>
      </c>
      <c r="O497" s="2" t="s">
        <v>56</v>
      </c>
      <c r="P497" s="2" t="s">
        <v>1861</v>
      </c>
      <c r="Q497" s="2">
        <v>54.712000000000003</v>
      </c>
      <c r="R497" s="2">
        <v>7</v>
      </c>
      <c r="S497" s="2">
        <v>11.626300000000001</v>
      </c>
      <c r="T497" s="2" t="s">
        <v>83</v>
      </c>
      <c r="U497" s="2" t="s">
        <v>161</v>
      </c>
    </row>
    <row r="498" spans="1:21" ht="14.25" customHeight="1" x14ac:dyDescent="0.3">
      <c r="A498" s="2" t="s">
        <v>1862</v>
      </c>
      <c r="B498" s="5">
        <v>42344</v>
      </c>
      <c r="C498" s="2" t="str">
        <f>TEXT(data[[#This Row],[Order Date]],"YYYY")</f>
        <v>2015</v>
      </c>
      <c r="D498" s="2">
        <v>42348</v>
      </c>
      <c r="E498" s="2" t="s">
        <v>39</v>
      </c>
      <c r="F498" s="2" t="s">
        <v>1863</v>
      </c>
      <c r="G498" s="2" t="s">
        <v>1864</v>
      </c>
      <c r="H498" s="2" t="s">
        <v>24</v>
      </c>
      <c r="I498" s="2" t="s">
        <v>25</v>
      </c>
      <c r="J498" s="2" t="s">
        <v>173</v>
      </c>
      <c r="K498" s="2" t="s">
        <v>120</v>
      </c>
      <c r="L498" s="2" t="s">
        <v>67</v>
      </c>
      <c r="M498" s="2" t="s">
        <v>1518</v>
      </c>
      <c r="N498" s="2" t="s">
        <v>30</v>
      </c>
      <c r="O498" s="2" t="s">
        <v>56</v>
      </c>
      <c r="P498" s="2" t="s">
        <v>1519</v>
      </c>
      <c r="Q498" s="2">
        <v>113.92</v>
      </c>
      <c r="R498" s="2">
        <v>4</v>
      </c>
      <c r="S498" s="2">
        <v>42.150399999999998</v>
      </c>
      <c r="T498" s="2" t="s">
        <v>83</v>
      </c>
      <c r="U498" s="2" t="s">
        <v>96</v>
      </c>
    </row>
    <row r="499" spans="1:21" ht="14.25" customHeight="1" x14ac:dyDescent="0.3">
      <c r="A499" s="2" t="s">
        <v>1865</v>
      </c>
      <c r="B499" s="5">
        <v>42640</v>
      </c>
      <c r="C499" s="2" t="str">
        <f>TEXT(data[[#This Row],[Order Date]],"YYYY")</f>
        <v>2016</v>
      </c>
      <c r="D499" s="2">
        <v>42646</v>
      </c>
      <c r="E499" s="2" t="s">
        <v>39</v>
      </c>
      <c r="F499" s="2" t="s">
        <v>1866</v>
      </c>
      <c r="G499" s="2" t="s">
        <v>1867</v>
      </c>
      <c r="H499" s="2" t="s">
        <v>90</v>
      </c>
      <c r="I499" s="2" t="s">
        <v>25</v>
      </c>
      <c r="J499" s="2" t="s">
        <v>1868</v>
      </c>
      <c r="K499" s="2" t="s">
        <v>92</v>
      </c>
      <c r="L499" s="2" t="s">
        <v>93</v>
      </c>
      <c r="M499" s="2" t="s">
        <v>1869</v>
      </c>
      <c r="N499" s="2" t="s">
        <v>30</v>
      </c>
      <c r="O499" s="2" t="s">
        <v>31</v>
      </c>
      <c r="P499" s="2" t="s">
        <v>1870</v>
      </c>
      <c r="Q499" s="2">
        <v>956.66480000000001</v>
      </c>
      <c r="R499" s="2">
        <v>7</v>
      </c>
      <c r="S499" s="2">
        <v>-225.0976</v>
      </c>
      <c r="T499" s="2" t="s">
        <v>129</v>
      </c>
      <c r="U499" s="2" t="s">
        <v>77</v>
      </c>
    </row>
    <row r="500" spans="1:21" ht="14.25" customHeight="1" x14ac:dyDescent="0.3">
      <c r="A500" s="2" t="s">
        <v>1871</v>
      </c>
      <c r="B500" s="5">
        <v>42817</v>
      </c>
      <c r="C500" s="2" t="str">
        <f>TEXT(data[[#This Row],[Order Date]],"YYYY")</f>
        <v>2017</v>
      </c>
      <c r="D500" s="2">
        <v>42819</v>
      </c>
      <c r="E500" s="2" t="s">
        <v>87</v>
      </c>
      <c r="F500" s="2" t="s">
        <v>1872</v>
      </c>
      <c r="G500" s="2" t="s">
        <v>1873</v>
      </c>
      <c r="H500" s="2" t="s">
        <v>100</v>
      </c>
      <c r="I500" s="2" t="s">
        <v>25</v>
      </c>
      <c r="J500" s="2" t="s">
        <v>328</v>
      </c>
      <c r="K500" s="2" t="s">
        <v>53</v>
      </c>
      <c r="L500" s="2" t="s">
        <v>54</v>
      </c>
      <c r="M500" s="2" t="s">
        <v>1421</v>
      </c>
      <c r="N500" s="2" t="s">
        <v>30</v>
      </c>
      <c r="O500" s="2" t="s">
        <v>56</v>
      </c>
      <c r="P500" s="2" t="s">
        <v>1422</v>
      </c>
      <c r="Q500" s="2">
        <v>211.84</v>
      </c>
      <c r="R500" s="2">
        <v>8</v>
      </c>
      <c r="S500" s="2">
        <v>76.2624</v>
      </c>
      <c r="T500" s="2" t="s">
        <v>70</v>
      </c>
      <c r="U500" s="2" t="s">
        <v>195</v>
      </c>
    </row>
    <row r="501" spans="1:21" ht="14.25" customHeight="1" x14ac:dyDescent="0.3">
      <c r="A501" s="2" t="s">
        <v>1874</v>
      </c>
      <c r="B501" s="5">
        <v>41955</v>
      </c>
      <c r="C501" s="2" t="str">
        <f>TEXT(data[[#This Row],[Order Date]],"YYYY")</f>
        <v>2014</v>
      </c>
      <c r="D501" s="2">
        <v>41959</v>
      </c>
      <c r="E501" s="2" t="s">
        <v>39</v>
      </c>
      <c r="F501" s="2" t="s">
        <v>1875</v>
      </c>
      <c r="G501" s="2" t="s">
        <v>1876</v>
      </c>
      <c r="H501" s="2" t="s">
        <v>24</v>
      </c>
      <c r="I501" s="2" t="s">
        <v>25</v>
      </c>
      <c r="J501" s="2" t="s">
        <v>52</v>
      </c>
      <c r="K501" s="2" t="s">
        <v>53</v>
      </c>
      <c r="L501" s="2" t="s">
        <v>54</v>
      </c>
      <c r="M501" s="2" t="s">
        <v>915</v>
      </c>
      <c r="N501" s="2" t="s">
        <v>30</v>
      </c>
      <c r="O501" s="2" t="s">
        <v>45</v>
      </c>
      <c r="P501" s="2" t="s">
        <v>916</v>
      </c>
      <c r="Q501" s="2">
        <v>629.06399999999996</v>
      </c>
      <c r="R501" s="2">
        <v>3</v>
      </c>
      <c r="S501" s="2">
        <v>31.453199999999999</v>
      </c>
      <c r="T501" s="2" t="s">
        <v>83</v>
      </c>
      <c r="U501" s="2" t="s">
        <v>34</v>
      </c>
    </row>
    <row r="502" spans="1:21" ht="14.25" customHeight="1" x14ac:dyDescent="0.3">
      <c r="A502" s="2" t="s">
        <v>1877</v>
      </c>
      <c r="B502" s="5">
        <v>42733</v>
      </c>
      <c r="C502" s="2" t="str">
        <f>TEXT(data[[#This Row],[Order Date]],"YYYY")</f>
        <v>2016</v>
      </c>
      <c r="D502" s="2">
        <v>42737</v>
      </c>
      <c r="E502" s="2" t="s">
        <v>39</v>
      </c>
      <c r="F502" s="2" t="s">
        <v>498</v>
      </c>
      <c r="G502" s="2" t="s">
        <v>499</v>
      </c>
      <c r="H502" s="2" t="s">
        <v>24</v>
      </c>
      <c r="I502" s="2" t="s">
        <v>25</v>
      </c>
      <c r="J502" s="2" t="s">
        <v>905</v>
      </c>
      <c r="K502" s="2" t="s">
        <v>238</v>
      </c>
      <c r="L502" s="2" t="s">
        <v>93</v>
      </c>
      <c r="M502" s="2" t="s">
        <v>1850</v>
      </c>
      <c r="N502" s="2" t="s">
        <v>30</v>
      </c>
      <c r="O502" s="2" t="s">
        <v>36</v>
      </c>
      <c r="P502" s="2" t="s">
        <v>1851</v>
      </c>
      <c r="Q502" s="2">
        <v>754.45</v>
      </c>
      <c r="R502" s="2">
        <v>5</v>
      </c>
      <c r="S502" s="2">
        <v>60.356000000000002</v>
      </c>
      <c r="T502" s="2" t="s">
        <v>83</v>
      </c>
      <c r="U502" s="2" t="s">
        <v>96</v>
      </c>
    </row>
    <row r="503" spans="1:21" ht="14.25" customHeight="1" x14ac:dyDescent="0.3">
      <c r="A503" s="2" t="s">
        <v>1878</v>
      </c>
      <c r="B503" s="5">
        <v>42191</v>
      </c>
      <c r="C503" s="2" t="str">
        <f>TEXT(data[[#This Row],[Order Date]],"YYYY")</f>
        <v>2015</v>
      </c>
      <c r="D503" s="2">
        <v>42196</v>
      </c>
      <c r="E503" s="2" t="s">
        <v>39</v>
      </c>
      <c r="F503" s="2" t="s">
        <v>1240</v>
      </c>
      <c r="G503" s="2" t="s">
        <v>1241</v>
      </c>
      <c r="H503" s="2" t="s">
        <v>100</v>
      </c>
      <c r="I503" s="2" t="s">
        <v>25</v>
      </c>
      <c r="J503" s="2" t="s">
        <v>1879</v>
      </c>
      <c r="K503" s="2" t="s">
        <v>434</v>
      </c>
      <c r="L503" s="2" t="s">
        <v>67</v>
      </c>
      <c r="M503" s="2" t="s">
        <v>529</v>
      </c>
      <c r="N503" s="2" t="s">
        <v>30</v>
      </c>
      <c r="O503" s="2" t="s">
        <v>31</v>
      </c>
      <c r="P503" s="2" t="s">
        <v>530</v>
      </c>
      <c r="Q503" s="2">
        <v>301.95999999999998</v>
      </c>
      <c r="R503" s="2">
        <v>2</v>
      </c>
      <c r="S503" s="2">
        <v>60.392000000000003</v>
      </c>
      <c r="T503" s="2" t="s">
        <v>58</v>
      </c>
      <c r="U503" s="2" t="s">
        <v>71</v>
      </c>
    </row>
    <row r="504" spans="1:21" ht="14.25" customHeight="1" x14ac:dyDescent="0.3">
      <c r="A504" s="2" t="s">
        <v>1880</v>
      </c>
      <c r="B504" s="5">
        <v>43094</v>
      </c>
      <c r="C504" s="2" t="str">
        <f>TEXT(data[[#This Row],[Order Date]],"YYYY")</f>
        <v>2017</v>
      </c>
      <c r="D504" s="2">
        <v>43099</v>
      </c>
      <c r="E504" s="2" t="s">
        <v>39</v>
      </c>
      <c r="F504" s="2" t="s">
        <v>1881</v>
      </c>
      <c r="G504" s="2" t="s">
        <v>1882</v>
      </c>
      <c r="H504" s="2" t="s">
        <v>24</v>
      </c>
      <c r="I504" s="2" t="s">
        <v>25</v>
      </c>
      <c r="J504" s="2" t="s">
        <v>1580</v>
      </c>
      <c r="K504" s="2" t="s">
        <v>231</v>
      </c>
      <c r="L504" s="2" t="s">
        <v>67</v>
      </c>
      <c r="M504" s="2" t="s">
        <v>1883</v>
      </c>
      <c r="N504" s="2" t="s">
        <v>30</v>
      </c>
      <c r="O504" s="2" t="s">
        <v>45</v>
      </c>
      <c r="P504" s="2" t="s">
        <v>1884</v>
      </c>
      <c r="Q504" s="2">
        <v>273.06</v>
      </c>
      <c r="R504" s="2">
        <v>2</v>
      </c>
      <c r="S504" s="2">
        <v>-104.673</v>
      </c>
      <c r="T504" s="2" t="s">
        <v>58</v>
      </c>
      <c r="U504" s="2" t="s">
        <v>96</v>
      </c>
    </row>
    <row r="505" spans="1:21" ht="14.25" customHeight="1" x14ac:dyDescent="0.3">
      <c r="A505" s="2" t="s">
        <v>1885</v>
      </c>
      <c r="B505" s="5">
        <v>42532</v>
      </c>
      <c r="C505" s="2" t="str">
        <f>TEXT(data[[#This Row],[Order Date]],"YYYY")</f>
        <v>2016</v>
      </c>
      <c r="D505" s="2">
        <v>42538</v>
      </c>
      <c r="E505" s="2" t="s">
        <v>39</v>
      </c>
      <c r="F505" s="2" t="s">
        <v>1886</v>
      </c>
      <c r="G505" s="2" t="s">
        <v>1887</v>
      </c>
      <c r="H505" s="2" t="s">
        <v>90</v>
      </c>
      <c r="I505" s="2" t="s">
        <v>25</v>
      </c>
      <c r="J505" s="2" t="s">
        <v>689</v>
      </c>
      <c r="K505" s="2" t="s">
        <v>92</v>
      </c>
      <c r="L505" s="2" t="s">
        <v>93</v>
      </c>
      <c r="M505" s="2" t="s">
        <v>1408</v>
      </c>
      <c r="N505" s="2" t="s">
        <v>30</v>
      </c>
      <c r="O505" s="2" t="s">
        <v>56</v>
      </c>
      <c r="P505" s="2" t="s">
        <v>1409</v>
      </c>
      <c r="Q505" s="2">
        <v>12.544</v>
      </c>
      <c r="R505" s="2">
        <v>7</v>
      </c>
      <c r="S505" s="2">
        <v>-9.0944000000000003</v>
      </c>
      <c r="T505" s="2" t="s">
        <v>129</v>
      </c>
      <c r="U505" s="2" t="s">
        <v>59</v>
      </c>
    </row>
    <row r="506" spans="1:21" ht="14.25" customHeight="1" x14ac:dyDescent="0.3">
      <c r="A506" s="2" t="s">
        <v>1888</v>
      </c>
      <c r="B506" s="5">
        <v>43097</v>
      </c>
      <c r="C506" s="2" t="str">
        <f>TEXT(data[[#This Row],[Order Date]],"YYYY")</f>
        <v>2017</v>
      </c>
      <c r="D506" s="2">
        <v>43102</v>
      </c>
      <c r="E506" s="2" t="s">
        <v>39</v>
      </c>
      <c r="F506" s="2" t="s">
        <v>1866</v>
      </c>
      <c r="G506" s="2" t="s">
        <v>1867</v>
      </c>
      <c r="H506" s="2" t="s">
        <v>90</v>
      </c>
      <c r="I506" s="2" t="s">
        <v>25</v>
      </c>
      <c r="J506" s="2" t="s">
        <v>191</v>
      </c>
      <c r="K506" s="2" t="s">
        <v>192</v>
      </c>
      <c r="L506" s="2" t="s">
        <v>54</v>
      </c>
      <c r="M506" s="2" t="s">
        <v>446</v>
      </c>
      <c r="N506" s="2" t="s">
        <v>30</v>
      </c>
      <c r="O506" s="2" t="s">
        <v>56</v>
      </c>
      <c r="P506" s="2" t="s">
        <v>447</v>
      </c>
      <c r="Q506" s="2">
        <v>7.4</v>
      </c>
      <c r="R506" s="2">
        <v>2</v>
      </c>
      <c r="S506" s="2">
        <v>3.0339999999999998</v>
      </c>
      <c r="T506" s="2" t="s">
        <v>58</v>
      </c>
      <c r="U506" s="2" t="s">
        <v>96</v>
      </c>
    </row>
    <row r="507" spans="1:21" ht="14.25" customHeight="1" x14ac:dyDescent="0.3">
      <c r="A507" s="2" t="s">
        <v>1889</v>
      </c>
      <c r="B507" s="5">
        <v>41723</v>
      </c>
      <c r="C507" s="2" t="str">
        <f>TEXT(data[[#This Row],[Order Date]],"YYYY")</f>
        <v>2014</v>
      </c>
      <c r="D507" s="2">
        <v>41730</v>
      </c>
      <c r="E507" s="2" t="s">
        <v>39</v>
      </c>
      <c r="F507" s="2" t="s">
        <v>1890</v>
      </c>
      <c r="G507" s="2" t="s">
        <v>1891</v>
      </c>
      <c r="H507" s="2" t="s">
        <v>24</v>
      </c>
      <c r="I507" s="2" t="s">
        <v>25</v>
      </c>
      <c r="J507" s="2" t="s">
        <v>173</v>
      </c>
      <c r="K507" s="2" t="s">
        <v>120</v>
      </c>
      <c r="L507" s="2" t="s">
        <v>67</v>
      </c>
      <c r="M507" s="2" t="s">
        <v>1892</v>
      </c>
      <c r="N507" s="2" t="s">
        <v>30</v>
      </c>
      <c r="O507" s="2" t="s">
        <v>36</v>
      </c>
      <c r="P507" s="2" t="s">
        <v>1893</v>
      </c>
      <c r="Q507" s="2">
        <v>366.786</v>
      </c>
      <c r="R507" s="2">
        <v>7</v>
      </c>
      <c r="S507" s="2">
        <v>65.206400000000002</v>
      </c>
      <c r="T507" s="2" t="s">
        <v>47</v>
      </c>
      <c r="U507" s="2" t="s">
        <v>195</v>
      </c>
    </row>
    <row r="508" spans="1:21" ht="14.25" customHeight="1" x14ac:dyDescent="0.3">
      <c r="A508" s="2" t="s">
        <v>1894</v>
      </c>
      <c r="B508" s="5">
        <v>42919</v>
      </c>
      <c r="C508" s="2" t="str">
        <f>TEXT(data[[#This Row],[Order Date]],"YYYY")</f>
        <v>2017</v>
      </c>
      <c r="D508" s="2">
        <v>42926</v>
      </c>
      <c r="E508" s="2" t="s">
        <v>39</v>
      </c>
      <c r="F508" s="2" t="s">
        <v>1231</v>
      </c>
      <c r="G508" s="2" t="s">
        <v>1232</v>
      </c>
      <c r="H508" s="2" t="s">
        <v>24</v>
      </c>
      <c r="I508" s="2" t="s">
        <v>25</v>
      </c>
      <c r="J508" s="2" t="s">
        <v>1895</v>
      </c>
      <c r="K508" s="2" t="s">
        <v>1896</v>
      </c>
      <c r="L508" s="2" t="s">
        <v>54</v>
      </c>
      <c r="M508" s="2" t="s">
        <v>144</v>
      </c>
      <c r="N508" s="2" t="s">
        <v>30</v>
      </c>
      <c r="O508" s="2" t="s">
        <v>56</v>
      </c>
      <c r="P508" s="2" t="s">
        <v>145</v>
      </c>
      <c r="Q508" s="2">
        <v>545.85</v>
      </c>
      <c r="R508" s="2">
        <v>9</v>
      </c>
      <c r="S508" s="2">
        <v>114.6285</v>
      </c>
      <c r="T508" s="2" t="s">
        <v>47</v>
      </c>
      <c r="U508" s="2" t="s">
        <v>71</v>
      </c>
    </row>
    <row r="509" spans="1:21" ht="14.25" customHeight="1" x14ac:dyDescent="0.3">
      <c r="A509" s="2" t="s">
        <v>1897</v>
      </c>
      <c r="B509" s="5">
        <v>41961</v>
      </c>
      <c r="C509" s="2" t="str">
        <f>TEXT(data[[#This Row],[Order Date]],"YYYY")</f>
        <v>2014</v>
      </c>
      <c r="D509" s="2">
        <v>41963</v>
      </c>
      <c r="E509" s="2" t="s">
        <v>21</v>
      </c>
      <c r="F509" s="2" t="s">
        <v>1898</v>
      </c>
      <c r="G509" s="2" t="s">
        <v>1899</v>
      </c>
      <c r="H509" s="2" t="s">
        <v>24</v>
      </c>
      <c r="I509" s="2" t="s">
        <v>25</v>
      </c>
      <c r="J509" s="2" t="s">
        <v>865</v>
      </c>
      <c r="K509" s="2" t="s">
        <v>180</v>
      </c>
      <c r="L509" s="2" t="s">
        <v>54</v>
      </c>
      <c r="M509" s="2" t="s">
        <v>1900</v>
      </c>
      <c r="N509" s="2" t="s">
        <v>30</v>
      </c>
      <c r="O509" s="2" t="s">
        <v>45</v>
      </c>
      <c r="P509" s="2" t="s">
        <v>1901</v>
      </c>
      <c r="Q509" s="2">
        <v>145.97999999999999</v>
      </c>
      <c r="R509" s="2">
        <v>2</v>
      </c>
      <c r="S509" s="2">
        <v>-99.266400000000004</v>
      </c>
      <c r="T509" s="2" t="s">
        <v>70</v>
      </c>
      <c r="U509" s="2" t="s">
        <v>34</v>
      </c>
    </row>
    <row r="510" spans="1:21" ht="14.25" customHeight="1" x14ac:dyDescent="0.3">
      <c r="A510" s="2" t="s">
        <v>1902</v>
      </c>
      <c r="B510" s="5">
        <v>42933</v>
      </c>
      <c r="C510" s="2" t="str">
        <f>TEXT(data[[#This Row],[Order Date]],"YYYY")</f>
        <v>2017</v>
      </c>
      <c r="D510" s="2">
        <v>42938</v>
      </c>
      <c r="E510" s="2" t="s">
        <v>39</v>
      </c>
      <c r="F510" s="2" t="s">
        <v>1903</v>
      </c>
      <c r="G510" s="2" t="s">
        <v>1904</v>
      </c>
      <c r="H510" s="2" t="s">
        <v>24</v>
      </c>
      <c r="I510" s="2" t="s">
        <v>25</v>
      </c>
      <c r="J510" s="2" t="s">
        <v>303</v>
      </c>
      <c r="K510" s="2" t="s">
        <v>43</v>
      </c>
      <c r="L510" s="2" t="s">
        <v>28</v>
      </c>
      <c r="M510" s="2" t="s">
        <v>802</v>
      </c>
      <c r="N510" s="2" t="s">
        <v>30</v>
      </c>
      <c r="O510" s="2" t="s">
        <v>56</v>
      </c>
      <c r="P510" s="2" t="s">
        <v>803</v>
      </c>
      <c r="Q510" s="2">
        <v>7.9039999999999999</v>
      </c>
      <c r="R510" s="2">
        <v>2</v>
      </c>
      <c r="S510" s="2">
        <v>2.1736</v>
      </c>
      <c r="T510" s="2" t="s">
        <v>58</v>
      </c>
      <c r="U510" s="2" t="s">
        <v>71</v>
      </c>
    </row>
    <row r="511" spans="1:21" ht="14.25" customHeight="1" x14ac:dyDescent="0.3">
      <c r="A511" s="2" t="s">
        <v>1905</v>
      </c>
      <c r="B511" s="5">
        <v>42512</v>
      </c>
      <c r="C511" s="2" t="str">
        <f>TEXT(data[[#This Row],[Order Date]],"YYYY")</f>
        <v>2016</v>
      </c>
      <c r="D511" s="2">
        <v>42517</v>
      </c>
      <c r="E511" s="2" t="s">
        <v>39</v>
      </c>
      <c r="F511" s="2" t="s">
        <v>1733</v>
      </c>
      <c r="G511" s="2" t="s">
        <v>1734</v>
      </c>
      <c r="H511" s="2" t="s">
        <v>24</v>
      </c>
      <c r="I511" s="2" t="s">
        <v>25</v>
      </c>
      <c r="J511" s="2" t="s">
        <v>1906</v>
      </c>
      <c r="K511" s="2" t="s">
        <v>362</v>
      </c>
      <c r="L511" s="2" t="s">
        <v>67</v>
      </c>
      <c r="M511" s="2" t="s">
        <v>290</v>
      </c>
      <c r="N511" s="2" t="s">
        <v>30</v>
      </c>
      <c r="O511" s="2" t="s">
        <v>45</v>
      </c>
      <c r="P511" s="2" t="s">
        <v>291</v>
      </c>
      <c r="Q511" s="2">
        <v>174.286</v>
      </c>
      <c r="R511" s="2">
        <v>2</v>
      </c>
      <c r="S511" s="2">
        <v>-19.918399999999998</v>
      </c>
      <c r="T511" s="2" t="s">
        <v>58</v>
      </c>
      <c r="U511" s="2" t="s">
        <v>161</v>
      </c>
    </row>
    <row r="512" spans="1:21" ht="14.25" customHeight="1" x14ac:dyDescent="0.3">
      <c r="A512" s="2" t="s">
        <v>1907</v>
      </c>
      <c r="B512" s="5">
        <v>42674</v>
      </c>
      <c r="C512" s="2" t="str">
        <f>TEXT(data[[#This Row],[Order Date]],"YYYY")</f>
        <v>2016</v>
      </c>
      <c r="D512" s="2">
        <v>42680</v>
      </c>
      <c r="E512" s="2" t="s">
        <v>39</v>
      </c>
      <c r="F512" s="2" t="s">
        <v>599</v>
      </c>
      <c r="G512" s="2" t="s">
        <v>600</v>
      </c>
      <c r="H512" s="2" t="s">
        <v>24</v>
      </c>
      <c r="I512" s="2" t="s">
        <v>25</v>
      </c>
      <c r="J512" s="2" t="s">
        <v>65</v>
      </c>
      <c r="K512" s="2" t="s">
        <v>66</v>
      </c>
      <c r="L512" s="2" t="s">
        <v>67</v>
      </c>
      <c r="M512" s="2" t="s">
        <v>1532</v>
      </c>
      <c r="N512" s="2" t="s">
        <v>30</v>
      </c>
      <c r="O512" s="2" t="s">
        <v>36</v>
      </c>
      <c r="P512" s="2" t="s">
        <v>1533</v>
      </c>
      <c r="Q512" s="2">
        <v>492.83499999999998</v>
      </c>
      <c r="R512" s="2">
        <v>5</v>
      </c>
      <c r="S512" s="2">
        <v>-14.081</v>
      </c>
      <c r="T512" s="2" t="s">
        <v>129</v>
      </c>
      <c r="U512" s="2" t="s">
        <v>48</v>
      </c>
    </row>
    <row r="513" spans="1:21" ht="14.25" customHeight="1" x14ac:dyDescent="0.3">
      <c r="A513" s="2" t="s">
        <v>1908</v>
      </c>
      <c r="B513" s="5">
        <v>42391</v>
      </c>
      <c r="C513" s="2" t="str">
        <f>TEXT(data[[#This Row],[Order Date]],"YYYY")</f>
        <v>2016</v>
      </c>
      <c r="D513" s="2">
        <v>42397</v>
      </c>
      <c r="E513" s="2" t="s">
        <v>39</v>
      </c>
      <c r="F513" s="2" t="s">
        <v>1909</v>
      </c>
      <c r="G513" s="2" t="s">
        <v>1910</v>
      </c>
      <c r="H513" s="2" t="s">
        <v>24</v>
      </c>
      <c r="I513" s="2" t="s">
        <v>25</v>
      </c>
      <c r="J513" s="2" t="s">
        <v>1911</v>
      </c>
      <c r="K513" s="2" t="s">
        <v>1036</v>
      </c>
      <c r="L513" s="2" t="s">
        <v>28</v>
      </c>
      <c r="M513" s="2" t="s">
        <v>1912</v>
      </c>
      <c r="N513" s="2" t="s">
        <v>30</v>
      </c>
      <c r="O513" s="2" t="s">
        <v>56</v>
      </c>
      <c r="P513" s="2" t="s">
        <v>1913</v>
      </c>
      <c r="Q513" s="2">
        <v>14.272</v>
      </c>
      <c r="R513" s="2">
        <v>8</v>
      </c>
      <c r="S513" s="2">
        <v>4.2816000000000001</v>
      </c>
      <c r="T513" s="2" t="s">
        <v>129</v>
      </c>
      <c r="U513" s="2" t="s">
        <v>169</v>
      </c>
    </row>
    <row r="514" spans="1:21" ht="14.25" customHeight="1" x14ac:dyDescent="0.3">
      <c r="A514" s="2" t="s">
        <v>1908</v>
      </c>
      <c r="B514" s="5">
        <v>42391</v>
      </c>
      <c r="C514" s="2" t="str">
        <f>TEXT(data[[#This Row],[Order Date]],"YYYY")</f>
        <v>2016</v>
      </c>
      <c r="D514" s="2">
        <v>42397</v>
      </c>
      <c r="E514" s="2" t="s">
        <v>39</v>
      </c>
      <c r="F514" s="2" t="s">
        <v>1909</v>
      </c>
      <c r="G514" s="2" t="s">
        <v>1910</v>
      </c>
      <c r="H514" s="2" t="s">
        <v>24</v>
      </c>
      <c r="I514" s="2" t="s">
        <v>25</v>
      </c>
      <c r="J514" s="2" t="s">
        <v>1911</v>
      </c>
      <c r="K514" s="2" t="s">
        <v>1036</v>
      </c>
      <c r="L514" s="2" t="s">
        <v>28</v>
      </c>
      <c r="M514" s="2" t="s">
        <v>1695</v>
      </c>
      <c r="N514" s="2" t="s">
        <v>30</v>
      </c>
      <c r="O514" s="2" t="s">
        <v>31</v>
      </c>
      <c r="P514" s="2" t="s">
        <v>1914</v>
      </c>
      <c r="Q514" s="2">
        <v>451.13600000000002</v>
      </c>
      <c r="R514" s="2">
        <v>4</v>
      </c>
      <c r="S514" s="2">
        <v>-67.670400000000001</v>
      </c>
      <c r="T514" s="2" t="s">
        <v>129</v>
      </c>
      <c r="U514" s="2" t="s">
        <v>169</v>
      </c>
    </row>
    <row r="515" spans="1:21" ht="14.25" customHeight="1" x14ac:dyDescent="0.3">
      <c r="A515" s="2" t="s">
        <v>1915</v>
      </c>
      <c r="B515" s="5">
        <v>42677</v>
      </c>
      <c r="C515" s="2" t="str">
        <f>TEXT(data[[#This Row],[Order Date]],"YYYY")</f>
        <v>2016</v>
      </c>
      <c r="D515" s="2">
        <v>42680</v>
      </c>
      <c r="E515" s="2" t="s">
        <v>87</v>
      </c>
      <c r="F515" s="2" t="s">
        <v>1916</v>
      </c>
      <c r="G515" s="2" t="s">
        <v>1917</v>
      </c>
      <c r="H515" s="2" t="s">
        <v>24</v>
      </c>
      <c r="I515" s="2" t="s">
        <v>25</v>
      </c>
      <c r="J515" s="2" t="s">
        <v>52</v>
      </c>
      <c r="K515" s="2" t="s">
        <v>53</v>
      </c>
      <c r="L515" s="2" t="s">
        <v>54</v>
      </c>
      <c r="M515" s="2" t="s">
        <v>1918</v>
      </c>
      <c r="N515" s="2" t="s">
        <v>30</v>
      </c>
      <c r="O515" s="2" t="s">
        <v>36</v>
      </c>
      <c r="P515" s="2" t="s">
        <v>1919</v>
      </c>
      <c r="Q515" s="2">
        <v>217.584</v>
      </c>
      <c r="R515" s="2">
        <v>2</v>
      </c>
      <c r="S515" s="2">
        <v>-29.9178</v>
      </c>
      <c r="T515" s="2" t="s">
        <v>33</v>
      </c>
      <c r="U515" s="2" t="s">
        <v>34</v>
      </c>
    </row>
    <row r="516" spans="1:21" ht="14.25" customHeight="1" x14ac:dyDescent="0.3">
      <c r="A516" s="2" t="s">
        <v>1920</v>
      </c>
      <c r="B516" s="5">
        <v>42982</v>
      </c>
      <c r="C516" s="2" t="str">
        <f>TEXT(data[[#This Row],[Order Date]],"YYYY")</f>
        <v>2017</v>
      </c>
      <c r="D516" s="2">
        <v>42986</v>
      </c>
      <c r="E516" s="2" t="s">
        <v>21</v>
      </c>
      <c r="F516" s="2" t="s">
        <v>1921</v>
      </c>
      <c r="G516" s="2" t="s">
        <v>1922</v>
      </c>
      <c r="H516" s="2" t="s">
        <v>90</v>
      </c>
      <c r="I516" s="2" t="s">
        <v>25</v>
      </c>
      <c r="J516" s="2" t="s">
        <v>52</v>
      </c>
      <c r="K516" s="2" t="s">
        <v>53</v>
      </c>
      <c r="L516" s="2" t="s">
        <v>54</v>
      </c>
      <c r="M516" s="2" t="s">
        <v>751</v>
      </c>
      <c r="N516" s="2" t="s">
        <v>30</v>
      </c>
      <c r="O516" s="2" t="s">
        <v>45</v>
      </c>
      <c r="P516" s="2" t="s">
        <v>752</v>
      </c>
      <c r="Q516" s="2">
        <v>1322.3520000000001</v>
      </c>
      <c r="R516" s="2">
        <v>3</v>
      </c>
      <c r="S516" s="2">
        <v>-99.176400000000001</v>
      </c>
      <c r="T516" s="2" t="s">
        <v>83</v>
      </c>
      <c r="U516" s="2" t="s">
        <v>77</v>
      </c>
    </row>
    <row r="517" spans="1:21" ht="14.25" customHeight="1" x14ac:dyDescent="0.3">
      <c r="A517" s="2" t="s">
        <v>1923</v>
      </c>
      <c r="B517" s="5">
        <v>42975</v>
      </c>
      <c r="C517" s="2" t="str">
        <f>TEXT(data[[#This Row],[Order Date]],"YYYY")</f>
        <v>2017</v>
      </c>
      <c r="D517" s="2">
        <v>42981</v>
      </c>
      <c r="E517" s="2" t="s">
        <v>39</v>
      </c>
      <c r="F517" s="2" t="s">
        <v>1924</v>
      </c>
      <c r="G517" s="2" t="s">
        <v>1925</v>
      </c>
      <c r="H517" s="2" t="s">
        <v>100</v>
      </c>
      <c r="I517" s="2" t="s">
        <v>25</v>
      </c>
      <c r="J517" s="2" t="s">
        <v>191</v>
      </c>
      <c r="K517" s="2" t="s">
        <v>192</v>
      </c>
      <c r="L517" s="2" t="s">
        <v>54</v>
      </c>
      <c r="M517" s="2" t="s">
        <v>441</v>
      </c>
      <c r="N517" s="2" t="s">
        <v>30</v>
      </c>
      <c r="O517" s="2" t="s">
        <v>45</v>
      </c>
      <c r="P517" s="2" t="s">
        <v>442</v>
      </c>
      <c r="Q517" s="2">
        <v>1137.75</v>
      </c>
      <c r="R517" s="2">
        <v>5</v>
      </c>
      <c r="S517" s="2">
        <v>250.30500000000001</v>
      </c>
      <c r="T517" s="2" t="s">
        <v>129</v>
      </c>
      <c r="U517" s="2" t="s">
        <v>253</v>
      </c>
    </row>
    <row r="518" spans="1:21" ht="14.25" customHeight="1" x14ac:dyDescent="0.3">
      <c r="A518" s="2" t="s">
        <v>1926</v>
      </c>
      <c r="B518" s="5">
        <v>42623</v>
      </c>
      <c r="C518" s="2" t="str">
        <f>TEXT(data[[#This Row],[Order Date]],"YYYY")</f>
        <v>2016</v>
      </c>
      <c r="D518" s="2">
        <v>42627</v>
      </c>
      <c r="E518" s="2" t="s">
        <v>21</v>
      </c>
      <c r="F518" s="2" t="s">
        <v>1927</v>
      </c>
      <c r="G518" s="2" t="s">
        <v>1928</v>
      </c>
      <c r="H518" s="2" t="s">
        <v>24</v>
      </c>
      <c r="I518" s="2" t="s">
        <v>25</v>
      </c>
      <c r="J518" s="2" t="s">
        <v>101</v>
      </c>
      <c r="K518" s="2" t="s">
        <v>92</v>
      </c>
      <c r="L518" s="2" t="s">
        <v>93</v>
      </c>
      <c r="M518" s="2" t="s">
        <v>1062</v>
      </c>
      <c r="N518" s="2" t="s">
        <v>30</v>
      </c>
      <c r="O518" s="2" t="s">
        <v>45</v>
      </c>
      <c r="P518" s="2" t="s">
        <v>1063</v>
      </c>
      <c r="Q518" s="2">
        <v>300.93</v>
      </c>
      <c r="R518" s="2">
        <v>5</v>
      </c>
      <c r="S518" s="2">
        <v>-34.392000000000003</v>
      </c>
      <c r="T518" s="2" t="s">
        <v>83</v>
      </c>
      <c r="U518" s="2" t="s">
        <v>77</v>
      </c>
    </row>
    <row r="519" spans="1:21" ht="14.25" customHeight="1" x14ac:dyDescent="0.3">
      <c r="A519" s="2" t="s">
        <v>1929</v>
      </c>
      <c r="B519" s="5">
        <v>41806</v>
      </c>
      <c r="C519" s="2" t="str">
        <f>TEXT(data[[#This Row],[Order Date]],"YYYY")</f>
        <v>2014</v>
      </c>
      <c r="D519" s="2">
        <v>41812</v>
      </c>
      <c r="E519" s="2" t="s">
        <v>39</v>
      </c>
      <c r="F519" s="2" t="s">
        <v>1930</v>
      </c>
      <c r="G519" s="2" t="s">
        <v>1931</v>
      </c>
      <c r="H519" s="2" t="s">
        <v>24</v>
      </c>
      <c r="I519" s="2" t="s">
        <v>25</v>
      </c>
      <c r="J519" s="2" t="s">
        <v>1932</v>
      </c>
      <c r="K519" s="2" t="s">
        <v>110</v>
      </c>
      <c r="L519" s="2" t="s">
        <v>93</v>
      </c>
      <c r="M519" s="2" t="s">
        <v>510</v>
      </c>
      <c r="N519" s="2" t="s">
        <v>30</v>
      </c>
      <c r="O519" s="2" t="s">
        <v>36</v>
      </c>
      <c r="P519" s="2" t="s">
        <v>511</v>
      </c>
      <c r="Q519" s="2">
        <v>647.84</v>
      </c>
      <c r="R519" s="2">
        <v>8</v>
      </c>
      <c r="S519" s="2">
        <v>32.392000000000003</v>
      </c>
      <c r="T519" s="2" t="s">
        <v>129</v>
      </c>
      <c r="U519" s="2" t="s">
        <v>59</v>
      </c>
    </row>
    <row r="520" spans="1:21" ht="14.25" customHeight="1" x14ac:dyDescent="0.3">
      <c r="A520" s="2" t="s">
        <v>1933</v>
      </c>
      <c r="B520" s="5">
        <v>41845</v>
      </c>
      <c r="C520" s="2" t="str">
        <f>TEXT(data[[#This Row],[Order Date]],"YYYY")</f>
        <v>2014</v>
      </c>
      <c r="D520" s="2">
        <v>41847</v>
      </c>
      <c r="E520" s="2" t="s">
        <v>21</v>
      </c>
      <c r="F520" s="2" t="s">
        <v>311</v>
      </c>
      <c r="G520" s="2" t="s">
        <v>312</v>
      </c>
      <c r="H520" s="2" t="s">
        <v>24</v>
      </c>
      <c r="I520" s="2" t="s">
        <v>25</v>
      </c>
      <c r="J520" s="2" t="s">
        <v>328</v>
      </c>
      <c r="K520" s="2" t="s">
        <v>53</v>
      </c>
      <c r="L520" s="2" t="s">
        <v>54</v>
      </c>
      <c r="M520" s="2" t="s">
        <v>315</v>
      </c>
      <c r="N520" s="2" t="s">
        <v>30</v>
      </c>
      <c r="O520" s="2" t="s">
        <v>56</v>
      </c>
      <c r="P520" s="2" t="s">
        <v>316</v>
      </c>
      <c r="Q520" s="2">
        <v>77.92</v>
      </c>
      <c r="R520" s="2">
        <v>8</v>
      </c>
      <c r="S520" s="2">
        <v>34.284799999999997</v>
      </c>
      <c r="T520" s="2" t="s">
        <v>70</v>
      </c>
      <c r="U520" s="2" t="s">
        <v>71</v>
      </c>
    </row>
    <row r="521" spans="1:21" ht="14.25" customHeight="1" x14ac:dyDescent="0.3">
      <c r="A521" s="2" t="s">
        <v>1934</v>
      </c>
      <c r="B521" s="5">
        <v>42685</v>
      </c>
      <c r="C521" s="2" t="str">
        <f>TEXT(data[[#This Row],[Order Date]],"YYYY")</f>
        <v>2016</v>
      </c>
      <c r="D521" s="2">
        <v>42691</v>
      </c>
      <c r="E521" s="2" t="s">
        <v>39</v>
      </c>
      <c r="F521" s="2" t="s">
        <v>1935</v>
      </c>
      <c r="G521" s="2" t="s">
        <v>1936</v>
      </c>
      <c r="H521" s="2" t="s">
        <v>90</v>
      </c>
      <c r="I521" s="2" t="s">
        <v>25</v>
      </c>
      <c r="J521" s="2" t="s">
        <v>133</v>
      </c>
      <c r="K521" s="2" t="s">
        <v>134</v>
      </c>
      <c r="L521" s="2" t="s">
        <v>93</v>
      </c>
      <c r="M521" s="2" t="s">
        <v>1102</v>
      </c>
      <c r="N521" s="2" t="s">
        <v>30</v>
      </c>
      <c r="O521" s="2" t="s">
        <v>36</v>
      </c>
      <c r="P521" s="2" t="s">
        <v>1103</v>
      </c>
      <c r="Q521" s="2">
        <v>47.991999999999997</v>
      </c>
      <c r="R521" s="2">
        <v>2</v>
      </c>
      <c r="S521" s="2">
        <v>-2.0568</v>
      </c>
      <c r="T521" s="2" t="s">
        <v>129</v>
      </c>
      <c r="U521" s="2" t="s">
        <v>34</v>
      </c>
    </row>
    <row r="522" spans="1:21" ht="14.25" customHeight="1" x14ac:dyDescent="0.3">
      <c r="A522" s="2" t="s">
        <v>1937</v>
      </c>
      <c r="B522" s="5">
        <v>42857</v>
      </c>
      <c r="C522" s="2" t="str">
        <f>TEXT(data[[#This Row],[Order Date]],"YYYY")</f>
        <v>2017</v>
      </c>
      <c r="D522" s="2">
        <v>42862</v>
      </c>
      <c r="E522" s="2" t="s">
        <v>39</v>
      </c>
      <c r="F522" s="2" t="s">
        <v>1938</v>
      </c>
      <c r="G522" s="2" t="s">
        <v>1939</v>
      </c>
      <c r="H522" s="2" t="s">
        <v>90</v>
      </c>
      <c r="I522" s="2" t="s">
        <v>25</v>
      </c>
      <c r="J522" s="2" t="s">
        <v>1940</v>
      </c>
      <c r="K522" s="2" t="s">
        <v>362</v>
      </c>
      <c r="L522" s="2" t="s">
        <v>67</v>
      </c>
      <c r="M522" s="2" t="s">
        <v>990</v>
      </c>
      <c r="N522" s="2" t="s">
        <v>30</v>
      </c>
      <c r="O522" s="2" t="s">
        <v>56</v>
      </c>
      <c r="P522" s="2" t="s">
        <v>991</v>
      </c>
      <c r="Q522" s="2">
        <v>129.93</v>
      </c>
      <c r="R522" s="2">
        <v>3</v>
      </c>
      <c r="S522" s="2">
        <v>12.993</v>
      </c>
      <c r="T522" s="2" t="s">
        <v>58</v>
      </c>
      <c r="U522" s="2" t="s">
        <v>161</v>
      </c>
    </row>
    <row r="523" spans="1:21" ht="14.25" customHeight="1" x14ac:dyDescent="0.3">
      <c r="A523" s="2" t="s">
        <v>1941</v>
      </c>
      <c r="B523" s="5">
        <v>42031</v>
      </c>
      <c r="C523" s="2" t="str">
        <f>TEXT(data[[#This Row],[Order Date]],"YYYY")</f>
        <v>2015</v>
      </c>
      <c r="D523" s="2">
        <v>42033</v>
      </c>
      <c r="E523" s="2" t="s">
        <v>21</v>
      </c>
      <c r="F523" s="2" t="s">
        <v>739</v>
      </c>
      <c r="G523" s="2" t="s">
        <v>740</v>
      </c>
      <c r="H523" s="2" t="s">
        <v>24</v>
      </c>
      <c r="I523" s="2" t="s">
        <v>25</v>
      </c>
      <c r="J523" s="2" t="s">
        <v>693</v>
      </c>
      <c r="K523" s="2" t="s">
        <v>231</v>
      </c>
      <c r="L523" s="2" t="s">
        <v>67</v>
      </c>
      <c r="M523" s="2" t="s">
        <v>142</v>
      </c>
      <c r="N523" s="2" t="s">
        <v>30</v>
      </c>
      <c r="O523" s="2" t="s">
        <v>36</v>
      </c>
      <c r="P523" s="2" t="s">
        <v>143</v>
      </c>
      <c r="Q523" s="2">
        <v>181.98599999999999</v>
      </c>
      <c r="R523" s="2">
        <v>2</v>
      </c>
      <c r="S523" s="2">
        <v>-54.595799999999997</v>
      </c>
      <c r="T523" s="2" t="s">
        <v>70</v>
      </c>
      <c r="U523" s="2" t="s">
        <v>169</v>
      </c>
    </row>
    <row r="524" spans="1:21" ht="14.25" customHeight="1" x14ac:dyDescent="0.3">
      <c r="A524" s="2" t="s">
        <v>1942</v>
      </c>
      <c r="B524" s="5">
        <v>42201</v>
      </c>
      <c r="C524" s="2" t="str">
        <f>TEXT(data[[#This Row],[Order Date]],"YYYY")</f>
        <v>2015</v>
      </c>
      <c r="D524" s="2">
        <v>42201</v>
      </c>
      <c r="E524" s="2" t="s">
        <v>425</v>
      </c>
      <c r="F524" s="2" t="s">
        <v>1943</v>
      </c>
      <c r="G524" s="2" t="s">
        <v>1944</v>
      </c>
      <c r="H524" s="2" t="s">
        <v>90</v>
      </c>
      <c r="I524" s="2" t="s">
        <v>25</v>
      </c>
      <c r="J524" s="2" t="s">
        <v>328</v>
      </c>
      <c r="K524" s="2" t="s">
        <v>53</v>
      </c>
      <c r="L524" s="2" t="s">
        <v>54</v>
      </c>
      <c r="M524" s="2" t="s">
        <v>405</v>
      </c>
      <c r="N524" s="2" t="s">
        <v>30</v>
      </c>
      <c r="O524" s="2" t="s">
        <v>36</v>
      </c>
      <c r="P524" s="2" t="s">
        <v>406</v>
      </c>
      <c r="Q524" s="2">
        <v>1348.704</v>
      </c>
      <c r="R524" s="2">
        <v>6</v>
      </c>
      <c r="S524" s="2">
        <v>-219.1644</v>
      </c>
      <c r="T524" s="2" t="s">
        <v>430</v>
      </c>
      <c r="U524" s="2" t="s">
        <v>71</v>
      </c>
    </row>
    <row r="525" spans="1:21" ht="14.25" customHeight="1" x14ac:dyDescent="0.3">
      <c r="A525" s="2" t="s">
        <v>1942</v>
      </c>
      <c r="B525" s="5">
        <v>42201</v>
      </c>
      <c r="C525" s="2" t="str">
        <f>TEXT(data[[#This Row],[Order Date]],"YYYY")</f>
        <v>2015</v>
      </c>
      <c r="D525" s="2">
        <v>42201</v>
      </c>
      <c r="E525" s="2" t="s">
        <v>425</v>
      </c>
      <c r="F525" s="2" t="s">
        <v>1943</v>
      </c>
      <c r="G525" s="2" t="s">
        <v>1944</v>
      </c>
      <c r="H525" s="2" t="s">
        <v>90</v>
      </c>
      <c r="I525" s="2" t="s">
        <v>25</v>
      </c>
      <c r="J525" s="2" t="s">
        <v>328</v>
      </c>
      <c r="K525" s="2" t="s">
        <v>53</v>
      </c>
      <c r="L525" s="2" t="s">
        <v>54</v>
      </c>
      <c r="M525" s="2" t="s">
        <v>381</v>
      </c>
      <c r="N525" s="2" t="s">
        <v>30</v>
      </c>
      <c r="O525" s="2" t="s">
        <v>36</v>
      </c>
      <c r="P525" s="2" t="s">
        <v>382</v>
      </c>
      <c r="Q525" s="2">
        <v>700.15200000000004</v>
      </c>
      <c r="R525" s="2">
        <v>3</v>
      </c>
      <c r="S525" s="2">
        <v>78.767099999999999</v>
      </c>
      <c r="T525" s="2" t="s">
        <v>430</v>
      </c>
      <c r="U525" s="2" t="s">
        <v>71</v>
      </c>
    </row>
    <row r="526" spans="1:21" ht="14.25" customHeight="1" x14ac:dyDescent="0.3">
      <c r="A526" s="2" t="s">
        <v>1945</v>
      </c>
      <c r="B526" s="5">
        <v>42490</v>
      </c>
      <c r="C526" s="2" t="str">
        <f>TEXT(data[[#This Row],[Order Date]],"YYYY")</f>
        <v>2016</v>
      </c>
      <c r="D526" s="2">
        <v>42494</v>
      </c>
      <c r="E526" s="2" t="s">
        <v>39</v>
      </c>
      <c r="F526" s="2" t="s">
        <v>1946</v>
      </c>
      <c r="G526" s="2" t="s">
        <v>1947</v>
      </c>
      <c r="H526" s="2" t="s">
        <v>90</v>
      </c>
      <c r="I526" s="2" t="s">
        <v>25</v>
      </c>
      <c r="J526" s="2" t="s">
        <v>1948</v>
      </c>
      <c r="K526" s="2" t="s">
        <v>520</v>
      </c>
      <c r="L526" s="2" t="s">
        <v>54</v>
      </c>
      <c r="M526" s="2" t="s">
        <v>697</v>
      </c>
      <c r="N526" s="2" t="s">
        <v>30</v>
      </c>
      <c r="O526" s="2" t="s">
        <v>56</v>
      </c>
      <c r="P526" s="2" t="s">
        <v>698</v>
      </c>
      <c r="Q526" s="2">
        <v>111.88800000000001</v>
      </c>
      <c r="R526" s="2">
        <v>7</v>
      </c>
      <c r="S526" s="2">
        <v>22.377600000000001</v>
      </c>
      <c r="T526" s="2" t="s">
        <v>83</v>
      </c>
      <c r="U526" s="2" t="s">
        <v>113</v>
      </c>
    </row>
    <row r="527" spans="1:21" ht="14.25" customHeight="1" x14ac:dyDescent="0.3">
      <c r="A527" s="2" t="s">
        <v>1949</v>
      </c>
      <c r="B527" s="5">
        <v>42621</v>
      </c>
      <c r="C527" s="2" t="str">
        <f>TEXT(data[[#This Row],[Order Date]],"YYYY")</f>
        <v>2016</v>
      </c>
      <c r="D527" s="2">
        <v>42627</v>
      </c>
      <c r="E527" s="2" t="s">
        <v>39</v>
      </c>
      <c r="F527" s="2" t="s">
        <v>1950</v>
      </c>
      <c r="G527" s="2" t="s">
        <v>1951</v>
      </c>
      <c r="H527" s="2" t="s">
        <v>100</v>
      </c>
      <c r="I527" s="2" t="s">
        <v>25</v>
      </c>
      <c r="J527" s="2" t="s">
        <v>1952</v>
      </c>
      <c r="K527" s="2" t="s">
        <v>434</v>
      </c>
      <c r="L527" s="2" t="s">
        <v>67</v>
      </c>
      <c r="M527" s="2" t="s">
        <v>1953</v>
      </c>
      <c r="N527" s="2" t="s">
        <v>30</v>
      </c>
      <c r="O527" s="2" t="s">
        <v>31</v>
      </c>
      <c r="P527" s="2" t="s">
        <v>1954</v>
      </c>
      <c r="Q527" s="2">
        <v>173.94</v>
      </c>
      <c r="R527" s="2">
        <v>3</v>
      </c>
      <c r="S527" s="2">
        <v>13.9152</v>
      </c>
      <c r="T527" s="2" t="s">
        <v>129</v>
      </c>
      <c r="U527" s="2" t="s">
        <v>77</v>
      </c>
    </row>
    <row r="528" spans="1:21" ht="14.25" customHeight="1" x14ac:dyDescent="0.3">
      <c r="A528" s="2" t="s">
        <v>1955</v>
      </c>
      <c r="B528" s="5">
        <v>42841</v>
      </c>
      <c r="C528" s="2" t="str">
        <f>TEXT(data[[#This Row],[Order Date]],"YYYY")</f>
        <v>2017</v>
      </c>
      <c r="D528" s="2">
        <v>42845</v>
      </c>
      <c r="E528" s="2" t="s">
        <v>39</v>
      </c>
      <c r="F528" s="2" t="s">
        <v>138</v>
      </c>
      <c r="G528" s="2" t="s">
        <v>139</v>
      </c>
      <c r="H528" s="2" t="s">
        <v>24</v>
      </c>
      <c r="I528" s="2" t="s">
        <v>25</v>
      </c>
      <c r="J528" s="2" t="s">
        <v>1491</v>
      </c>
      <c r="K528" s="2" t="s">
        <v>53</v>
      </c>
      <c r="L528" s="2" t="s">
        <v>54</v>
      </c>
      <c r="M528" s="2" t="s">
        <v>542</v>
      </c>
      <c r="N528" s="2" t="s">
        <v>30</v>
      </c>
      <c r="O528" s="2" t="s">
        <v>31</v>
      </c>
      <c r="P528" s="2" t="s">
        <v>543</v>
      </c>
      <c r="Q528" s="2">
        <v>102.833</v>
      </c>
      <c r="R528" s="2">
        <v>1</v>
      </c>
      <c r="S528" s="2">
        <v>-6.0490000000000004</v>
      </c>
      <c r="T528" s="2" t="s">
        <v>83</v>
      </c>
      <c r="U528" s="2" t="s">
        <v>113</v>
      </c>
    </row>
    <row r="529" spans="1:21" ht="14.25" customHeight="1" x14ac:dyDescent="0.3">
      <c r="A529" s="2" t="s">
        <v>1956</v>
      </c>
      <c r="B529" s="5">
        <v>43058</v>
      </c>
      <c r="C529" s="2" t="str">
        <f>TEXT(data[[#This Row],[Order Date]],"YYYY")</f>
        <v>2017</v>
      </c>
      <c r="D529" s="2">
        <v>43062</v>
      </c>
      <c r="E529" s="2" t="s">
        <v>39</v>
      </c>
      <c r="F529" s="2" t="s">
        <v>1262</v>
      </c>
      <c r="G529" s="2" t="s">
        <v>1263</v>
      </c>
      <c r="H529" s="2" t="s">
        <v>24</v>
      </c>
      <c r="I529" s="2" t="s">
        <v>25</v>
      </c>
      <c r="J529" s="2" t="s">
        <v>26</v>
      </c>
      <c r="K529" s="2" t="s">
        <v>27</v>
      </c>
      <c r="L529" s="2" t="s">
        <v>28</v>
      </c>
      <c r="M529" s="2" t="s">
        <v>1957</v>
      </c>
      <c r="N529" s="2" t="s">
        <v>30</v>
      </c>
      <c r="O529" s="2" t="s">
        <v>56</v>
      </c>
      <c r="P529" s="2" t="s">
        <v>1958</v>
      </c>
      <c r="Q529" s="2">
        <v>821.88</v>
      </c>
      <c r="R529" s="2">
        <v>6</v>
      </c>
      <c r="S529" s="2">
        <v>213.68879999999999</v>
      </c>
      <c r="T529" s="2" t="s">
        <v>83</v>
      </c>
      <c r="U529" s="2" t="s">
        <v>34</v>
      </c>
    </row>
    <row r="530" spans="1:21" ht="14.25" customHeight="1" x14ac:dyDescent="0.3">
      <c r="A530" s="2" t="s">
        <v>1959</v>
      </c>
      <c r="B530" s="5">
        <v>42651</v>
      </c>
      <c r="C530" s="2" t="str">
        <f>TEXT(data[[#This Row],[Order Date]],"YYYY")</f>
        <v>2016</v>
      </c>
      <c r="D530" s="2">
        <v>42657</v>
      </c>
      <c r="E530" s="2" t="s">
        <v>39</v>
      </c>
      <c r="F530" s="2" t="s">
        <v>1960</v>
      </c>
      <c r="G530" s="2" t="s">
        <v>1961</v>
      </c>
      <c r="H530" s="2" t="s">
        <v>90</v>
      </c>
      <c r="I530" s="2" t="s">
        <v>25</v>
      </c>
      <c r="J530" s="2" t="s">
        <v>101</v>
      </c>
      <c r="K530" s="2" t="s">
        <v>92</v>
      </c>
      <c r="L530" s="2" t="s">
        <v>93</v>
      </c>
      <c r="M530" s="2" t="s">
        <v>1962</v>
      </c>
      <c r="N530" s="2" t="s">
        <v>30</v>
      </c>
      <c r="O530" s="2" t="s">
        <v>56</v>
      </c>
      <c r="P530" s="2" t="s">
        <v>1963</v>
      </c>
      <c r="Q530" s="2">
        <v>51.712000000000003</v>
      </c>
      <c r="R530" s="2">
        <v>8</v>
      </c>
      <c r="S530" s="2">
        <v>-32.32</v>
      </c>
      <c r="T530" s="2" t="s">
        <v>129</v>
      </c>
      <c r="U530" s="2" t="s">
        <v>48</v>
      </c>
    </row>
    <row r="531" spans="1:21" ht="14.25" customHeight="1" x14ac:dyDescent="0.3">
      <c r="A531" s="2" t="s">
        <v>1964</v>
      </c>
      <c r="B531" s="5">
        <v>42155</v>
      </c>
      <c r="C531" s="2" t="str">
        <f>TEXT(data[[#This Row],[Order Date]],"YYYY")</f>
        <v>2015</v>
      </c>
      <c r="D531" s="2">
        <v>42159</v>
      </c>
      <c r="E531" s="2" t="s">
        <v>39</v>
      </c>
      <c r="F531" s="2" t="s">
        <v>1965</v>
      </c>
      <c r="G531" s="2" t="s">
        <v>1966</v>
      </c>
      <c r="H531" s="2" t="s">
        <v>24</v>
      </c>
      <c r="I531" s="2" t="s">
        <v>25</v>
      </c>
      <c r="J531" s="2" t="s">
        <v>75</v>
      </c>
      <c r="K531" s="2" t="s">
        <v>76</v>
      </c>
      <c r="L531" s="2" t="s">
        <v>54</v>
      </c>
      <c r="M531" s="2" t="s">
        <v>1967</v>
      </c>
      <c r="N531" s="2" t="s">
        <v>30</v>
      </c>
      <c r="O531" s="2" t="s">
        <v>31</v>
      </c>
      <c r="P531" s="2" t="s">
        <v>1968</v>
      </c>
      <c r="Q531" s="2">
        <v>1406.86</v>
      </c>
      <c r="R531" s="2">
        <v>7</v>
      </c>
      <c r="S531" s="2">
        <v>140.68600000000001</v>
      </c>
      <c r="T531" s="2" t="s">
        <v>83</v>
      </c>
      <c r="U531" s="2" t="s">
        <v>161</v>
      </c>
    </row>
    <row r="532" spans="1:21" ht="14.25" customHeight="1" x14ac:dyDescent="0.3">
      <c r="A532" s="2" t="s">
        <v>1969</v>
      </c>
      <c r="B532" s="5">
        <v>43040</v>
      </c>
      <c r="C532" s="2" t="str">
        <f>TEXT(data[[#This Row],[Order Date]],"YYYY")</f>
        <v>2017</v>
      </c>
      <c r="D532" s="2">
        <v>43042</v>
      </c>
      <c r="E532" s="2" t="s">
        <v>21</v>
      </c>
      <c r="F532" s="2" t="s">
        <v>1970</v>
      </c>
      <c r="G532" s="2" t="s">
        <v>1971</v>
      </c>
      <c r="H532" s="2" t="s">
        <v>24</v>
      </c>
      <c r="I532" s="2" t="s">
        <v>25</v>
      </c>
      <c r="J532" s="2" t="s">
        <v>1972</v>
      </c>
      <c r="K532" s="2" t="s">
        <v>192</v>
      </c>
      <c r="L532" s="2" t="s">
        <v>54</v>
      </c>
      <c r="M532" s="2" t="s">
        <v>1671</v>
      </c>
      <c r="N532" s="2" t="s">
        <v>30</v>
      </c>
      <c r="O532" s="2" t="s">
        <v>45</v>
      </c>
      <c r="P532" s="2" t="s">
        <v>1672</v>
      </c>
      <c r="Q532" s="2">
        <v>2665.62</v>
      </c>
      <c r="R532" s="2">
        <v>9</v>
      </c>
      <c r="S532" s="2">
        <v>239.9058</v>
      </c>
      <c r="T532" s="2" t="s">
        <v>70</v>
      </c>
      <c r="U532" s="2" t="s">
        <v>34</v>
      </c>
    </row>
    <row r="533" spans="1:21" ht="14.25" customHeight="1" x14ac:dyDescent="0.3">
      <c r="A533" s="2" t="s">
        <v>1973</v>
      </c>
      <c r="B533" s="5">
        <v>42925</v>
      </c>
      <c r="C533" s="2" t="str">
        <f>TEXT(data[[#This Row],[Order Date]],"YYYY")</f>
        <v>2017</v>
      </c>
      <c r="D533" s="2">
        <v>42930</v>
      </c>
      <c r="E533" s="2" t="s">
        <v>39</v>
      </c>
      <c r="F533" s="2" t="s">
        <v>1974</v>
      </c>
      <c r="G533" s="2" t="s">
        <v>1975</v>
      </c>
      <c r="H533" s="2" t="s">
        <v>100</v>
      </c>
      <c r="I533" s="2" t="s">
        <v>25</v>
      </c>
      <c r="J533" s="2" t="s">
        <v>1405</v>
      </c>
      <c r="K533" s="2" t="s">
        <v>110</v>
      </c>
      <c r="L533" s="2" t="s">
        <v>93</v>
      </c>
      <c r="M533" s="2" t="s">
        <v>1010</v>
      </c>
      <c r="N533" s="2" t="s">
        <v>30</v>
      </c>
      <c r="O533" s="2" t="s">
        <v>56</v>
      </c>
      <c r="P533" s="2" t="s">
        <v>1011</v>
      </c>
      <c r="Q533" s="2">
        <v>526.45000000000005</v>
      </c>
      <c r="R533" s="2">
        <v>5</v>
      </c>
      <c r="S533" s="2">
        <v>31.587</v>
      </c>
      <c r="T533" s="2" t="s">
        <v>58</v>
      </c>
      <c r="U533" s="2" t="s">
        <v>71</v>
      </c>
    </row>
    <row r="534" spans="1:21" ht="14.25" customHeight="1" x14ac:dyDescent="0.3">
      <c r="A534" s="2" t="s">
        <v>1976</v>
      </c>
      <c r="B534" s="5">
        <v>41665</v>
      </c>
      <c r="C534" s="2" t="str">
        <f>TEXT(data[[#This Row],[Order Date]],"YYYY")</f>
        <v>2014</v>
      </c>
      <c r="D534" s="2">
        <v>41670</v>
      </c>
      <c r="E534" s="2" t="s">
        <v>39</v>
      </c>
      <c r="F534" s="2" t="s">
        <v>1257</v>
      </c>
      <c r="G534" s="2" t="s">
        <v>1258</v>
      </c>
      <c r="H534" s="2" t="s">
        <v>100</v>
      </c>
      <c r="I534" s="2" t="s">
        <v>25</v>
      </c>
      <c r="J534" s="2" t="s">
        <v>1977</v>
      </c>
      <c r="K534" s="2" t="s">
        <v>716</v>
      </c>
      <c r="L534" s="2" t="s">
        <v>28</v>
      </c>
      <c r="M534" s="2" t="s">
        <v>1978</v>
      </c>
      <c r="N534" s="2" t="s">
        <v>30</v>
      </c>
      <c r="O534" s="2" t="s">
        <v>56</v>
      </c>
      <c r="P534" s="2" t="s">
        <v>1979</v>
      </c>
      <c r="Q534" s="2">
        <v>62.82</v>
      </c>
      <c r="R534" s="2">
        <v>3</v>
      </c>
      <c r="S534" s="2">
        <v>30.7818</v>
      </c>
      <c r="T534" s="2" t="s">
        <v>58</v>
      </c>
      <c r="U534" s="2" t="s">
        <v>169</v>
      </c>
    </row>
    <row r="535" spans="1:21" ht="14.25" customHeight="1" x14ac:dyDescent="0.3">
      <c r="A535" s="2" t="s">
        <v>1976</v>
      </c>
      <c r="B535" s="5">
        <v>41665</v>
      </c>
      <c r="C535" s="2" t="str">
        <f>TEXT(data[[#This Row],[Order Date]],"YYYY")</f>
        <v>2014</v>
      </c>
      <c r="D535" s="2">
        <v>41670</v>
      </c>
      <c r="E535" s="2" t="s">
        <v>39</v>
      </c>
      <c r="F535" s="2" t="s">
        <v>1257</v>
      </c>
      <c r="G535" s="2" t="s">
        <v>1258</v>
      </c>
      <c r="H535" s="2" t="s">
        <v>100</v>
      </c>
      <c r="I535" s="2" t="s">
        <v>25</v>
      </c>
      <c r="J535" s="2" t="s">
        <v>1977</v>
      </c>
      <c r="K535" s="2" t="s">
        <v>716</v>
      </c>
      <c r="L535" s="2" t="s">
        <v>28</v>
      </c>
      <c r="M535" s="2" t="s">
        <v>1980</v>
      </c>
      <c r="N535" s="2" t="s">
        <v>30</v>
      </c>
      <c r="O535" s="2" t="s">
        <v>56</v>
      </c>
      <c r="P535" s="2" t="s">
        <v>1981</v>
      </c>
      <c r="Q535" s="2">
        <v>12.42</v>
      </c>
      <c r="R535" s="2">
        <v>3</v>
      </c>
      <c r="S535" s="2">
        <v>4.4711999999999996</v>
      </c>
      <c r="T535" s="2" t="s">
        <v>58</v>
      </c>
      <c r="U535" s="2" t="s">
        <v>169</v>
      </c>
    </row>
    <row r="536" spans="1:21" ht="14.25" customHeight="1" x14ac:dyDescent="0.3">
      <c r="A536" s="2" t="s">
        <v>1982</v>
      </c>
      <c r="B536" s="5">
        <v>42916</v>
      </c>
      <c r="C536" s="2" t="str">
        <f>TEXT(data[[#This Row],[Order Date]],"YYYY")</f>
        <v>2017</v>
      </c>
      <c r="D536" s="2">
        <v>42922</v>
      </c>
      <c r="E536" s="2" t="s">
        <v>39</v>
      </c>
      <c r="F536" s="2" t="s">
        <v>708</v>
      </c>
      <c r="G536" s="2" t="s">
        <v>709</v>
      </c>
      <c r="H536" s="2" t="s">
        <v>24</v>
      </c>
      <c r="I536" s="2" t="s">
        <v>25</v>
      </c>
      <c r="J536" s="2" t="s">
        <v>173</v>
      </c>
      <c r="K536" s="2" t="s">
        <v>120</v>
      </c>
      <c r="L536" s="2" t="s">
        <v>67</v>
      </c>
      <c r="M536" s="2" t="s">
        <v>1983</v>
      </c>
      <c r="N536" s="2" t="s">
        <v>30</v>
      </c>
      <c r="O536" s="2" t="s">
        <v>56</v>
      </c>
      <c r="P536" s="2" t="s">
        <v>1984</v>
      </c>
      <c r="Q536" s="2">
        <v>22.23</v>
      </c>
      <c r="R536" s="2">
        <v>1</v>
      </c>
      <c r="S536" s="2">
        <v>9.7812000000000001</v>
      </c>
      <c r="T536" s="2" t="s">
        <v>129</v>
      </c>
      <c r="U536" s="2" t="s">
        <v>59</v>
      </c>
    </row>
    <row r="537" spans="1:21" ht="14.25" customHeight="1" x14ac:dyDescent="0.3">
      <c r="A537" s="2" t="s">
        <v>1985</v>
      </c>
      <c r="B537" s="5">
        <v>42621</v>
      </c>
      <c r="C537" s="2" t="str">
        <f>TEXT(data[[#This Row],[Order Date]],"YYYY")</f>
        <v>2016</v>
      </c>
      <c r="D537" s="2">
        <v>42627</v>
      </c>
      <c r="E537" s="2" t="s">
        <v>39</v>
      </c>
      <c r="F537" s="2" t="s">
        <v>1986</v>
      </c>
      <c r="G537" s="2" t="s">
        <v>1987</v>
      </c>
      <c r="H537" s="2" t="s">
        <v>24</v>
      </c>
      <c r="I537" s="2" t="s">
        <v>25</v>
      </c>
      <c r="J537" s="2" t="s">
        <v>1988</v>
      </c>
      <c r="K537" s="2" t="s">
        <v>134</v>
      </c>
      <c r="L537" s="2" t="s">
        <v>93</v>
      </c>
      <c r="M537" s="2" t="s">
        <v>1989</v>
      </c>
      <c r="N537" s="2" t="s">
        <v>30</v>
      </c>
      <c r="O537" s="2" t="s">
        <v>56</v>
      </c>
      <c r="P537" s="2" t="s">
        <v>1990</v>
      </c>
      <c r="Q537" s="2">
        <v>14.135999999999999</v>
      </c>
      <c r="R537" s="2">
        <v>2</v>
      </c>
      <c r="S537" s="2">
        <v>-7.7747999999999999</v>
      </c>
      <c r="T537" s="2" t="s">
        <v>129</v>
      </c>
      <c r="U537" s="2" t="s">
        <v>77</v>
      </c>
    </row>
    <row r="538" spans="1:21" ht="14.25" customHeight="1" x14ac:dyDescent="0.3">
      <c r="A538" s="2" t="s">
        <v>1985</v>
      </c>
      <c r="B538" s="5">
        <v>42621</v>
      </c>
      <c r="C538" s="2" t="str">
        <f>TEXT(data[[#This Row],[Order Date]],"YYYY")</f>
        <v>2016</v>
      </c>
      <c r="D538" s="2">
        <v>42627</v>
      </c>
      <c r="E538" s="2" t="s">
        <v>39</v>
      </c>
      <c r="F538" s="2" t="s">
        <v>1986</v>
      </c>
      <c r="G538" s="2" t="s">
        <v>1987</v>
      </c>
      <c r="H538" s="2" t="s">
        <v>24</v>
      </c>
      <c r="I538" s="2" t="s">
        <v>25</v>
      </c>
      <c r="J538" s="2" t="s">
        <v>1988</v>
      </c>
      <c r="K538" s="2" t="s">
        <v>134</v>
      </c>
      <c r="L538" s="2" t="s">
        <v>93</v>
      </c>
      <c r="M538" s="2" t="s">
        <v>1991</v>
      </c>
      <c r="N538" s="2" t="s">
        <v>30</v>
      </c>
      <c r="O538" s="2" t="s">
        <v>45</v>
      </c>
      <c r="P538" s="2" t="s">
        <v>1992</v>
      </c>
      <c r="Q538" s="2">
        <v>601.47</v>
      </c>
      <c r="R538" s="2">
        <v>3</v>
      </c>
      <c r="S538" s="2">
        <v>-300.73500000000001</v>
      </c>
      <c r="T538" s="2" t="s">
        <v>129</v>
      </c>
      <c r="U538" s="2" t="s">
        <v>77</v>
      </c>
    </row>
    <row r="539" spans="1:21" ht="14.25" customHeight="1" x14ac:dyDescent="0.3">
      <c r="A539" s="2" t="s">
        <v>1993</v>
      </c>
      <c r="B539" s="5">
        <v>42525</v>
      </c>
      <c r="C539" s="2" t="str">
        <f>TEXT(data[[#This Row],[Order Date]],"YYYY")</f>
        <v>2016</v>
      </c>
      <c r="D539" s="2">
        <v>42525</v>
      </c>
      <c r="E539" s="2" t="s">
        <v>425</v>
      </c>
      <c r="F539" s="2" t="s">
        <v>1994</v>
      </c>
      <c r="G539" s="2" t="s">
        <v>1995</v>
      </c>
      <c r="H539" s="2" t="s">
        <v>24</v>
      </c>
      <c r="I539" s="2" t="s">
        <v>25</v>
      </c>
      <c r="J539" s="2" t="s">
        <v>173</v>
      </c>
      <c r="K539" s="2" t="s">
        <v>120</v>
      </c>
      <c r="L539" s="2" t="s">
        <v>67</v>
      </c>
      <c r="M539" s="2" t="s">
        <v>1380</v>
      </c>
      <c r="N539" s="2" t="s">
        <v>30</v>
      </c>
      <c r="O539" s="2" t="s">
        <v>31</v>
      </c>
      <c r="P539" s="2" t="s">
        <v>1381</v>
      </c>
      <c r="Q539" s="2">
        <v>136.78399999999999</v>
      </c>
      <c r="R539" s="2">
        <v>1</v>
      </c>
      <c r="S539" s="2">
        <v>5.1294000000000004</v>
      </c>
      <c r="T539" s="2" t="s">
        <v>430</v>
      </c>
      <c r="U539" s="2" t="s">
        <v>59</v>
      </c>
    </row>
    <row r="540" spans="1:21" ht="14.25" customHeight="1" x14ac:dyDescent="0.3">
      <c r="A540" s="2" t="s">
        <v>1993</v>
      </c>
      <c r="B540" s="5">
        <v>42525</v>
      </c>
      <c r="C540" s="2" t="str">
        <f>TEXT(data[[#This Row],[Order Date]],"YYYY")</f>
        <v>2016</v>
      </c>
      <c r="D540" s="2">
        <v>42525</v>
      </c>
      <c r="E540" s="2" t="s">
        <v>425</v>
      </c>
      <c r="F540" s="2" t="s">
        <v>1994</v>
      </c>
      <c r="G540" s="2" t="s">
        <v>1995</v>
      </c>
      <c r="H540" s="2" t="s">
        <v>24</v>
      </c>
      <c r="I540" s="2" t="s">
        <v>25</v>
      </c>
      <c r="J540" s="2" t="s">
        <v>173</v>
      </c>
      <c r="K540" s="2" t="s">
        <v>120</v>
      </c>
      <c r="L540" s="2" t="s">
        <v>67</v>
      </c>
      <c r="M540" s="2" t="s">
        <v>870</v>
      </c>
      <c r="N540" s="2" t="s">
        <v>30</v>
      </c>
      <c r="O540" s="2" t="s">
        <v>56</v>
      </c>
      <c r="P540" s="2" t="s">
        <v>871</v>
      </c>
      <c r="Q540" s="2">
        <v>61.12</v>
      </c>
      <c r="R540" s="2">
        <v>4</v>
      </c>
      <c r="S540" s="2">
        <v>20.780799999999999</v>
      </c>
      <c r="T540" s="2" t="s">
        <v>430</v>
      </c>
      <c r="U540" s="2" t="s">
        <v>59</v>
      </c>
    </row>
    <row r="541" spans="1:21" ht="14.25" customHeight="1" x14ac:dyDescent="0.3">
      <c r="A541" s="2" t="s">
        <v>1996</v>
      </c>
      <c r="B541" s="5">
        <v>41968</v>
      </c>
      <c r="C541" s="2" t="str">
        <f>TEXT(data[[#This Row],[Order Date]],"YYYY")</f>
        <v>2014</v>
      </c>
      <c r="D541" s="2">
        <v>41973</v>
      </c>
      <c r="E541" s="2" t="s">
        <v>39</v>
      </c>
      <c r="F541" s="2" t="s">
        <v>1997</v>
      </c>
      <c r="G541" s="2" t="s">
        <v>1998</v>
      </c>
      <c r="H541" s="2" t="s">
        <v>90</v>
      </c>
      <c r="I541" s="2" t="s">
        <v>25</v>
      </c>
      <c r="J541" s="2" t="s">
        <v>689</v>
      </c>
      <c r="K541" s="2" t="s">
        <v>92</v>
      </c>
      <c r="L541" s="2" t="s">
        <v>93</v>
      </c>
      <c r="M541" s="2" t="s">
        <v>44</v>
      </c>
      <c r="N541" s="2" t="s">
        <v>30</v>
      </c>
      <c r="O541" s="2" t="s">
        <v>45</v>
      </c>
      <c r="P541" s="2" t="s">
        <v>46</v>
      </c>
      <c r="Q541" s="2">
        <v>1218.7349999999999</v>
      </c>
      <c r="R541" s="2">
        <v>5</v>
      </c>
      <c r="S541" s="2">
        <v>-121.87350000000001</v>
      </c>
      <c r="T541" s="2" t="s">
        <v>58</v>
      </c>
      <c r="U541" s="2" t="s">
        <v>34</v>
      </c>
    </row>
    <row r="542" spans="1:21" ht="14.25" customHeight="1" x14ac:dyDescent="0.3">
      <c r="A542" s="2" t="s">
        <v>1996</v>
      </c>
      <c r="B542" s="5">
        <v>41968</v>
      </c>
      <c r="C542" s="2" t="str">
        <f>TEXT(data[[#This Row],[Order Date]],"YYYY")</f>
        <v>2014</v>
      </c>
      <c r="D542" s="2">
        <v>41973</v>
      </c>
      <c r="E542" s="2" t="s">
        <v>39</v>
      </c>
      <c r="F542" s="2" t="s">
        <v>1997</v>
      </c>
      <c r="G542" s="2" t="s">
        <v>1998</v>
      </c>
      <c r="H542" s="2" t="s">
        <v>90</v>
      </c>
      <c r="I542" s="2" t="s">
        <v>25</v>
      </c>
      <c r="J542" s="2" t="s">
        <v>689</v>
      </c>
      <c r="K542" s="2" t="s">
        <v>92</v>
      </c>
      <c r="L542" s="2" t="s">
        <v>93</v>
      </c>
      <c r="M542" s="2" t="s">
        <v>661</v>
      </c>
      <c r="N542" s="2" t="s">
        <v>30</v>
      </c>
      <c r="O542" s="2" t="s">
        <v>56</v>
      </c>
      <c r="P542" s="2" t="s">
        <v>662</v>
      </c>
      <c r="Q542" s="2">
        <v>6.0960000000000001</v>
      </c>
      <c r="R542" s="2">
        <v>3</v>
      </c>
      <c r="S542" s="2">
        <v>-3.9624000000000001</v>
      </c>
      <c r="T542" s="2" t="s">
        <v>58</v>
      </c>
      <c r="U542" s="2" t="s">
        <v>34</v>
      </c>
    </row>
    <row r="543" spans="1:21" ht="14.25" customHeight="1" x14ac:dyDescent="0.3">
      <c r="A543" s="2" t="s">
        <v>1999</v>
      </c>
      <c r="B543" s="5">
        <v>42488</v>
      </c>
      <c r="C543" s="2" t="str">
        <f>TEXT(data[[#This Row],[Order Date]],"YYYY")</f>
        <v>2016</v>
      </c>
      <c r="D543" s="2">
        <v>42495</v>
      </c>
      <c r="E543" s="2" t="s">
        <v>39</v>
      </c>
      <c r="F543" s="2" t="s">
        <v>2000</v>
      </c>
      <c r="G543" s="2" t="s">
        <v>2001</v>
      </c>
      <c r="H543" s="2" t="s">
        <v>90</v>
      </c>
      <c r="I543" s="2" t="s">
        <v>25</v>
      </c>
      <c r="J543" s="2" t="s">
        <v>52</v>
      </c>
      <c r="K543" s="2" t="s">
        <v>53</v>
      </c>
      <c r="L543" s="2" t="s">
        <v>54</v>
      </c>
      <c r="M543" s="2" t="s">
        <v>1003</v>
      </c>
      <c r="N543" s="2" t="s">
        <v>30</v>
      </c>
      <c r="O543" s="2" t="s">
        <v>36</v>
      </c>
      <c r="P543" s="2" t="s">
        <v>1004</v>
      </c>
      <c r="Q543" s="2">
        <v>41.567999999999998</v>
      </c>
      <c r="R543" s="2">
        <v>2</v>
      </c>
      <c r="S543" s="2">
        <v>2.5979999999999999</v>
      </c>
      <c r="T543" s="2" t="s">
        <v>47</v>
      </c>
      <c r="U543" s="2" t="s">
        <v>113</v>
      </c>
    </row>
    <row r="544" spans="1:21" ht="14.25" customHeight="1" x14ac:dyDescent="0.3">
      <c r="A544" s="2" t="s">
        <v>2002</v>
      </c>
      <c r="B544" s="5">
        <v>41755</v>
      </c>
      <c r="C544" s="2" t="str">
        <f>TEXT(data[[#This Row],[Order Date]],"YYYY")</f>
        <v>2014</v>
      </c>
      <c r="D544" s="2">
        <v>41762</v>
      </c>
      <c r="E544" s="2" t="s">
        <v>39</v>
      </c>
      <c r="F544" s="2" t="s">
        <v>2003</v>
      </c>
      <c r="G544" s="2" t="s">
        <v>2004</v>
      </c>
      <c r="H544" s="2" t="s">
        <v>90</v>
      </c>
      <c r="I544" s="2" t="s">
        <v>25</v>
      </c>
      <c r="J544" s="2" t="s">
        <v>52</v>
      </c>
      <c r="K544" s="2" t="s">
        <v>53</v>
      </c>
      <c r="L544" s="2" t="s">
        <v>54</v>
      </c>
      <c r="M544" s="2" t="s">
        <v>466</v>
      </c>
      <c r="N544" s="2" t="s">
        <v>30</v>
      </c>
      <c r="O544" s="2" t="s">
        <v>36</v>
      </c>
      <c r="P544" s="2" t="s">
        <v>467</v>
      </c>
      <c r="Q544" s="2">
        <v>230.28</v>
      </c>
      <c r="R544" s="2">
        <v>3</v>
      </c>
      <c r="S544" s="2">
        <v>23.027999999999999</v>
      </c>
      <c r="T544" s="2" t="s">
        <v>47</v>
      </c>
      <c r="U544" s="2" t="s">
        <v>113</v>
      </c>
    </row>
    <row r="545" spans="1:21" ht="14.25" customHeight="1" x14ac:dyDescent="0.3">
      <c r="A545" s="2" t="s">
        <v>2005</v>
      </c>
      <c r="B545" s="5">
        <v>42870</v>
      </c>
      <c r="C545" s="2" t="str">
        <f>TEXT(data[[#This Row],[Order Date]],"YYYY")</f>
        <v>2017</v>
      </c>
      <c r="D545" s="2">
        <v>42875</v>
      </c>
      <c r="E545" s="2" t="s">
        <v>39</v>
      </c>
      <c r="F545" s="2" t="s">
        <v>2006</v>
      </c>
      <c r="G545" s="2" t="s">
        <v>2007</v>
      </c>
      <c r="H545" s="2" t="s">
        <v>24</v>
      </c>
      <c r="I545" s="2" t="s">
        <v>25</v>
      </c>
      <c r="J545" s="2" t="s">
        <v>191</v>
      </c>
      <c r="K545" s="2" t="s">
        <v>192</v>
      </c>
      <c r="L545" s="2" t="s">
        <v>54</v>
      </c>
      <c r="M545" s="2" t="s">
        <v>1121</v>
      </c>
      <c r="N545" s="2" t="s">
        <v>30</v>
      </c>
      <c r="O545" s="2" t="s">
        <v>56</v>
      </c>
      <c r="P545" s="2" t="s">
        <v>1122</v>
      </c>
      <c r="Q545" s="2">
        <v>39.96</v>
      </c>
      <c r="R545" s="2">
        <v>2</v>
      </c>
      <c r="S545" s="2">
        <v>17.1828</v>
      </c>
      <c r="T545" s="2" t="s">
        <v>58</v>
      </c>
      <c r="U545" s="2" t="s">
        <v>161</v>
      </c>
    </row>
    <row r="546" spans="1:21" ht="14.25" customHeight="1" x14ac:dyDescent="0.3">
      <c r="A546" s="2" t="s">
        <v>2005</v>
      </c>
      <c r="B546" s="5">
        <v>42870</v>
      </c>
      <c r="C546" s="2" t="str">
        <f>TEXT(data[[#This Row],[Order Date]],"YYYY")</f>
        <v>2017</v>
      </c>
      <c r="D546" s="2">
        <v>42875</v>
      </c>
      <c r="E546" s="2" t="s">
        <v>39</v>
      </c>
      <c r="F546" s="2" t="s">
        <v>2006</v>
      </c>
      <c r="G546" s="2" t="s">
        <v>2007</v>
      </c>
      <c r="H546" s="2" t="s">
        <v>24</v>
      </c>
      <c r="I546" s="2" t="s">
        <v>25</v>
      </c>
      <c r="J546" s="2" t="s">
        <v>191</v>
      </c>
      <c r="K546" s="2" t="s">
        <v>192</v>
      </c>
      <c r="L546" s="2" t="s">
        <v>54</v>
      </c>
      <c r="M546" s="2" t="s">
        <v>2008</v>
      </c>
      <c r="N546" s="2" t="s">
        <v>30</v>
      </c>
      <c r="O546" s="2" t="s">
        <v>36</v>
      </c>
      <c r="P546" s="2" t="s">
        <v>2009</v>
      </c>
      <c r="Q546" s="2">
        <v>42.624000000000002</v>
      </c>
      <c r="R546" s="2">
        <v>2</v>
      </c>
      <c r="S546" s="2">
        <v>4.2624000000000004</v>
      </c>
      <c r="T546" s="2" t="s">
        <v>58</v>
      </c>
      <c r="U546" s="2" t="s">
        <v>161</v>
      </c>
    </row>
    <row r="547" spans="1:21" ht="14.25" customHeight="1" x14ac:dyDescent="0.3">
      <c r="A547" s="2" t="s">
        <v>2005</v>
      </c>
      <c r="B547" s="5">
        <v>42870</v>
      </c>
      <c r="C547" s="2" t="str">
        <f>TEXT(data[[#This Row],[Order Date]],"YYYY")</f>
        <v>2017</v>
      </c>
      <c r="D547" s="2">
        <v>42875</v>
      </c>
      <c r="E547" s="2" t="s">
        <v>39</v>
      </c>
      <c r="F547" s="2" t="s">
        <v>2006</v>
      </c>
      <c r="G547" s="2" t="s">
        <v>2007</v>
      </c>
      <c r="H547" s="2" t="s">
        <v>24</v>
      </c>
      <c r="I547" s="2" t="s">
        <v>25</v>
      </c>
      <c r="J547" s="2" t="s">
        <v>191</v>
      </c>
      <c r="K547" s="2" t="s">
        <v>192</v>
      </c>
      <c r="L547" s="2" t="s">
        <v>54</v>
      </c>
      <c r="M547" s="2" t="s">
        <v>246</v>
      </c>
      <c r="N547" s="2" t="s">
        <v>30</v>
      </c>
      <c r="O547" s="2" t="s">
        <v>36</v>
      </c>
      <c r="P547" s="2" t="s">
        <v>247</v>
      </c>
      <c r="Q547" s="2">
        <v>220.96</v>
      </c>
      <c r="R547" s="2">
        <v>1</v>
      </c>
      <c r="S547" s="2">
        <v>24.858000000000001</v>
      </c>
      <c r="T547" s="2" t="s">
        <v>58</v>
      </c>
      <c r="U547" s="2" t="s">
        <v>161</v>
      </c>
    </row>
    <row r="548" spans="1:21" ht="14.25" customHeight="1" x14ac:dyDescent="0.3">
      <c r="A548" s="2" t="s">
        <v>2010</v>
      </c>
      <c r="B548" s="5">
        <v>42190</v>
      </c>
      <c r="C548" s="2" t="str">
        <f>TEXT(data[[#This Row],[Order Date]],"YYYY")</f>
        <v>2015</v>
      </c>
      <c r="D548" s="2">
        <v>42195</v>
      </c>
      <c r="E548" s="2" t="s">
        <v>21</v>
      </c>
      <c r="F548" s="2" t="s">
        <v>1525</v>
      </c>
      <c r="G548" s="2" t="s">
        <v>1526</v>
      </c>
      <c r="H548" s="2" t="s">
        <v>90</v>
      </c>
      <c r="I548" s="2" t="s">
        <v>25</v>
      </c>
      <c r="J548" s="2" t="s">
        <v>1911</v>
      </c>
      <c r="K548" s="2" t="s">
        <v>1036</v>
      </c>
      <c r="L548" s="2" t="s">
        <v>28</v>
      </c>
      <c r="M548" s="2" t="s">
        <v>2011</v>
      </c>
      <c r="N548" s="2" t="s">
        <v>30</v>
      </c>
      <c r="O548" s="2" t="s">
        <v>56</v>
      </c>
      <c r="P548" s="2" t="s">
        <v>2012</v>
      </c>
      <c r="Q548" s="2">
        <v>4.9279999999999999</v>
      </c>
      <c r="R548" s="2">
        <v>2</v>
      </c>
      <c r="S548" s="2">
        <v>0.73919999999999997</v>
      </c>
      <c r="T548" s="2" t="s">
        <v>58</v>
      </c>
      <c r="U548" s="2" t="s">
        <v>71</v>
      </c>
    </row>
    <row r="549" spans="1:21" ht="14.25" customHeight="1" x14ac:dyDescent="0.3">
      <c r="A549" s="2" t="s">
        <v>2013</v>
      </c>
      <c r="B549" s="5">
        <v>42898</v>
      </c>
      <c r="C549" s="2" t="str">
        <f>TEXT(data[[#This Row],[Order Date]],"YYYY")</f>
        <v>2017</v>
      </c>
      <c r="D549" s="2">
        <v>42904</v>
      </c>
      <c r="E549" s="2" t="s">
        <v>39</v>
      </c>
      <c r="F549" s="2" t="s">
        <v>2014</v>
      </c>
      <c r="G549" s="2" t="s">
        <v>2015</v>
      </c>
      <c r="H549" s="2" t="s">
        <v>24</v>
      </c>
      <c r="I549" s="2" t="s">
        <v>25</v>
      </c>
      <c r="J549" s="2" t="s">
        <v>173</v>
      </c>
      <c r="K549" s="2" t="s">
        <v>120</v>
      </c>
      <c r="L549" s="2" t="s">
        <v>67</v>
      </c>
      <c r="M549" s="2" t="s">
        <v>580</v>
      </c>
      <c r="N549" s="2" t="s">
        <v>30</v>
      </c>
      <c r="O549" s="2" t="s">
        <v>36</v>
      </c>
      <c r="P549" s="2" t="s">
        <v>581</v>
      </c>
      <c r="Q549" s="2">
        <v>858.24</v>
      </c>
      <c r="R549" s="2">
        <v>4</v>
      </c>
      <c r="S549" s="2">
        <v>143.04</v>
      </c>
      <c r="T549" s="2" t="s">
        <v>129</v>
      </c>
      <c r="U549" s="2" t="s">
        <v>59</v>
      </c>
    </row>
    <row r="550" spans="1:21" ht="14.25" customHeight="1" x14ac:dyDescent="0.3">
      <c r="A550" s="2" t="s">
        <v>2016</v>
      </c>
      <c r="B550" s="5">
        <v>42477</v>
      </c>
      <c r="C550" s="2" t="str">
        <f>TEXT(data[[#This Row],[Order Date]],"YYYY")</f>
        <v>2016</v>
      </c>
      <c r="D550" s="2">
        <v>42481</v>
      </c>
      <c r="E550" s="2" t="s">
        <v>21</v>
      </c>
      <c r="F550" s="2" t="s">
        <v>1737</v>
      </c>
      <c r="G550" s="2" t="s">
        <v>1738</v>
      </c>
      <c r="H550" s="2" t="s">
        <v>100</v>
      </c>
      <c r="I550" s="2" t="s">
        <v>25</v>
      </c>
      <c r="J550" s="2" t="s">
        <v>2017</v>
      </c>
      <c r="K550" s="2" t="s">
        <v>1036</v>
      </c>
      <c r="L550" s="2" t="s">
        <v>28</v>
      </c>
      <c r="M550" s="2" t="s">
        <v>500</v>
      </c>
      <c r="N550" s="2" t="s">
        <v>30</v>
      </c>
      <c r="O550" s="2" t="s">
        <v>56</v>
      </c>
      <c r="P550" s="2" t="s">
        <v>501</v>
      </c>
      <c r="Q550" s="2">
        <v>18.623999999999999</v>
      </c>
      <c r="R550" s="2">
        <v>8</v>
      </c>
      <c r="S550" s="2">
        <v>6.2855999999999996</v>
      </c>
      <c r="T550" s="2" t="s">
        <v>83</v>
      </c>
      <c r="U550" s="2" t="s">
        <v>113</v>
      </c>
    </row>
    <row r="551" spans="1:21" ht="14.25" customHeight="1" x14ac:dyDescent="0.3">
      <c r="A551" s="2" t="s">
        <v>2018</v>
      </c>
      <c r="B551" s="5">
        <v>41889</v>
      </c>
      <c r="C551" s="2" t="str">
        <f>TEXT(data[[#This Row],[Order Date]],"YYYY")</f>
        <v>2014</v>
      </c>
      <c r="D551" s="2">
        <v>41894</v>
      </c>
      <c r="E551" s="2" t="s">
        <v>21</v>
      </c>
      <c r="F551" s="2" t="s">
        <v>2019</v>
      </c>
      <c r="G551" s="2" t="s">
        <v>2020</v>
      </c>
      <c r="H551" s="2" t="s">
        <v>24</v>
      </c>
      <c r="I551" s="2" t="s">
        <v>25</v>
      </c>
      <c r="J551" s="2" t="s">
        <v>2021</v>
      </c>
      <c r="K551" s="2" t="s">
        <v>1522</v>
      </c>
      <c r="L551" s="2" t="s">
        <v>93</v>
      </c>
      <c r="M551" s="2" t="s">
        <v>1311</v>
      </c>
      <c r="N551" s="2" t="s">
        <v>30</v>
      </c>
      <c r="O551" s="2" t="s">
        <v>56</v>
      </c>
      <c r="P551" s="2" t="s">
        <v>2022</v>
      </c>
      <c r="Q551" s="2">
        <v>57.69</v>
      </c>
      <c r="R551" s="2">
        <v>3</v>
      </c>
      <c r="S551" s="2">
        <v>23.652899999999999</v>
      </c>
      <c r="T551" s="2" t="s">
        <v>58</v>
      </c>
      <c r="U551" s="2" t="s">
        <v>77</v>
      </c>
    </row>
    <row r="552" spans="1:21" ht="14.25" customHeight="1" x14ac:dyDescent="0.3">
      <c r="A552" s="2" t="s">
        <v>2018</v>
      </c>
      <c r="B552" s="5">
        <v>41889</v>
      </c>
      <c r="C552" s="2" t="str">
        <f>TEXT(data[[#This Row],[Order Date]],"YYYY")</f>
        <v>2014</v>
      </c>
      <c r="D552" s="2">
        <v>41894</v>
      </c>
      <c r="E552" s="2" t="s">
        <v>21</v>
      </c>
      <c r="F552" s="2" t="s">
        <v>2019</v>
      </c>
      <c r="G552" s="2" t="s">
        <v>2020</v>
      </c>
      <c r="H552" s="2" t="s">
        <v>24</v>
      </c>
      <c r="I552" s="2" t="s">
        <v>25</v>
      </c>
      <c r="J552" s="2" t="s">
        <v>2021</v>
      </c>
      <c r="K552" s="2" t="s">
        <v>1522</v>
      </c>
      <c r="L552" s="2" t="s">
        <v>93</v>
      </c>
      <c r="M552" s="2" t="s">
        <v>1957</v>
      </c>
      <c r="N552" s="2" t="s">
        <v>30</v>
      </c>
      <c r="O552" s="2" t="s">
        <v>56</v>
      </c>
      <c r="P552" s="2" t="s">
        <v>1958</v>
      </c>
      <c r="Q552" s="2">
        <v>821.88</v>
      </c>
      <c r="R552" s="2">
        <v>6</v>
      </c>
      <c r="S552" s="2">
        <v>213.68879999999999</v>
      </c>
      <c r="T552" s="2" t="s">
        <v>58</v>
      </c>
      <c r="U552" s="2" t="s">
        <v>77</v>
      </c>
    </row>
    <row r="553" spans="1:21" ht="14.25" customHeight="1" x14ac:dyDescent="0.3">
      <c r="A553" s="2" t="s">
        <v>2023</v>
      </c>
      <c r="B553" s="5">
        <v>42639</v>
      </c>
      <c r="C553" s="2" t="str">
        <f>TEXT(data[[#This Row],[Order Date]],"YYYY")</f>
        <v>2016</v>
      </c>
      <c r="D553" s="2">
        <v>42644</v>
      </c>
      <c r="E553" s="2" t="s">
        <v>39</v>
      </c>
      <c r="F553" s="2" t="s">
        <v>2024</v>
      </c>
      <c r="G553" s="2" t="s">
        <v>2025</v>
      </c>
      <c r="H553" s="2" t="s">
        <v>90</v>
      </c>
      <c r="I553" s="2" t="s">
        <v>25</v>
      </c>
      <c r="J553" s="2" t="s">
        <v>2026</v>
      </c>
      <c r="K553" s="2" t="s">
        <v>53</v>
      </c>
      <c r="L553" s="2" t="s">
        <v>54</v>
      </c>
      <c r="M553" s="2" t="s">
        <v>1136</v>
      </c>
      <c r="N553" s="2" t="s">
        <v>30</v>
      </c>
      <c r="O553" s="2" t="s">
        <v>31</v>
      </c>
      <c r="P553" s="2" t="s">
        <v>1137</v>
      </c>
      <c r="Q553" s="2">
        <v>424.95749999999998</v>
      </c>
      <c r="R553" s="2">
        <v>5</v>
      </c>
      <c r="S553" s="2">
        <v>19.998000000000001</v>
      </c>
      <c r="T553" s="2" t="s">
        <v>58</v>
      </c>
      <c r="U553" s="2" t="s">
        <v>77</v>
      </c>
    </row>
    <row r="554" spans="1:21" ht="14.25" customHeight="1" x14ac:dyDescent="0.3">
      <c r="A554" s="2" t="s">
        <v>2027</v>
      </c>
      <c r="B554" s="5">
        <v>42995</v>
      </c>
      <c r="C554" s="2" t="str">
        <f>TEXT(data[[#This Row],[Order Date]],"YYYY")</f>
        <v>2017</v>
      </c>
      <c r="D554" s="2">
        <v>42999</v>
      </c>
      <c r="E554" s="2" t="s">
        <v>21</v>
      </c>
      <c r="F554" s="2" t="s">
        <v>371</v>
      </c>
      <c r="G554" s="2" t="s">
        <v>372</v>
      </c>
      <c r="H554" s="2" t="s">
        <v>90</v>
      </c>
      <c r="I554" s="2" t="s">
        <v>25</v>
      </c>
      <c r="J554" s="2" t="s">
        <v>1233</v>
      </c>
      <c r="K554" s="2" t="s">
        <v>76</v>
      </c>
      <c r="L554" s="2" t="s">
        <v>54</v>
      </c>
      <c r="M554" s="2" t="s">
        <v>2028</v>
      </c>
      <c r="N554" s="2" t="s">
        <v>30</v>
      </c>
      <c r="O554" s="2" t="s">
        <v>31</v>
      </c>
      <c r="P554" s="2" t="s">
        <v>2029</v>
      </c>
      <c r="Q554" s="2">
        <v>1292.94</v>
      </c>
      <c r="R554" s="2">
        <v>3</v>
      </c>
      <c r="S554" s="2">
        <v>77.576400000000007</v>
      </c>
      <c r="T554" s="2" t="s">
        <v>83</v>
      </c>
      <c r="U554" s="2" t="s">
        <v>77</v>
      </c>
    </row>
    <row r="555" spans="1:21" ht="14.25" customHeight="1" x14ac:dyDescent="0.3">
      <c r="A555" s="2" t="s">
        <v>2030</v>
      </c>
      <c r="B555" s="5">
        <v>42362</v>
      </c>
      <c r="C555" s="2" t="str">
        <f>TEXT(data[[#This Row],[Order Date]],"YYYY")</f>
        <v>2015</v>
      </c>
      <c r="D555" s="2">
        <v>42366</v>
      </c>
      <c r="E555" s="2" t="s">
        <v>39</v>
      </c>
      <c r="F555" s="2" t="s">
        <v>2031</v>
      </c>
      <c r="G555" s="2" t="s">
        <v>2032</v>
      </c>
      <c r="H555" s="2" t="s">
        <v>90</v>
      </c>
      <c r="I555" s="2" t="s">
        <v>25</v>
      </c>
      <c r="J555" s="2" t="s">
        <v>2033</v>
      </c>
      <c r="K555" s="2" t="s">
        <v>520</v>
      </c>
      <c r="L555" s="2" t="s">
        <v>54</v>
      </c>
      <c r="M555" s="2" t="s">
        <v>246</v>
      </c>
      <c r="N555" s="2" t="s">
        <v>30</v>
      </c>
      <c r="O555" s="2" t="s">
        <v>36</v>
      </c>
      <c r="P555" s="2" t="s">
        <v>247</v>
      </c>
      <c r="Q555" s="2">
        <v>883.84</v>
      </c>
      <c r="R555" s="2">
        <v>4</v>
      </c>
      <c r="S555" s="2">
        <v>99.432000000000002</v>
      </c>
      <c r="T555" s="2" t="s">
        <v>83</v>
      </c>
      <c r="U555" s="2" t="s">
        <v>96</v>
      </c>
    </row>
    <row r="556" spans="1:21" ht="14.25" customHeight="1" x14ac:dyDescent="0.3">
      <c r="A556" s="2" t="s">
        <v>2034</v>
      </c>
      <c r="B556" s="5">
        <v>42491</v>
      </c>
      <c r="C556" s="2" t="str">
        <f>TEXT(data[[#This Row],[Order Date]],"YYYY")</f>
        <v>2016</v>
      </c>
      <c r="D556" s="2">
        <v>42494</v>
      </c>
      <c r="E556" s="2" t="s">
        <v>87</v>
      </c>
      <c r="F556" s="2" t="s">
        <v>2035</v>
      </c>
      <c r="G556" s="2" t="s">
        <v>2036</v>
      </c>
      <c r="H556" s="2" t="s">
        <v>24</v>
      </c>
      <c r="I556" s="2" t="s">
        <v>25</v>
      </c>
      <c r="J556" s="2" t="s">
        <v>140</v>
      </c>
      <c r="K556" s="2" t="s">
        <v>141</v>
      </c>
      <c r="L556" s="2" t="s">
        <v>28</v>
      </c>
      <c r="M556" s="2" t="s">
        <v>212</v>
      </c>
      <c r="N556" s="2" t="s">
        <v>30</v>
      </c>
      <c r="O556" s="2" t="s">
        <v>45</v>
      </c>
      <c r="P556" s="2" t="s">
        <v>213</v>
      </c>
      <c r="Q556" s="2">
        <v>370.62</v>
      </c>
      <c r="R556" s="2">
        <v>3</v>
      </c>
      <c r="S556" s="2">
        <v>-142.071</v>
      </c>
      <c r="T556" s="2" t="s">
        <v>33</v>
      </c>
      <c r="U556" s="2" t="s">
        <v>161</v>
      </c>
    </row>
    <row r="557" spans="1:21" ht="14.25" customHeight="1" x14ac:dyDescent="0.3">
      <c r="A557" s="2" t="s">
        <v>2037</v>
      </c>
      <c r="B557" s="5">
        <v>42241</v>
      </c>
      <c r="C557" s="2" t="str">
        <f>TEXT(data[[#This Row],[Order Date]],"YYYY")</f>
        <v>2015</v>
      </c>
      <c r="D557" s="2">
        <v>42246</v>
      </c>
      <c r="E557" s="2" t="s">
        <v>39</v>
      </c>
      <c r="F557" s="2" t="s">
        <v>2038</v>
      </c>
      <c r="G557" s="2" t="s">
        <v>2039</v>
      </c>
      <c r="H557" s="2" t="s">
        <v>100</v>
      </c>
      <c r="I557" s="2" t="s">
        <v>25</v>
      </c>
      <c r="J557" s="2" t="s">
        <v>52</v>
      </c>
      <c r="K557" s="2" t="s">
        <v>53</v>
      </c>
      <c r="L557" s="2" t="s">
        <v>54</v>
      </c>
      <c r="M557" s="2" t="s">
        <v>68</v>
      </c>
      <c r="N557" s="2" t="s">
        <v>30</v>
      </c>
      <c r="O557" s="2" t="s">
        <v>36</v>
      </c>
      <c r="P557" s="2" t="s">
        <v>69</v>
      </c>
      <c r="Q557" s="2">
        <v>40.783999999999999</v>
      </c>
      <c r="R557" s="2">
        <v>1</v>
      </c>
      <c r="S557" s="2">
        <v>4.5881999999999996</v>
      </c>
      <c r="T557" s="2" t="s">
        <v>58</v>
      </c>
      <c r="U557" s="2" t="s">
        <v>253</v>
      </c>
    </row>
    <row r="558" spans="1:21" ht="14.25" customHeight="1" x14ac:dyDescent="0.3">
      <c r="A558" s="2" t="s">
        <v>2040</v>
      </c>
      <c r="B558" s="5">
        <v>41891</v>
      </c>
      <c r="C558" s="2" t="str">
        <f>TEXT(data[[#This Row],[Order Date]],"YYYY")</f>
        <v>2014</v>
      </c>
      <c r="D558" s="2">
        <v>41894</v>
      </c>
      <c r="E558" s="2" t="s">
        <v>21</v>
      </c>
      <c r="F558" s="2" t="s">
        <v>2041</v>
      </c>
      <c r="G558" s="2" t="s">
        <v>2042</v>
      </c>
      <c r="H558" s="2" t="s">
        <v>90</v>
      </c>
      <c r="I558" s="2" t="s">
        <v>25</v>
      </c>
      <c r="J558" s="2" t="s">
        <v>2043</v>
      </c>
      <c r="K558" s="2" t="s">
        <v>434</v>
      </c>
      <c r="L558" s="2" t="s">
        <v>67</v>
      </c>
      <c r="M558" s="2" t="s">
        <v>2044</v>
      </c>
      <c r="N558" s="2" t="s">
        <v>30</v>
      </c>
      <c r="O558" s="2" t="s">
        <v>36</v>
      </c>
      <c r="P558" s="2" t="s">
        <v>2045</v>
      </c>
      <c r="Q558" s="2">
        <v>785.88</v>
      </c>
      <c r="R558" s="2">
        <v>6</v>
      </c>
      <c r="S558" s="2">
        <v>212.1876</v>
      </c>
      <c r="T558" s="2" t="s">
        <v>33</v>
      </c>
      <c r="U558" s="2" t="s">
        <v>77</v>
      </c>
    </row>
    <row r="559" spans="1:21" ht="14.25" customHeight="1" x14ac:dyDescent="0.3">
      <c r="A559" s="2" t="s">
        <v>2046</v>
      </c>
      <c r="B559" s="5">
        <v>42391</v>
      </c>
      <c r="C559" s="2" t="str">
        <f>TEXT(data[[#This Row],[Order Date]],"YYYY")</f>
        <v>2016</v>
      </c>
      <c r="D559" s="2">
        <v>42397</v>
      </c>
      <c r="E559" s="2" t="s">
        <v>39</v>
      </c>
      <c r="F559" s="2" t="s">
        <v>787</v>
      </c>
      <c r="G559" s="2" t="s">
        <v>788</v>
      </c>
      <c r="H559" s="2" t="s">
        <v>90</v>
      </c>
      <c r="I559" s="2" t="s">
        <v>25</v>
      </c>
      <c r="J559" s="2" t="s">
        <v>191</v>
      </c>
      <c r="K559" s="2" t="s">
        <v>192</v>
      </c>
      <c r="L559" s="2" t="s">
        <v>54</v>
      </c>
      <c r="M559" s="2" t="s">
        <v>630</v>
      </c>
      <c r="N559" s="2" t="s">
        <v>30</v>
      </c>
      <c r="O559" s="2" t="s">
        <v>56</v>
      </c>
      <c r="P559" s="2" t="s">
        <v>631</v>
      </c>
      <c r="Q559" s="2">
        <v>109.9</v>
      </c>
      <c r="R559" s="2">
        <v>5</v>
      </c>
      <c r="S559" s="2">
        <v>37.366</v>
      </c>
      <c r="T559" s="2" t="s">
        <v>129</v>
      </c>
      <c r="U559" s="2" t="s">
        <v>169</v>
      </c>
    </row>
    <row r="560" spans="1:21" ht="14.25" customHeight="1" x14ac:dyDescent="0.3">
      <c r="A560" s="2" t="s">
        <v>2047</v>
      </c>
      <c r="B560" s="5">
        <v>41927</v>
      </c>
      <c r="C560" s="2" t="str">
        <f>TEXT(data[[#This Row],[Order Date]],"YYYY")</f>
        <v>2014</v>
      </c>
      <c r="D560" s="2">
        <v>41932</v>
      </c>
      <c r="E560" s="2" t="s">
        <v>39</v>
      </c>
      <c r="F560" s="2" t="s">
        <v>2048</v>
      </c>
      <c r="G560" s="2" t="s">
        <v>2049</v>
      </c>
      <c r="H560" s="2" t="s">
        <v>24</v>
      </c>
      <c r="I560" s="2" t="s">
        <v>25</v>
      </c>
      <c r="J560" s="2" t="s">
        <v>2050</v>
      </c>
      <c r="K560" s="2" t="s">
        <v>43</v>
      </c>
      <c r="L560" s="2" t="s">
        <v>28</v>
      </c>
      <c r="M560" s="2" t="s">
        <v>1311</v>
      </c>
      <c r="N560" s="2" t="s">
        <v>30</v>
      </c>
      <c r="O560" s="2" t="s">
        <v>56</v>
      </c>
      <c r="P560" s="2" t="s">
        <v>2022</v>
      </c>
      <c r="Q560" s="2">
        <v>15.384</v>
      </c>
      <c r="R560" s="2">
        <v>1</v>
      </c>
      <c r="S560" s="2">
        <v>4.0382999999999996</v>
      </c>
      <c r="T560" s="2" t="s">
        <v>58</v>
      </c>
      <c r="U560" s="2" t="s">
        <v>48</v>
      </c>
    </row>
    <row r="561" spans="1:21" ht="14.25" customHeight="1" x14ac:dyDescent="0.3">
      <c r="A561" s="2" t="s">
        <v>2051</v>
      </c>
      <c r="B561" s="5">
        <v>41716</v>
      </c>
      <c r="C561" s="2" t="str">
        <f>TEXT(data[[#This Row],[Order Date]],"YYYY")</f>
        <v>2014</v>
      </c>
      <c r="D561" s="2">
        <v>41721</v>
      </c>
      <c r="E561" s="2" t="s">
        <v>39</v>
      </c>
      <c r="F561" s="2" t="s">
        <v>1974</v>
      </c>
      <c r="G561" s="2" t="s">
        <v>1975</v>
      </c>
      <c r="H561" s="2" t="s">
        <v>100</v>
      </c>
      <c r="I561" s="2" t="s">
        <v>25</v>
      </c>
      <c r="J561" s="2" t="s">
        <v>606</v>
      </c>
      <c r="K561" s="2" t="s">
        <v>43</v>
      </c>
      <c r="L561" s="2" t="s">
        <v>28</v>
      </c>
      <c r="M561" s="2" t="s">
        <v>1311</v>
      </c>
      <c r="N561" s="2" t="s">
        <v>30</v>
      </c>
      <c r="O561" s="2" t="s">
        <v>56</v>
      </c>
      <c r="P561" s="2" t="s">
        <v>2022</v>
      </c>
      <c r="Q561" s="2">
        <v>30.768000000000001</v>
      </c>
      <c r="R561" s="2">
        <v>2</v>
      </c>
      <c r="S561" s="2">
        <v>8.0765999999999991</v>
      </c>
      <c r="T561" s="2" t="s">
        <v>58</v>
      </c>
      <c r="U561" s="2" t="s">
        <v>195</v>
      </c>
    </row>
    <row r="562" spans="1:21" ht="14.25" customHeight="1" x14ac:dyDescent="0.3">
      <c r="A562" s="2" t="s">
        <v>2051</v>
      </c>
      <c r="B562" s="5">
        <v>41716</v>
      </c>
      <c r="C562" s="2" t="str">
        <f>TEXT(data[[#This Row],[Order Date]],"YYYY")</f>
        <v>2014</v>
      </c>
      <c r="D562" s="2">
        <v>41721</v>
      </c>
      <c r="E562" s="2" t="s">
        <v>39</v>
      </c>
      <c r="F562" s="2" t="s">
        <v>1974</v>
      </c>
      <c r="G562" s="2" t="s">
        <v>1975</v>
      </c>
      <c r="H562" s="2" t="s">
        <v>100</v>
      </c>
      <c r="I562" s="2" t="s">
        <v>25</v>
      </c>
      <c r="J562" s="2" t="s">
        <v>606</v>
      </c>
      <c r="K562" s="2" t="s">
        <v>43</v>
      </c>
      <c r="L562" s="2" t="s">
        <v>28</v>
      </c>
      <c r="M562" s="2" t="s">
        <v>1537</v>
      </c>
      <c r="N562" s="2" t="s">
        <v>30</v>
      </c>
      <c r="O562" s="2" t="s">
        <v>56</v>
      </c>
      <c r="P562" s="2" t="s">
        <v>1538</v>
      </c>
      <c r="Q562" s="2">
        <v>122.352</v>
      </c>
      <c r="R562" s="2">
        <v>3</v>
      </c>
      <c r="S562" s="2">
        <v>15.294</v>
      </c>
      <c r="T562" s="2" t="s">
        <v>58</v>
      </c>
      <c r="U562" s="2" t="s">
        <v>195</v>
      </c>
    </row>
    <row r="563" spans="1:21" ht="14.25" customHeight="1" x14ac:dyDescent="0.3">
      <c r="A563" s="2" t="s">
        <v>2052</v>
      </c>
      <c r="B563" s="5">
        <v>42034</v>
      </c>
      <c r="C563" s="2" t="str">
        <f>TEXT(data[[#This Row],[Order Date]],"YYYY")</f>
        <v>2015</v>
      </c>
      <c r="D563" s="2">
        <v>42041</v>
      </c>
      <c r="E563" s="2" t="s">
        <v>39</v>
      </c>
      <c r="F563" s="2" t="s">
        <v>2053</v>
      </c>
      <c r="G563" s="2" t="s">
        <v>2054</v>
      </c>
      <c r="H563" s="2" t="s">
        <v>24</v>
      </c>
      <c r="I563" s="2" t="s">
        <v>25</v>
      </c>
      <c r="J563" s="2" t="s">
        <v>52</v>
      </c>
      <c r="K563" s="2" t="s">
        <v>53</v>
      </c>
      <c r="L563" s="2" t="s">
        <v>54</v>
      </c>
      <c r="M563" s="2" t="s">
        <v>2055</v>
      </c>
      <c r="N563" s="2" t="s">
        <v>30</v>
      </c>
      <c r="O563" s="2" t="s">
        <v>56</v>
      </c>
      <c r="P563" s="2" t="s">
        <v>2056</v>
      </c>
      <c r="Q563" s="2">
        <v>227.36</v>
      </c>
      <c r="R563" s="2">
        <v>7</v>
      </c>
      <c r="S563" s="2">
        <v>81.849599999999995</v>
      </c>
      <c r="T563" s="2" t="s">
        <v>47</v>
      </c>
      <c r="U563" s="2" t="s">
        <v>169</v>
      </c>
    </row>
    <row r="564" spans="1:21" ht="14.25" customHeight="1" x14ac:dyDescent="0.3">
      <c r="A564" s="2" t="s">
        <v>2057</v>
      </c>
      <c r="B564" s="5">
        <v>43017</v>
      </c>
      <c r="C564" s="2" t="str">
        <f>TEXT(data[[#This Row],[Order Date]],"YYYY")</f>
        <v>2017</v>
      </c>
      <c r="D564" s="2">
        <v>43019</v>
      </c>
      <c r="E564" s="2" t="s">
        <v>87</v>
      </c>
      <c r="F564" s="2" t="s">
        <v>2058</v>
      </c>
      <c r="G564" s="2" t="s">
        <v>2059</v>
      </c>
      <c r="H564" s="2" t="s">
        <v>90</v>
      </c>
      <c r="I564" s="2" t="s">
        <v>25</v>
      </c>
      <c r="J564" s="2" t="s">
        <v>2060</v>
      </c>
      <c r="K564" s="2" t="s">
        <v>231</v>
      </c>
      <c r="L564" s="2" t="s">
        <v>67</v>
      </c>
      <c r="M564" s="2" t="s">
        <v>776</v>
      </c>
      <c r="N564" s="2" t="s">
        <v>30</v>
      </c>
      <c r="O564" s="2" t="s">
        <v>56</v>
      </c>
      <c r="P564" s="2" t="s">
        <v>777</v>
      </c>
      <c r="Q564" s="2">
        <v>45.887999999999998</v>
      </c>
      <c r="R564" s="2">
        <v>4</v>
      </c>
      <c r="S564" s="2">
        <v>9.1776</v>
      </c>
      <c r="T564" s="2" t="s">
        <v>70</v>
      </c>
      <c r="U564" s="2" t="s">
        <v>48</v>
      </c>
    </row>
    <row r="565" spans="1:21" ht="14.25" customHeight="1" x14ac:dyDescent="0.3">
      <c r="A565" s="2" t="s">
        <v>2061</v>
      </c>
      <c r="B565" s="5">
        <v>41979</v>
      </c>
      <c r="C565" s="2" t="str">
        <f>TEXT(data[[#This Row],[Order Date]],"YYYY")</f>
        <v>2014</v>
      </c>
      <c r="D565" s="2">
        <v>41981</v>
      </c>
      <c r="E565" s="2" t="s">
        <v>21</v>
      </c>
      <c r="F565" s="2" t="s">
        <v>1574</v>
      </c>
      <c r="G565" s="2" t="s">
        <v>1575</v>
      </c>
      <c r="H565" s="2" t="s">
        <v>24</v>
      </c>
      <c r="I565" s="2" t="s">
        <v>25</v>
      </c>
      <c r="J565" s="2" t="s">
        <v>101</v>
      </c>
      <c r="K565" s="2" t="s">
        <v>92</v>
      </c>
      <c r="L565" s="2" t="s">
        <v>93</v>
      </c>
      <c r="M565" s="2" t="s">
        <v>697</v>
      </c>
      <c r="N565" s="2" t="s">
        <v>30</v>
      </c>
      <c r="O565" s="2" t="s">
        <v>56</v>
      </c>
      <c r="P565" s="2" t="s">
        <v>698</v>
      </c>
      <c r="Q565" s="2">
        <v>23.975999999999999</v>
      </c>
      <c r="R565" s="2">
        <v>3</v>
      </c>
      <c r="S565" s="2">
        <v>-14.3856</v>
      </c>
      <c r="T565" s="2" t="s">
        <v>70</v>
      </c>
      <c r="U565" s="2" t="s">
        <v>96</v>
      </c>
    </row>
    <row r="566" spans="1:21" ht="14.25" customHeight="1" x14ac:dyDescent="0.3">
      <c r="A566" s="2" t="s">
        <v>2062</v>
      </c>
      <c r="B566" s="5">
        <v>43046</v>
      </c>
      <c r="C566" s="2" t="str">
        <f>TEXT(data[[#This Row],[Order Date]],"YYYY")</f>
        <v>2017</v>
      </c>
      <c r="D566" s="2">
        <v>43052</v>
      </c>
      <c r="E566" s="2" t="s">
        <v>39</v>
      </c>
      <c r="F566" s="2" t="s">
        <v>2063</v>
      </c>
      <c r="G566" s="2" t="s">
        <v>2064</v>
      </c>
      <c r="H566" s="2" t="s">
        <v>24</v>
      </c>
      <c r="I566" s="2" t="s">
        <v>25</v>
      </c>
      <c r="J566" s="2" t="s">
        <v>65</v>
      </c>
      <c r="K566" s="2" t="s">
        <v>66</v>
      </c>
      <c r="L566" s="2" t="s">
        <v>67</v>
      </c>
      <c r="M566" s="2" t="s">
        <v>1900</v>
      </c>
      <c r="N566" s="2" t="s">
        <v>30</v>
      </c>
      <c r="O566" s="2" t="s">
        <v>45</v>
      </c>
      <c r="P566" s="2" t="s">
        <v>1901</v>
      </c>
      <c r="Q566" s="2">
        <v>350.35199999999998</v>
      </c>
      <c r="R566" s="2">
        <v>4</v>
      </c>
      <c r="S566" s="2">
        <v>-140.14080000000001</v>
      </c>
      <c r="T566" s="2" t="s">
        <v>129</v>
      </c>
      <c r="U566" s="2" t="s">
        <v>34</v>
      </c>
    </row>
    <row r="567" spans="1:21" ht="14.25" customHeight="1" x14ac:dyDescent="0.3">
      <c r="A567" s="2" t="s">
        <v>2065</v>
      </c>
      <c r="B567" s="5">
        <v>42779</v>
      </c>
      <c r="C567" s="2" t="str">
        <f>TEXT(data[[#This Row],[Order Date]],"YYYY")</f>
        <v>2017</v>
      </c>
      <c r="D567" s="2">
        <v>42785</v>
      </c>
      <c r="E567" s="2" t="s">
        <v>39</v>
      </c>
      <c r="F567" s="2" t="s">
        <v>2066</v>
      </c>
      <c r="G567" s="2" t="s">
        <v>2067</v>
      </c>
      <c r="H567" s="2" t="s">
        <v>24</v>
      </c>
      <c r="I567" s="2" t="s">
        <v>25</v>
      </c>
      <c r="J567" s="2" t="s">
        <v>191</v>
      </c>
      <c r="K567" s="2" t="s">
        <v>192</v>
      </c>
      <c r="L567" s="2" t="s">
        <v>54</v>
      </c>
      <c r="M567" s="2" t="s">
        <v>308</v>
      </c>
      <c r="N567" s="2" t="s">
        <v>30</v>
      </c>
      <c r="O567" s="2" t="s">
        <v>56</v>
      </c>
      <c r="P567" s="2" t="s">
        <v>309</v>
      </c>
      <c r="Q567" s="2">
        <v>107.53</v>
      </c>
      <c r="R567" s="2">
        <v>1</v>
      </c>
      <c r="S567" s="2">
        <v>21.506</v>
      </c>
      <c r="T567" s="2" t="s">
        <v>129</v>
      </c>
      <c r="U567" s="2" t="s">
        <v>297</v>
      </c>
    </row>
    <row r="568" spans="1:21" ht="14.25" customHeight="1" x14ac:dyDescent="0.3">
      <c r="A568" s="2" t="s">
        <v>2068</v>
      </c>
      <c r="B568" s="5">
        <v>42321</v>
      </c>
      <c r="C568" s="2" t="str">
        <f>TEXT(data[[#This Row],[Order Date]],"YYYY")</f>
        <v>2015</v>
      </c>
      <c r="D568" s="2">
        <v>42327</v>
      </c>
      <c r="E568" s="2" t="s">
        <v>39</v>
      </c>
      <c r="F568" s="2" t="s">
        <v>311</v>
      </c>
      <c r="G568" s="2" t="s">
        <v>312</v>
      </c>
      <c r="H568" s="2" t="s">
        <v>24</v>
      </c>
      <c r="I568" s="2" t="s">
        <v>25</v>
      </c>
      <c r="J568" s="2" t="s">
        <v>230</v>
      </c>
      <c r="K568" s="2" t="s">
        <v>200</v>
      </c>
      <c r="L568" s="2" t="s">
        <v>67</v>
      </c>
      <c r="M568" s="2" t="s">
        <v>1136</v>
      </c>
      <c r="N568" s="2" t="s">
        <v>30</v>
      </c>
      <c r="O568" s="2" t="s">
        <v>31</v>
      </c>
      <c r="P568" s="2" t="s">
        <v>1137</v>
      </c>
      <c r="Q568" s="2">
        <v>299.97000000000003</v>
      </c>
      <c r="R568" s="2">
        <v>3</v>
      </c>
      <c r="S568" s="2">
        <v>56.994300000000003</v>
      </c>
      <c r="T568" s="2" t="s">
        <v>129</v>
      </c>
      <c r="U568" s="2" t="s">
        <v>34</v>
      </c>
    </row>
    <row r="569" spans="1:21" ht="14.25" customHeight="1" x14ac:dyDescent="0.3">
      <c r="A569" s="2" t="s">
        <v>2069</v>
      </c>
      <c r="B569" s="5">
        <v>41947</v>
      </c>
      <c r="C569" s="2" t="str">
        <f>TEXT(data[[#This Row],[Order Date]],"YYYY")</f>
        <v>2014</v>
      </c>
      <c r="D569" s="2">
        <v>41951</v>
      </c>
      <c r="E569" s="2" t="s">
        <v>39</v>
      </c>
      <c r="F569" s="2" t="s">
        <v>2070</v>
      </c>
      <c r="G569" s="2" t="s">
        <v>2071</v>
      </c>
      <c r="H569" s="2" t="s">
        <v>24</v>
      </c>
      <c r="I569" s="2" t="s">
        <v>25</v>
      </c>
      <c r="J569" s="2" t="s">
        <v>639</v>
      </c>
      <c r="K569" s="2" t="s">
        <v>53</v>
      </c>
      <c r="L569" s="2" t="s">
        <v>54</v>
      </c>
      <c r="M569" s="2" t="s">
        <v>1989</v>
      </c>
      <c r="N569" s="2" t="s">
        <v>30</v>
      </c>
      <c r="O569" s="2" t="s">
        <v>56</v>
      </c>
      <c r="P569" s="2" t="s">
        <v>1990</v>
      </c>
      <c r="Q569" s="2">
        <v>35.340000000000003</v>
      </c>
      <c r="R569" s="2">
        <v>2</v>
      </c>
      <c r="S569" s="2">
        <v>13.4292</v>
      </c>
      <c r="T569" s="2" t="s">
        <v>83</v>
      </c>
      <c r="U569" s="2" t="s">
        <v>34</v>
      </c>
    </row>
    <row r="570" spans="1:21" ht="14.25" customHeight="1" x14ac:dyDescent="0.3">
      <c r="A570" s="2" t="s">
        <v>2072</v>
      </c>
      <c r="B570" s="5">
        <v>42175</v>
      </c>
      <c r="C570" s="2" t="str">
        <f>TEXT(data[[#This Row],[Order Date]],"YYYY")</f>
        <v>2015</v>
      </c>
      <c r="D570" s="2">
        <v>42180</v>
      </c>
      <c r="E570" s="2" t="s">
        <v>21</v>
      </c>
      <c r="F570" s="2" t="s">
        <v>2073</v>
      </c>
      <c r="G570" s="2" t="s">
        <v>2074</v>
      </c>
      <c r="H570" s="2" t="s">
        <v>90</v>
      </c>
      <c r="I570" s="2" t="s">
        <v>25</v>
      </c>
      <c r="J570" s="2" t="s">
        <v>328</v>
      </c>
      <c r="K570" s="2" t="s">
        <v>53</v>
      </c>
      <c r="L570" s="2" t="s">
        <v>54</v>
      </c>
      <c r="M570" s="2" t="s">
        <v>745</v>
      </c>
      <c r="N570" s="2" t="s">
        <v>30</v>
      </c>
      <c r="O570" s="2" t="s">
        <v>56</v>
      </c>
      <c r="P570" s="2" t="s">
        <v>746</v>
      </c>
      <c r="Q570" s="2">
        <v>257.64</v>
      </c>
      <c r="R570" s="2">
        <v>6</v>
      </c>
      <c r="S570" s="2">
        <v>100.4796</v>
      </c>
      <c r="T570" s="2" t="s">
        <v>58</v>
      </c>
      <c r="U570" s="2" t="s">
        <v>59</v>
      </c>
    </row>
    <row r="571" spans="1:21" ht="14.25" customHeight="1" x14ac:dyDescent="0.3">
      <c r="A571" s="2" t="s">
        <v>2075</v>
      </c>
      <c r="B571" s="5">
        <v>41771</v>
      </c>
      <c r="C571" s="2" t="str">
        <f>TEXT(data[[#This Row],[Order Date]],"YYYY")</f>
        <v>2014</v>
      </c>
      <c r="D571" s="2">
        <v>41776</v>
      </c>
      <c r="E571" s="2" t="s">
        <v>39</v>
      </c>
      <c r="F571" s="2" t="s">
        <v>1927</v>
      </c>
      <c r="G571" s="2" t="s">
        <v>1928</v>
      </c>
      <c r="H571" s="2" t="s">
        <v>24</v>
      </c>
      <c r="I571" s="2" t="s">
        <v>25</v>
      </c>
      <c r="J571" s="2" t="s">
        <v>237</v>
      </c>
      <c r="K571" s="2" t="s">
        <v>434</v>
      </c>
      <c r="L571" s="2" t="s">
        <v>67</v>
      </c>
      <c r="M571" s="2" t="s">
        <v>762</v>
      </c>
      <c r="N571" s="2" t="s">
        <v>30</v>
      </c>
      <c r="O571" s="2" t="s">
        <v>45</v>
      </c>
      <c r="P571" s="2" t="s">
        <v>763</v>
      </c>
      <c r="Q571" s="2">
        <v>700.05600000000004</v>
      </c>
      <c r="R571" s="2">
        <v>3</v>
      </c>
      <c r="S571" s="2">
        <v>-130.0104</v>
      </c>
      <c r="T571" s="2" t="s">
        <v>58</v>
      </c>
      <c r="U571" s="2" t="s">
        <v>161</v>
      </c>
    </row>
    <row r="572" spans="1:21" ht="14.25" customHeight="1" x14ac:dyDescent="0.3">
      <c r="A572" s="2" t="s">
        <v>2076</v>
      </c>
      <c r="B572" s="5">
        <v>41798</v>
      </c>
      <c r="C572" s="2" t="str">
        <f>TEXT(data[[#This Row],[Order Date]],"YYYY")</f>
        <v>2014</v>
      </c>
      <c r="D572" s="2">
        <v>41804</v>
      </c>
      <c r="E572" s="2" t="s">
        <v>39</v>
      </c>
      <c r="F572" s="2" t="s">
        <v>628</v>
      </c>
      <c r="G572" s="2" t="s">
        <v>629</v>
      </c>
      <c r="H572" s="2" t="s">
        <v>24</v>
      </c>
      <c r="I572" s="2" t="s">
        <v>25</v>
      </c>
      <c r="J572" s="2" t="s">
        <v>191</v>
      </c>
      <c r="K572" s="2" t="s">
        <v>192</v>
      </c>
      <c r="L572" s="2" t="s">
        <v>54</v>
      </c>
      <c r="M572" s="2" t="s">
        <v>2077</v>
      </c>
      <c r="N572" s="2" t="s">
        <v>30</v>
      </c>
      <c r="O572" s="2" t="s">
        <v>36</v>
      </c>
      <c r="P572" s="2" t="s">
        <v>2078</v>
      </c>
      <c r="Q572" s="2">
        <v>585.55200000000002</v>
      </c>
      <c r="R572" s="2">
        <v>3</v>
      </c>
      <c r="S572" s="2">
        <v>73.194000000000003</v>
      </c>
      <c r="T572" s="2" t="s">
        <v>129</v>
      </c>
      <c r="U572" s="2" t="s">
        <v>59</v>
      </c>
    </row>
    <row r="573" spans="1:21" ht="14.25" customHeight="1" x14ac:dyDescent="0.3">
      <c r="A573" s="2" t="s">
        <v>2079</v>
      </c>
      <c r="B573" s="5">
        <v>41785</v>
      </c>
      <c r="C573" s="2" t="str">
        <f>TEXT(data[[#This Row],[Order Date]],"YYYY")</f>
        <v>2014</v>
      </c>
      <c r="D573" s="2">
        <v>41789</v>
      </c>
      <c r="E573" s="2" t="s">
        <v>39</v>
      </c>
      <c r="F573" s="2" t="s">
        <v>2035</v>
      </c>
      <c r="G573" s="2" t="s">
        <v>2036</v>
      </c>
      <c r="H573" s="2" t="s">
        <v>24</v>
      </c>
      <c r="I573" s="2" t="s">
        <v>25</v>
      </c>
      <c r="J573" s="2" t="s">
        <v>52</v>
      </c>
      <c r="K573" s="2" t="s">
        <v>53</v>
      </c>
      <c r="L573" s="2" t="s">
        <v>54</v>
      </c>
      <c r="M573" s="2" t="s">
        <v>1532</v>
      </c>
      <c r="N573" s="2" t="s">
        <v>30</v>
      </c>
      <c r="O573" s="2" t="s">
        <v>36</v>
      </c>
      <c r="P573" s="2" t="s">
        <v>1533</v>
      </c>
      <c r="Q573" s="2">
        <v>225.29599999999999</v>
      </c>
      <c r="R573" s="2">
        <v>2</v>
      </c>
      <c r="S573" s="2">
        <v>22.529599999999999</v>
      </c>
      <c r="T573" s="2" t="s">
        <v>83</v>
      </c>
      <c r="U573" s="2" t="s">
        <v>161</v>
      </c>
    </row>
    <row r="574" spans="1:21" ht="14.25" customHeight="1" x14ac:dyDescent="0.3">
      <c r="A574" s="2" t="s">
        <v>2080</v>
      </c>
      <c r="B574" s="5">
        <v>42440</v>
      </c>
      <c r="C574" s="2" t="str">
        <f>TEXT(data[[#This Row],[Order Date]],"YYYY")</f>
        <v>2016</v>
      </c>
      <c r="D574" s="2">
        <v>42444</v>
      </c>
      <c r="E574" s="2" t="s">
        <v>39</v>
      </c>
      <c r="F574" s="2" t="s">
        <v>2081</v>
      </c>
      <c r="G574" s="2" t="s">
        <v>2082</v>
      </c>
      <c r="H574" s="2" t="s">
        <v>100</v>
      </c>
      <c r="I574" s="2" t="s">
        <v>25</v>
      </c>
      <c r="J574" s="2" t="s">
        <v>347</v>
      </c>
      <c r="K574" s="2" t="s">
        <v>667</v>
      </c>
      <c r="L574" s="2" t="s">
        <v>28</v>
      </c>
      <c r="M574" s="2" t="s">
        <v>1311</v>
      </c>
      <c r="N574" s="2" t="s">
        <v>30</v>
      </c>
      <c r="O574" s="2" t="s">
        <v>56</v>
      </c>
      <c r="P574" s="2" t="s">
        <v>2022</v>
      </c>
      <c r="Q574" s="2">
        <v>76.92</v>
      </c>
      <c r="R574" s="2">
        <v>4</v>
      </c>
      <c r="S574" s="2">
        <v>31.537199999999999</v>
      </c>
      <c r="T574" s="2" t="s">
        <v>83</v>
      </c>
      <c r="U574" s="2" t="s">
        <v>195</v>
      </c>
    </row>
    <row r="575" spans="1:21" ht="14.25" customHeight="1" x14ac:dyDescent="0.3">
      <c r="A575" s="2" t="s">
        <v>2083</v>
      </c>
      <c r="B575" s="5">
        <v>43079</v>
      </c>
      <c r="C575" s="2" t="str">
        <f>TEXT(data[[#This Row],[Order Date]],"YYYY")</f>
        <v>2017</v>
      </c>
      <c r="D575" s="2">
        <v>43081</v>
      </c>
      <c r="E575" s="2" t="s">
        <v>87</v>
      </c>
      <c r="F575" s="2" t="s">
        <v>1502</v>
      </c>
      <c r="G575" s="2" t="s">
        <v>1503</v>
      </c>
      <c r="H575" s="2" t="s">
        <v>24</v>
      </c>
      <c r="I575" s="2" t="s">
        <v>25</v>
      </c>
      <c r="J575" s="2" t="s">
        <v>42</v>
      </c>
      <c r="K575" s="2" t="s">
        <v>43</v>
      </c>
      <c r="L575" s="2" t="s">
        <v>28</v>
      </c>
      <c r="M575" s="2" t="s">
        <v>927</v>
      </c>
      <c r="N575" s="2" t="s">
        <v>30</v>
      </c>
      <c r="O575" s="2" t="s">
        <v>56</v>
      </c>
      <c r="P575" s="2" t="s">
        <v>316</v>
      </c>
      <c r="Q575" s="2">
        <v>19.103999999999999</v>
      </c>
      <c r="R575" s="2">
        <v>3</v>
      </c>
      <c r="S575" s="2">
        <v>5.7312000000000003</v>
      </c>
      <c r="T575" s="2" t="s">
        <v>70</v>
      </c>
      <c r="U575" s="2" t="s">
        <v>96</v>
      </c>
    </row>
    <row r="576" spans="1:21" ht="14.25" customHeight="1" x14ac:dyDescent="0.3">
      <c r="A576" s="2" t="s">
        <v>2084</v>
      </c>
      <c r="B576" s="5">
        <v>42202</v>
      </c>
      <c r="C576" s="2" t="str">
        <f>TEXT(data[[#This Row],[Order Date]],"YYYY")</f>
        <v>2015</v>
      </c>
      <c r="D576" s="2">
        <v>42204</v>
      </c>
      <c r="E576" s="2" t="s">
        <v>21</v>
      </c>
      <c r="F576" s="2" t="s">
        <v>1331</v>
      </c>
      <c r="G576" s="2" t="s">
        <v>1332</v>
      </c>
      <c r="H576" s="2" t="s">
        <v>24</v>
      </c>
      <c r="I576" s="2" t="s">
        <v>25</v>
      </c>
      <c r="J576" s="2" t="s">
        <v>2085</v>
      </c>
      <c r="K576" s="2" t="s">
        <v>53</v>
      </c>
      <c r="L576" s="2" t="s">
        <v>54</v>
      </c>
      <c r="M576" s="2" t="s">
        <v>1476</v>
      </c>
      <c r="N576" s="2" t="s">
        <v>30</v>
      </c>
      <c r="O576" s="2" t="s">
        <v>31</v>
      </c>
      <c r="P576" s="2" t="s">
        <v>1477</v>
      </c>
      <c r="Q576" s="2">
        <v>195.46600000000001</v>
      </c>
      <c r="R576" s="2">
        <v>2</v>
      </c>
      <c r="S576" s="2">
        <v>-13.797599999999999</v>
      </c>
      <c r="T576" s="2" t="s">
        <v>70</v>
      </c>
      <c r="U576" s="2" t="s">
        <v>71</v>
      </c>
    </row>
    <row r="577" spans="1:21" ht="14.25" customHeight="1" x14ac:dyDescent="0.3">
      <c r="A577" s="2" t="s">
        <v>2086</v>
      </c>
      <c r="B577" s="5">
        <v>42855</v>
      </c>
      <c r="C577" s="2" t="str">
        <f>TEXT(data[[#This Row],[Order Date]],"YYYY")</f>
        <v>2017</v>
      </c>
      <c r="D577" s="2">
        <v>42860</v>
      </c>
      <c r="E577" s="2" t="s">
        <v>39</v>
      </c>
      <c r="F577" s="2" t="s">
        <v>2087</v>
      </c>
      <c r="G577" s="2" t="s">
        <v>2088</v>
      </c>
      <c r="H577" s="2" t="s">
        <v>90</v>
      </c>
      <c r="I577" s="2" t="s">
        <v>25</v>
      </c>
      <c r="J577" s="2" t="s">
        <v>2089</v>
      </c>
      <c r="K577" s="2" t="s">
        <v>43</v>
      </c>
      <c r="L577" s="2" t="s">
        <v>28</v>
      </c>
      <c r="M577" s="2" t="s">
        <v>446</v>
      </c>
      <c r="N577" s="2" t="s">
        <v>30</v>
      </c>
      <c r="O577" s="2" t="s">
        <v>56</v>
      </c>
      <c r="P577" s="2" t="s">
        <v>447</v>
      </c>
      <c r="Q577" s="2">
        <v>23.68</v>
      </c>
      <c r="R577" s="2">
        <v>8</v>
      </c>
      <c r="S577" s="2">
        <v>6.2160000000000002</v>
      </c>
      <c r="T577" s="2" t="s">
        <v>58</v>
      </c>
      <c r="U577" s="2" t="s">
        <v>113</v>
      </c>
    </row>
    <row r="578" spans="1:21" ht="14.25" customHeight="1" x14ac:dyDescent="0.3">
      <c r="A578" s="2" t="s">
        <v>2090</v>
      </c>
      <c r="B578" s="5">
        <v>42268</v>
      </c>
      <c r="C578" s="2" t="str">
        <f>TEXT(data[[#This Row],[Order Date]],"YYYY")</f>
        <v>2015</v>
      </c>
      <c r="D578" s="2">
        <v>42270</v>
      </c>
      <c r="E578" s="2" t="s">
        <v>87</v>
      </c>
      <c r="F578" s="2" t="s">
        <v>2091</v>
      </c>
      <c r="G578" s="2" t="s">
        <v>2092</v>
      </c>
      <c r="H578" s="2" t="s">
        <v>100</v>
      </c>
      <c r="I578" s="2" t="s">
        <v>25</v>
      </c>
      <c r="J578" s="2" t="s">
        <v>52</v>
      </c>
      <c r="K578" s="2" t="s">
        <v>53</v>
      </c>
      <c r="L578" s="2" t="s">
        <v>54</v>
      </c>
      <c r="M578" s="2" t="s">
        <v>625</v>
      </c>
      <c r="N578" s="2" t="s">
        <v>30</v>
      </c>
      <c r="O578" s="2" t="s">
        <v>36</v>
      </c>
      <c r="P578" s="2" t="s">
        <v>626</v>
      </c>
      <c r="Q578" s="2">
        <v>601.53599999999994</v>
      </c>
      <c r="R578" s="2">
        <v>4</v>
      </c>
      <c r="S578" s="2">
        <v>0</v>
      </c>
      <c r="T578" s="2" t="s">
        <v>70</v>
      </c>
      <c r="U578" s="2" t="s">
        <v>77</v>
      </c>
    </row>
    <row r="579" spans="1:21" ht="14.25" customHeight="1" x14ac:dyDescent="0.3">
      <c r="A579" s="2" t="s">
        <v>2093</v>
      </c>
      <c r="B579" s="5">
        <v>41975</v>
      </c>
      <c r="C579" s="2" t="str">
        <f>TEXT(data[[#This Row],[Order Date]],"YYYY")</f>
        <v>2014</v>
      </c>
      <c r="D579" s="2">
        <v>41979</v>
      </c>
      <c r="E579" s="2" t="s">
        <v>39</v>
      </c>
      <c r="F579" s="2" t="s">
        <v>2094</v>
      </c>
      <c r="G579" s="2" t="s">
        <v>2095</v>
      </c>
      <c r="H579" s="2" t="s">
        <v>90</v>
      </c>
      <c r="I579" s="2" t="s">
        <v>25</v>
      </c>
      <c r="J579" s="2" t="s">
        <v>2096</v>
      </c>
      <c r="K579" s="2" t="s">
        <v>92</v>
      </c>
      <c r="L579" s="2" t="s">
        <v>93</v>
      </c>
      <c r="M579" s="2" t="s">
        <v>389</v>
      </c>
      <c r="N579" s="2" t="s">
        <v>30</v>
      </c>
      <c r="O579" s="2" t="s">
        <v>56</v>
      </c>
      <c r="P579" s="2" t="s">
        <v>390</v>
      </c>
      <c r="Q579" s="2">
        <v>58.36</v>
      </c>
      <c r="R579" s="2">
        <v>5</v>
      </c>
      <c r="S579" s="2">
        <v>-24.803000000000001</v>
      </c>
      <c r="T579" s="2" t="s">
        <v>83</v>
      </c>
      <c r="U579" s="2" t="s">
        <v>96</v>
      </c>
    </row>
    <row r="580" spans="1:21" ht="14.25" customHeight="1" x14ac:dyDescent="0.3">
      <c r="A580" s="2" t="s">
        <v>2093</v>
      </c>
      <c r="B580" s="5">
        <v>41975</v>
      </c>
      <c r="C580" s="2" t="str">
        <f>TEXT(data[[#This Row],[Order Date]],"YYYY")</f>
        <v>2014</v>
      </c>
      <c r="D580" s="2">
        <v>41979</v>
      </c>
      <c r="E580" s="2" t="s">
        <v>39</v>
      </c>
      <c r="F580" s="2" t="s">
        <v>2094</v>
      </c>
      <c r="G580" s="2" t="s">
        <v>2095</v>
      </c>
      <c r="H580" s="2" t="s">
        <v>90</v>
      </c>
      <c r="I580" s="2" t="s">
        <v>25</v>
      </c>
      <c r="J580" s="2" t="s">
        <v>2096</v>
      </c>
      <c r="K580" s="2" t="s">
        <v>92</v>
      </c>
      <c r="L580" s="2" t="s">
        <v>93</v>
      </c>
      <c r="M580" s="2" t="s">
        <v>697</v>
      </c>
      <c r="N580" s="2" t="s">
        <v>30</v>
      </c>
      <c r="O580" s="2" t="s">
        <v>56</v>
      </c>
      <c r="P580" s="2" t="s">
        <v>698</v>
      </c>
      <c r="Q580" s="2">
        <v>39.96</v>
      </c>
      <c r="R580" s="2">
        <v>5</v>
      </c>
      <c r="S580" s="2">
        <v>-23.975999999999999</v>
      </c>
      <c r="T580" s="2" t="s">
        <v>83</v>
      </c>
      <c r="U580" s="2" t="s">
        <v>96</v>
      </c>
    </row>
    <row r="581" spans="1:21" ht="14.25" customHeight="1" x14ac:dyDescent="0.3">
      <c r="A581" s="2" t="s">
        <v>2097</v>
      </c>
      <c r="B581" s="5">
        <v>41741</v>
      </c>
      <c r="C581" s="2" t="str">
        <f>TEXT(data[[#This Row],[Order Date]],"YYYY")</f>
        <v>2014</v>
      </c>
      <c r="D581" s="2">
        <v>41746</v>
      </c>
      <c r="E581" s="2" t="s">
        <v>39</v>
      </c>
      <c r="F581" s="2" t="s">
        <v>2098</v>
      </c>
      <c r="G581" s="2" t="s">
        <v>2099</v>
      </c>
      <c r="H581" s="2" t="s">
        <v>90</v>
      </c>
      <c r="I581" s="2" t="s">
        <v>25</v>
      </c>
      <c r="J581" s="2" t="s">
        <v>2100</v>
      </c>
      <c r="K581" s="2" t="s">
        <v>53</v>
      </c>
      <c r="L581" s="2" t="s">
        <v>54</v>
      </c>
      <c r="M581" s="2" t="s">
        <v>542</v>
      </c>
      <c r="N581" s="2" t="s">
        <v>30</v>
      </c>
      <c r="O581" s="2" t="s">
        <v>31</v>
      </c>
      <c r="P581" s="2" t="s">
        <v>543</v>
      </c>
      <c r="Q581" s="2">
        <v>308.49900000000002</v>
      </c>
      <c r="R581" s="2">
        <v>3</v>
      </c>
      <c r="S581" s="2">
        <v>-18.146999999999998</v>
      </c>
      <c r="T581" s="2" t="s">
        <v>58</v>
      </c>
      <c r="U581" s="2" t="s">
        <v>113</v>
      </c>
    </row>
    <row r="582" spans="1:21" ht="14.25" customHeight="1" x14ac:dyDescent="0.3">
      <c r="A582" s="2" t="s">
        <v>2101</v>
      </c>
      <c r="B582" s="5">
        <v>43042</v>
      </c>
      <c r="C582" s="2" t="str">
        <f>TEXT(data[[#This Row],[Order Date]],"YYYY")</f>
        <v>2017</v>
      </c>
      <c r="D582" s="2">
        <v>43047</v>
      </c>
      <c r="E582" s="2" t="s">
        <v>39</v>
      </c>
      <c r="F582" s="2" t="s">
        <v>2102</v>
      </c>
      <c r="G582" s="2" t="s">
        <v>2103</v>
      </c>
      <c r="H582" s="2" t="s">
        <v>24</v>
      </c>
      <c r="I582" s="2" t="s">
        <v>25</v>
      </c>
      <c r="J582" s="2" t="s">
        <v>2104</v>
      </c>
      <c r="K582" s="2" t="s">
        <v>1896</v>
      </c>
      <c r="L582" s="2" t="s">
        <v>54</v>
      </c>
      <c r="M582" s="2" t="s">
        <v>174</v>
      </c>
      <c r="N582" s="2" t="s">
        <v>30</v>
      </c>
      <c r="O582" s="2" t="s">
        <v>56</v>
      </c>
      <c r="P582" s="2" t="s">
        <v>175</v>
      </c>
      <c r="Q582" s="2">
        <v>41.37</v>
      </c>
      <c r="R582" s="2">
        <v>3</v>
      </c>
      <c r="S582" s="2">
        <v>17.375399999999999</v>
      </c>
      <c r="T582" s="2" t="s">
        <v>58</v>
      </c>
      <c r="U582" s="2" t="s">
        <v>34</v>
      </c>
    </row>
    <row r="583" spans="1:21" ht="14.25" customHeight="1" x14ac:dyDescent="0.3">
      <c r="A583" s="2" t="s">
        <v>2105</v>
      </c>
      <c r="B583" s="5">
        <v>42254</v>
      </c>
      <c r="C583" s="2" t="str">
        <f>TEXT(data[[#This Row],[Order Date]],"YYYY")</f>
        <v>2015</v>
      </c>
      <c r="D583" s="2">
        <v>42258</v>
      </c>
      <c r="E583" s="2" t="s">
        <v>39</v>
      </c>
      <c r="F583" s="2" t="s">
        <v>2053</v>
      </c>
      <c r="G583" s="2" t="s">
        <v>2054</v>
      </c>
      <c r="H583" s="2" t="s">
        <v>24</v>
      </c>
      <c r="I583" s="2" t="s">
        <v>25</v>
      </c>
      <c r="J583" s="2" t="s">
        <v>1374</v>
      </c>
      <c r="K583" s="2" t="s">
        <v>92</v>
      </c>
      <c r="L583" s="2" t="s">
        <v>93</v>
      </c>
      <c r="M583" s="2" t="s">
        <v>1765</v>
      </c>
      <c r="N583" s="2" t="s">
        <v>30</v>
      </c>
      <c r="O583" s="2" t="s">
        <v>36</v>
      </c>
      <c r="P583" s="2" t="s">
        <v>1766</v>
      </c>
      <c r="Q583" s="2">
        <v>47.515999999999998</v>
      </c>
      <c r="R583" s="2">
        <v>2</v>
      </c>
      <c r="S583" s="2">
        <v>-2.0364</v>
      </c>
      <c r="T583" s="2" t="s">
        <v>83</v>
      </c>
      <c r="U583" s="2" t="s">
        <v>77</v>
      </c>
    </row>
    <row r="584" spans="1:21" ht="14.25" customHeight="1" x14ac:dyDescent="0.3">
      <c r="A584" s="2" t="s">
        <v>2106</v>
      </c>
      <c r="B584" s="5">
        <v>42210</v>
      </c>
      <c r="C584" s="2" t="str">
        <f>TEXT(data[[#This Row],[Order Date]],"YYYY")</f>
        <v>2015</v>
      </c>
      <c r="D584" s="2">
        <v>42212</v>
      </c>
      <c r="E584" s="2" t="s">
        <v>21</v>
      </c>
      <c r="F584" s="2" t="s">
        <v>2107</v>
      </c>
      <c r="G584" s="2" t="s">
        <v>2108</v>
      </c>
      <c r="H584" s="2" t="s">
        <v>24</v>
      </c>
      <c r="I584" s="2" t="s">
        <v>25</v>
      </c>
      <c r="J584" s="2" t="s">
        <v>191</v>
      </c>
      <c r="K584" s="2" t="s">
        <v>192</v>
      </c>
      <c r="L584" s="2" t="s">
        <v>54</v>
      </c>
      <c r="M584" s="2" t="s">
        <v>1695</v>
      </c>
      <c r="N584" s="2" t="s">
        <v>30</v>
      </c>
      <c r="O584" s="2" t="s">
        <v>31</v>
      </c>
      <c r="P584" s="2" t="s">
        <v>1914</v>
      </c>
      <c r="Q584" s="2">
        <v>704.9</v>
      </c>
      <c r="R584" s="2">
        <v>5</v>
      </c>
      <c r="S584" s="2">
        <v>56.392000000000003</v>
      </c>
      <c r="T584" s="2" t="s">
        <v>70</v>
      </c>
      <c r="U584" s="2" t="s">
        <v>71</v>
      </c>
    </row>
    <row r="585" spans="1:21" ht="14.25" customHeight="1" x14ac:dyDescent="0.3">
      <c r="A585" s="2" t="s">
        <v>2106</v>
      </c>
      <c r="B585" s="5">
        <v>42210</v>
      </c>
      <c r="C585" s="2" t="str">
        <f>TEXT(data[[#This Row],[Order Date]],"YYYY")</f>
        <v>2015</v>
      </c>
      <c r="D585" s="2">
        <v>42212</v>
      </c>
      <c r="E585" s="2" t="s">
        <v>21</v>
      </c>
      <c r="F585" s="2" t="s">
        <v>2107</v>
      </c>
      <c r="G585" s="2" t="s">
        <v>2108</v>
      </c>
      <c r="H585" s="2" t="s">
        <v>24</v>
      </c>
      <c r="I585" s="2" t="s">
        <v>25</v>
      </c>
      <c r="J585" s="2" t="s">
        <v>191</v>
      </c>
      <c r="K585" s="2" t="s">
        <v>192</v>
      </c>
      <c r="L585" s="2" t="s">
        <v>54</v>
      </c>
      <c r="M585" s="2" t="s">
        <v>1486</v>
      </c>
      <c r="N585" s="2" t="s">
        <v>30</v>
      </c>
      <c r="O585" s="2" t="s">
        <v>36</v>
      </c>
      <c r="P585" s="2" t="s">
        <v>1487</v>
      </c>
      <c r="Q585" s="2">
        <v>561.56799999999998</v>
      </c>
      <c r="R585" s="2">
        <v>2</v>
      </c>
      <c r="S585" s="2">
        <v>28.078399999999998</v>
      </c>
      <c r="T585" s="2" t="s">
        <v>70</v>
      </c>
      <c r="U585" s="2" t="s">
        <v>71</v>
      </c>
    </row>
    <row r="586" spans="1:21" ht="14.25" customHeight="1" x14ac:dyDescent="0.3">
      <c r="A586" s="2" t="s">
        <v>2109</v>
      </c>
      <c r="B586" s="5">
        <v>42324</v>
      </c>
      <c r="C586" s="2" t="str">
        <f>TEXT(data[[#This Row],[Order Date]],"YYYY")</f>
        <v>2015</v>
      </c>
      <c r="D586" s="2">
        <v>42326</v>
      </c>
      <c r="E586" s="2" t="s">
        <v>21</v>
      </c>
      <c r="F586" s="2" t="s">
        <v>1351</v>
      </c>
      <c r="G586" s="2" t="s">
        <v>1352</v>
      </c>
      <c r="H586" s="2" t="s">
        <v>100</v>
      </c>
      <c r="I586" s="2" t="s">
        <v>25</v>
      </c>
      <c r="J586" s="2" t="s">
        <v>905</v>
      </c>
      <c r="K586" s="2" t="s">
        <v>238</v>
      </c>
      <c r="L586" s="2" t="s">
        <v>93</v>
      </c>
      <c r="M586" s="2" t="s">
        <v>2110</v>
      </c>
      <c r="N586" s="2" t="s">
        <v>30</v>
      </c>
      <c r="O586" s="2" t="s">
        <v>56</v>
      </c>
      <c r="P586" s="2" t="s">
        <v>2111</v>
      </c>
      <c r="Q586" s="2">
        <v>185.58</v>
      </c>
      <c r="R586" s="2">
        <v>6</v>
      </c>
      <c r="S586" s="2">
        <v>76.087800000000001</v>
      </c>
      <c r="T586" s="2" t="s">
        <v>70</v>
      </c>
      <c r="U586" s="2" t="s">
        <v>34</v>
      </c>
    </row>
    <row r="587" spans="1:21" ht="14.25" customHeight="1" x14ac:dyDescent="0.3">
      <c r="A587" s="2" t="s">
        <v>2109</v>
      </c>
      <c r="B587" s="5">
        <v>42324</v>
      </c>
      <c r="C587" s="2" t="str">
        <f>TEXT(data[[#This Row],[Order Date]],"YYYY")</f>
        <v>2015</v>
      </c>
      <c r="D587" s="2">
        <v>42326</v>
      </c>
      <c r="E587" s="2" t="s">
        <v>21</v>
      </c>
      <c r="F587" s="2" t="s">
        <v>1351</v>
      </c>
      <c r="G587" s="2" t="s">
        <v>1352</v>
      </c>
      <c r="H587" s="2" t="s">
        <v>100</v>
      </c>
      <c r="I587" s="2" t="s">
        <v>25</v>
      </c>
      <c r="J587" s="2" t="s">
        <v>905</v>
      </c>
      <c r="K587" s="2" t="s">
        <v>238</v>
      </c>
      <c r="L587" s="2" t="s">
        <v>93</v>
      </c>
      <c r="M587" s="2" t="s">
        <v>907</v>
      </c>
      <c r="N587" s="2" t="s">
        <v>30</v>
      </c>
      <c r="O587" s="2" t="s">
        <v>45</v>
      </c>
      <c r="P587" s="2" t="s">
        <v>908</v>
      </c>
      <c r="Q587" s="2">
        <v>214.11</v>
      </c>
      <c r="R587" s="2">
        <v>3</v>
      </c>
      <c r="S587" s="2">
        <v>36.398699999999998</v>
      </c>
      <c r="T587" s="2" t="s">
        <v>70</v>
      </c>
      <c r="U587" s="2" t="s">
        <v>34</v>
      </c>
    </row>
    <row r="588" spans="1:21" ht="14.25" customHeight="1" x14ac:dyDescent="0.3">
      <c r="A588" s="2" t="s">
        <v>2109</v>
      </c>
      <c r="B588" s="5">
        <v>42324</v>
      </c>
      <c r="C588" s="2" t="str">
        <f>TEXT(data[[#This Row],[Order Date]],"YYYY")</f>
        <v>2015</v>
      </c>
      <c r="D588" s="2">
        <v>42326</v>
      </c>
      <c r="E588" s="2" t="s">
        <v>21</v>
      </c>
      <c r="F588" s="2" t="s">
        <v>1351</v>
      </c>
      <c r="G588" s="2" t="s">
        <v>1352</v>
      </c>
      <c r="H588" s="2" t="s">
        <v>100</v>
      </c>
      <c r="I588" s="2" t="s">
        <v>25</v>
      </c>
      <c r="J588" s="2" t="s">
        <v>905</v>
      </c>
      <c r="K588" s="2" t="s">
        <v>238</v>
      </c>
      <c r="L588" s="2" t="s">
        <v>93</v>
      </c>
      <c r="M588" s="2" t="s">
        <v>699</v>
      </c>
      <c r="N588" s="2" t="s">
        <v>30</v>
      </c>
      <c r="O588" s="2" t="s">
        <v>45</v>
      </c>
      <c r="P588" s="2" t="s">
        <v>700</v>
      </c>
      <c r="Q588" s="2">
        <v>653.54999999999995</v>
      </c>
      <c r="R588" s="2">
        <v>3</v>
      </c>
      <c r="S588" s="2">
        <v>111.1035</v>
      </c>
      <c r="T588" s="2" t="s">
        <v>70</v>
      </c>
      <c r="U588" s="2" t="s">
        <v>34</v>
      </c>
    </row>
    <row r="589" spans="1:21" ht="14.25" customHeight="1" x14ac:dyDescent="0.3">
      <c r="A589" s="2" t="s">
        <v>2112</v>
      </c>
      <c r="B589" s="5">
        <v>42248</v>
      </c>
      <c r="C589" s="2" t="str">
        <f>TEXT(data[[#This Row],[Order Date]],"YYYY")</f>
        <v>2015</v>
      </c>
      <c r="D589" s="2">
        <v>42255</v>
      </c>
      <c r="E589" s="2" t="s">
        <v>39</v>
      </c>
      <c r="F589" s="2" t="s">
        <v>2113</v>
      </c>
      <c r="G589" s="2" t="s">
        <v>2114</v>
      </c>
      <c r="H589" s="2" t="s">
        <v>100</v>
      </c>
      <c r="I589" s="2" t="s">
        <v>25</v>
      </c>
      <c r="J589" s="2" t="s">
        <v>237</v>
      </c>
      <c r="K589" s="2" t="s">
        <v>434</v>
      </c>
      <c r="L589" s="2" t="s">
        <v>67</v>
      </c>
      <c r="M589" s="2" t="s">
        <v>251</v>
      </c>
      <c r="N589" s="2" t="s">
        <v>30</v>
      </c>
      <c r="O589" s="2" t="s">
        <v>36</v>
      </c>
      <c r="P589" s="2" t="s">
        <v>252</v>
      </c>
      <c r="Q589" s="2">
        <v>60.74</v>
      </c>
      <c r="R589" s="2">
        <v>1</v>
      </c>
      <c r="S589" s="2">
        <v>15.185</v>
      </c>
      <c r="T589" s="2" t="s">
        <v>47</v>
      </c>
      <c r="U589" s="2" t="s">
        <v>77</v>
      </c>
    </row>
    <row r="590" spans="1:21" ht="14.25" customHeight="1" x14ac:dyDescent="0.3">
      <c r="A590" s="2" t="s">
        <v>2112</v>
      </c>
      <c r="B590" s="5">
        <v>42248</v>
      </c>
      <c r="C590" s="2" t="str">
        <f>TEXT(data[[#This Row],[Order Date]],"YYYY")</f>
        <v>2015</v>
      </c>
      <c r="D590" s="2">
        <v>42255</v>
      </c>
      <c r="E590" s="2" t="s">
        <v>39</v>
      </c>
      <c r="F590" s="2" t="s">
        <v>2113</v>
      </c>
      <c r="G590" s="2" t="s">
        <v>2114</v>
      </c>
      <c r="H590" s="2" t="s">
        <v>100</v>
      </c>
      <c r="I590" s="2" t="s">
        <v>25</v>
      </c>
      <c r="J590" s="2" t="s">
        <v>237</v>
      </c>
      <c r="K590" s="2" t="s">
        <v>434</v>
      </c>
      <c r="L590" s="2" t="s">
        <v>67</v>
      </c>
      <c r="M590" s="2" t="s">
        <v>1796</v>
      </c>
      <c r="N590" s="2" t="s">
        <v>30</v>
      </c>
      <c r="O590" s="2" t="s">
        <v>56</v>
      </c>
      <c r="P590" s="2" t="s">
        <v>1797</v>
      </c>
      <c r="Q590" s="2">
        <v>124.36</v>
      </c>
      <c r="R590" s="2">
        <v>2</v>
      </c>
      <c r="S590" s="2">
        <v>27.359200000000001</v>
      </c>
      <c r="T590" s="2" t="s">
        <v>47</v>
      </c>
      <c r="U590" s="2" t="s">
        <v>77</v>
      </c>
    </row>
    <row r="591" spans="1:21" ht="14.25" customHeight="1" x14ac:dyDescent="0.3">
      <c r="A591" s="2" t="s">
        <v>2115</v>
      </c>
      <c r="B591" s="5">
        <v>42495</v>
      </c>
      <c r="C591" s="2" t="str">
        <f>TEXT(data[[#This Row],[Order Date]],"YYYY")</f>
        <v>2016</v>
      </c>
      <c r="D591" s="2">
        <v>42498</v>
      </c>
      <c r="E591" s="2" t="s">
        <v>87</v>
      </c>
      <c r="F591" s="2" t="s">
        <v>2116</v>
      </c>
      <c r="G591" s="2" t="s">
        <v>2117</v>
      </c>
      <c r="H591" s="2" t="s">
        <v>24</v>
      </c>
      <c r="I591" s="2" t="s">
        <v>25</v>
      </c>
      <c r="J591" s="2" t="s">
        <v>1051</v>
      </c>
      <c r="K591" s="2" t="s">
        <v>53</v>
      </c>
      <c r="L591" s="2" t="s">
        <v>54</v>
      </c>
      <c r="M591" s="2" t="s">
        <v>290</v>
      </c>
      <c r="N591" s="2" t="s">
        <v>30</v>
      </c>
      <c r="O591" s="2" t="s">
        <v>45</v>
      </c>
      <c r="P591" s="2" t="s">
        <v>291</v>
      </c>
      <c r="Q591" s="2">
        <v>298.77600000000001</v>
      </c>
      <c r="R591" s="2">
        <v>3</v>
      </c>
      <c r="S591" s="2">
        <v>7.4694000000000003</v>
      </c>
      <c r="T591" s="2" t="s">
        <v>33</v>
      </c>
      <c r="U591" s="2" t="s">
        <v>161</v>
      </c>
    </row>
    <row r="592" spans="1:21" ht="14.25" customHeight="1" x14ac:dyDescent="0.3">
      <c r="A592" s="2" t="s">
        <v>2118</v>
      </c>
      <c r="B592" s="5">
        <v>41907</v>
      </c>
      <c r="C592" s="2" t="str">
        <f>TEXT(data[[#This Row],[Order Date]],"YYYY")</f>
        <v>2014</v>
      </c>
      <c r="D592" s="2">
        <v>41912</v>
      </c>
      <c r="E592" s="2" t="s">
        <v>39</v>
      </c>
      <c r="F592" s="2" t="s">
        <v>540</v>
      </c>
      <c r="G592" s="2" t="s">
        <v>541</v>
      </c>
      <c r="H592" s="2" t="s">
        <v>100</v>
      </c>
      <c r="I592" s="2" t="s">
        <v>25</v>
      </c>
      <c r="J592" s="2" t="s">
        <v>101</v>
      </c>
      <c r="K592" s="2" t="s">
        <v>92</v>
      </c>
      <c r="L592" s="2" t="s">
        <v>93</v>
      </c>
      <c r="M592" s="2" t="s">
        <v>736</v>
      </c>
      <c r="N592" s="2" t="s">
        <v>30</v>
      </c>
      <c r="O592" s="2" t="s">
        <v>31</v>
      </c>
      <c r="P592" s="2" t="s">
        <v>737</v>
      </c>
      <c r="Q592" s="2">
        <v>300.53280000000001</v>
      </c>
      <c r="R592" s="2">
        <v>2</v>
      </c>
      <c r="S592" s="2">
        <v>-97.231200000000001</v>
      </c>
      <c r="T592" s="2" t="s">
        <v>58</v>
      </c>
      <c r="U592" s="2" t="s">
        <v>77</v>
      </c>
    </row>
    <row r="593" spans="1:21" ht="14.25" customHeight="1" x14ac:dyDescent="0.3">
      <c r="A593" s="2" t="s">
        <v>2119</v>
      </c>
      <c r="B593" s="5">
        <v>41712</v>
      </c>
      <c r="C593" s="2" t="str">
        <f>TEXT(data[[#This Row],[Order Date]],"YYYY")</f>
        <v>2014</v>
      </c>
      <c r="D593" s="2">
        <v>41717</v>
      </c>
      <c r="E593" s="2" t="s">
        <v>39</v>
      </c>
      <c r="F593" s="2" t="s">
        <v>748</v>
      </c>
      <c r="G593" s="2" t="s">
        <v>749</v>
      </c>
      <c r="H593" s="2" t="s">
        <v>100</v>
      </c>
      <c r="I593" s="2" t="s">
        <v>25</v>
      </c>
      <c r="J593" s="2" t="s">
        <v>2120</v>
      </c>
      <c r="K593" s="2" t="s">
        <v>716</v>
      </c>
      <c r="L593" s="2" t="s">
        <v>28</v>
      </c>
      <c r="M593" s="2" t="s">
        <v>575</v>
      </c>
      <c r="N593" s="2" t="s">
        <v>30</v>
      </c>
      <c r="O593" s="2" t="s">
        <v>36</v>
      </c>
      <c r="P593" s="2" t="s">
        <v>576</v>
      </c>
      <c r="Q593" s="2">
        <v>1139.92</v>
      </c>
      <c r="R593" s="2">
        <v>4</v>
      </c>
      <c r="S593" s="2">
        <v>284.98</v>
      </c>
      <c r="T593" s="2" t="s">
        <v>58</v>
      </c>
      <c r="U593" s="2" t="s">
        <v>195</v>
      </c>
    </row>
    <row r="594" spans="1:21" ht="14.25" customHeight="1" x14ac:dyDescent="0.3">
      <c r="A594" s="2" t="s">
        <v>2121</v>
      </c>
      <c r="B594" s="5">
        <v>42731</v>
      </c>
      <c r="C594" s="2" t="str">
        <f>TEXT(data[[#This Row],[Order Date]],"YYYY")</f>
        <v>2016</v>
      </c>
      <c r="D594" s="2">
        <v>42735</v>
      </c>
      <c r="E594" s="2" t="s">
        <v>39</v>
      </c>
      <c r="F594" s="2" t="s">
        <v>1159</v>
      </c>
      <c r="G594" s="2" t="s">
        <v>1160</v>
      </c>
      <c r="H594" s="2" t="s">
        <v>90</v>
      </c>
      <c r="I594" s="2" t="s">
        <v>25</v>
      </c>
      <c r="J594" s="2" t="s">
        <v>2122</v>
      </c>
      <c r="K594" s="2" t="s">
        <v>134</v>
      </c>
      <c r="L594" s="2" t="s">
        <v>93</v>
      </c>
      <c r="M594" s="2" t="s">
        <v>656</v>
      </c>
      <c r="N594" s="2" t="s">
        <v>30</v>
      </c>
      <c r="O594" s="2" t="s">
        <v>36</v>
      </c>
      <c r="P594" s="2" t="s">
        <v>657</v>
      </c>
      <c r="Q594" s="2">
        <v>845.48800000000006</v>
      </c>
      <c r="R594" s="2">
        <v>8</v>
      </c>
      <c r="S594" s="2">
        <v>-12.0784</v>
      </c>
      <c r="T594" s="2" t="s">
        <v>83</v>
      </c>
      <c r="U594" s="2" t="s">
        <v>96</v>
      </c>
    </row>
    <row r="595" spans="1:21" ht="14.25" customHeight="1" x14ac:dyDescent="0.3">
      <c r="A595" s="2" t="s">
        <v>2123</v>
      </c>
      <c r="B595" s="5">
        <v>42833</v>
      </c>
      <c r="C595" s="2" t="str">
        <f>TEXT(data[[#This Row],[Order Date]],"YYYY")</f>
        <v>2017</v>
      </c>
      <c r="D595" s="2">
        <v>42840</v>
      </c>
      <c r="E595" s="2" t="s">
        <v>39</v>
      </c>
      <c r="F595" s="2" t="s">
        <v>2124</v>
      </c>
      <c r="G595" s="2" t="s">
        <v>2125</v>
      </c>
      <c r="H595" s="2" t="s">
        <v>90</v>
      </c>
      <c r="I595" s="2" t="s">
        <v>25</v>
      </c>
      <c r="J595" s="2" t="s">
        <v>1817</v>
      </c>
      <c r="K595" s="2" t="s">
        <v>667</v>
      </c>
      <c r="L595" s="2" t="s">
        <v>28</v>
      </c>
      <c r="M595" s="2" t="s">
        <v>2126</v>
      </c>
      <c r="N595" s="2" t="s">
        <v>30</v>
      </c>
      <c r="O595" s="2" t="s">
        <v>56</v>
      </c>
      <c r="P595" s="2" t="s">
        <v>2127</v>
      </c>
      <c r="Q595" s="2">
        <v>56.28</v>
      </c>
      <c r="R595" s="2">
        <v>6</v>
      </c>
      <c r="S595" s="2">
        <v>15.7584</v>
      </c>
      <c r="T595" s="2" t="s">
        <v>47</v>
      </c>
      <c r="U595" s="2" t="s">
        <v>113</v>
      </c>
    </row>
    <row r="596" spans="1:21" ht="14.25" customHeight="1" x14ac:dyDescent="0.3">
      <c r="A596" s="2" t="s">
        <v>2128</v>
      </c>
      <c r="B596" s="5">
        <v>42448</v>
      </c>
      <c r="C596" s="2" t="str">
        <f>TEXT(data[[#This Row],[Order Date]],"YYYY")</f>
        <v>2016</v>
      </c>
      <c r="D596" s="2">
        <v>42450</v>
      </c>
      <c r="E596" s="2" t="s">
        <v>21</v>
      </c>
      <c r="F596" s="2" t="s">
        <v>1881</v>
      </c>
      <c r="G596" s="2" t="s">
        <v>1882</v>
      </c>
      <c r="H596" s="2" t="s">
        <v>24</v>
      </c>
      <c r="I596" s="2" t="s">
        <v>25</v>
      </c>
      <c r="J596" s="2" t="s">
        <v>761</v>
      </c>
      <c r="K596" s="2" t="s">
        <v>120</v>
      </c>
      <c r="L596" s="2" t="s">
        <v>67</v>
      </c>
      <c r="M596" s="2" t="s">
        <v>2129</v>
      </c>
      <c r="N596" s="2" t="s">
        <v>30</v>
      </c>
      <c r="O596" s="2" t="s">
        <v>56</v>
      </c>
      <c r="P596" s="2" t="s">
        <v>2130</v>
      </c>
      <c r="Q596" s="2">
        <v>14.98</v>
      </c>
      <c r="R596" s="2">
        <v>1</v>
      </c>
      <c r="S596" s="2">
        <v>6.8907999999999996</v>
      </c>
      <c r="T596" s="2" t="s">
        <v>70</v>
      </c>
      <c r="U596" s="2" t="s">
        <v>195</v>
      </c>
    </row>
    <row r="597" spans="1:21" ht="14.25" customHeight="1" x14ac:dyDescent="0.3">
      <c r="A597" s="2" t="s">
        <v>2128</v>
      </c>
      <c r="B597" s="5">
        <v>42448</v>
      </c>
      <c r="C597" s="2" t="str">
        <f>TEXT(data[[#This Row],[Order Date]],"YYYY")</f>
        <v>2016</v>
      </c>
      <c r="D597" s="2">
        <v>42450</v>
      </c>
      <c r="E597" s="2" t="s">
        <v>21</v>
      </c>
      <c r="F597" s="2" t="s">
        <v>1881</v>
      </c>
      <c r="G597" s="2" t="s">
        <v>1882</v>
      </c>
      <c r="H597" s="2" t="s">
        <v>24</v>
      </c>
      <c r="I597" s="2" t="s">
        <v>25</v>
      </c>
      <c r="J597" s="2" t="s">
        <v>761</v>
      </c>
      <c r="K597" s="2" t="s">
        <v>120</v>
      </c>
      <c r="L597" s="2" t="s">
        <v>67</v>
      </c>
      <c r="M597" s="2" t="s">
        <v>661</v>
      </c>
      <c r="N597" s="2" t="s">
        <v>30</v>
      </c>
      <c r="O597" s="2" t="s">
        <v>56</v>
      </c>
      <c r="P597" s="2" t="s">
        <v>662</v>
      </c>
      <c r="Q597" s="2">
        <v>20.32</v>
      </c>
      <c r="R597" s="2">
        <v>4</v>
      </c>
      <c r="S597" s="2">
        <v>6.9088000000000003</v>
      </c>
      <c r="T597" s="2" t="s">
        <v>70</v>
      </c>
      <c r="U597" s="2" t="s">
        <v>195</v>
      </c>
    </row>
    <row r="598" spans="1:21" ht="14.25" customHeight="1" x14ac:dyDescent="0.3">
      <c r="A598" s="2" t="s">
        <v>2131</v>
      </c>
      <c r="B598" s="5">
        <v>42608</v>
      </c>
      <c r="C598" s="2" t="str">
        <f>TEXT(data[[#This Row],[Order Date]],"YYYY")</f>
        <v>2016</v>
      </c>
      <c r="D598" s="2">
        <v>42611</v>
      </c>
      <c r="E598" s="2" t="s">
        <v>87</v>
      </c>
      <c r="F598" s="2" t="s">
        <v>397</v>
      </c>
      <c r="G598" s="2" t="s">
        <v>398</v>
      </c>
      <c r="H598" s="2" t="s">
        <v>90</v>
      </c>
      <c r="I598" s="2" t="s">
        <v>25</v>
      </c>
      <c r="J598" s="2" t="s">
        <v>639</v>
      </c>
      <c r="K598" s="2" t="s">
        <v>53</v>
      </c>
      <c r="L598" s="2" t="s">
        <v>54</v>
      </c>
      <c r="M598" s="2" t="s">
        <v>559</v>
      </c>
      <c r="N598" s="2" t="s">
        <v>30</v>
      </c>
      <c r="O598" s="2" t="s">
        <v>36</v>
      </c>
      <c r="P598" s="2" t="s">
        <v>560</v>
      </c>
      <c r="Q598" s="2">
        <v>1603.136</v>
      </c>
      <c r="R598" s="2">
        <v>4</v>
      </c>
      <c r="S598" s="2">
        <v>100.196</v>
      </c>
      <c r="T598" s="2" t="s">
        <v>33</v>
      </c>
      <c r="U598" s="2" t="s">
        <v>253</v>
      </c>
    </row>
    <row r="599" spans="1:21" ht="14.25" customHeight="1" x14ac:dyDescent="0.3">
      <c r="A599" s="2" t="s">
        <v>2132</v>
      </c>
      <c r="B599" s="5">
        <v>42597</v>
      </c>
      <c r="C599" s="2" t="str">
        <f>TEXT(data[[#This Row],[Order Date]],"YYYY")</f>
        <v>2016</v>
      </c>
      <c r="D599" s="2">
        <v>42599</v>
      </c>
      <c r="E599" s="2" t="s">
        <v>21</v>
      </c>
      <c r="F599" s="2" t="s">
        <v>2133</v>
      </c>
      <c r="G599" s="2" t="s">
        <v>2134</v>
      </c>
      <c r="H599" s="2" t="s">
        <v>24</v>
      </c>
      <c r="I599" s="2" t="s">
        <v>25</v>
      </c>
      <c r="J599" s="2" t="s">
        <v>1911</v>
      </c>
      <c r="K599" s="2" t="s">
        <v>1036</v>
      </c>
      <c r="L599" s="2" t="s">
        <v>28</v>
      </c>
      <c r="M599" s="2" t="s">
        <v>1532</v>
      </c>
      <c r="N599" s="2" t="s">
        <v>30</v>
      </c>
      <c r="O599" s="2" t="s">
        <v>36</v>
      </c>
      <c r="P599" s="2" t="s">
        <v>1533</v>
      </c>
      <c r="Q599" s="2">
        <v>225.29599999999999</v>
      </c>
      <c r="R599" s="2">
        <v>2</v>
      </c>
      <c r="S599" s="2">
        <v>22.529599999999999</v>
      </c>
      <c r="T599" s="2" t="s">
        <v>70</v>
      </c>
      <c r="U599" s="2" t="s">
        <v>253</v>
      </c>
    </row>
    <row r="600" spans="1:21" ht="14.25" customHeight="1" x14ac:dyDescent="0.3">
      <c r="A600" s="2" t="s">
        <v>2135</v>
      </c>
      <c r="B600" s="5">
        <v>42874</v>
      </c>
      <c r="C600" s="2" t="str">
        <f>TEXT(data[[#This Row],[Order Date]],"YYYY")</f>
        <v>2017</v>
      </c>
      <c r="D600" s="2">
        <v>42878</v>
      </c>
      <c r="E600" s="2" t="s">
        <v>39</v>
      </c>
      <c r="F600" s="2" t="s">
        <v>2136</v>
      </c>
      <c r="G600" s="2" t="s">
        <v>2137</v>
      </c>
      <c r="H600" s="2" t="s">
        <v>24</v>
      </c>
      <c r="I600" s="2" t="s">
        <v>25</v>
      </c>
      <c r="J600" s="2" t="s">
        <v>2138</v>
      </c>
      <c r="K600" s="2" t="s">
        <v>667</v>
      </c>
      <c r="L600" s="2" t="s">
        <v>28</v>
      </c>
      <c r="M600" s="2" t="s">
        <v>277</v>
      </c>
      <c r="N600" s="2" t="s">
        <v>30</v>
      </c>
      <c r="O600" s="2" t="s">
        <v>31</v>
      </c>
      <c r="P600" s="2" t="s">
        <v>278</v>
      </c>
      <c r="Q600" s="2">
        <v>1628.82</v>
      </c>
      <c r="R600" s="2">
        <v>9</v>
      </c>
      <c r="S600" s="2">
        <v>374.62860000000001</v>
      </c>
      <c r="T600" s="2" t="s">
        <v>83</v>
      </c>
      <c r="U600" s="2" t="s">
        <v>161</v>
      </c>
    </row>
    <row r="601" spans="1:21" ht="14.25" customHeight="1" x14ac:dyDescent="0.3">
      <c r="A601" s="2" t="s">
        <v>2139</v>
      </c>
      <c r="B601" s="5">
        <v>42898</v>
      </c>
      <c r="C601" s="2" t="str">
        <f>TEXT(data[[#This Row],[Order Date]],"YYYY")</f>
        <v>2017</v>
      </c>
      <c r="D601" s="2">
        <v>42905</v>
      </c>
      <c r="E601" s="2" t="s">
        <v>39</v>
      </c>
      <c r="F601" s="2" t="s">
        <v>221</v>
      </c>
      <c r="G601" s="2" t="s">
        <v>222</v>
      </c>
      <c r="H601" s="2" t="s">
        <v>24</v>
      </c>
      <c r="I601" s="2" t="s">
        <v>25</v>
      </c>
      <c r="J601" s="2" t="s">
        <v>789</v>
      </c>
      <c r="K601" s="2" t="s">
        <v>43</v>
      </c>
      <c r="L601" s="2" t="s">
        <v>28</v>
      </c>
      <c r="M601" s="2" t="s">
        <v>2140</v>
      </c>
      <c r="N601" s="2" t="s">
        <v>30</v>
      </c>
      <c r="O601" s="2" t="s">
        <v>56</v>
      </c>
      <c r="P601" s="2" t="s">
        <v>2141</v>
      </c>
      <c r="Q601" s="2">
        <v>17.088000000000001</v>
      </c>
      <c r="R601" s="2">
        <v>2</v>
      </c>
      <c r="S601" s="2">
        <v>1.0680000000000001</v>
      </c>
      <c r="T601" s="2" t="s">
        <v>47</v>
      </c>
      <c r="U601" s="2" t="s">
        <v>59</v>
      </c>
    </row>
    <row r="602" spans="1:21" ht="14.25" customHeight="1" x14ac:dyDescent="0.3">
      <c r="A602" s="2" t="s">
        <v>2142</v>
      </c>
      <c r="B602" s="5">
        <v>41720</v>
      </c>
      <c r="C602" s="2" t="str">
        <f>TEXT(data[[#This Row],[Order Date]],"YYYY")</f>
        <v>2014</v>
      </c>
      <c r="D602" s="2">
        <v>41724</v>
      </c>
      <c r="E602" s="2" t="s">
        <v>39</v>
      </c>
      <c r="F602" s="2" t="s">
        <v>2143</v>
      </c>
      <c r="G602" s="2" t="s">
        <v>2144</v>
      </c>
      <c r="H602" s="2" t="s">
        <v>90</v>
      </c>
      <c r="I602" s="2" t="s">
        <v>25</v>
      </c>
      <c r="J602" s="2" t="s">
        <v>1222</v>
      </c>
      <c r="K602" s="2" t="s">
        <v>520</v>
      </c>
      <c r="L602" s="2" t="s">
        <v>54</v>
      </c>
      <c r="M602" s="2" t="s">
        <v>668</v>
      </c>
      <c r="N602" s="2" t="s">
        <v>30</v>
      </c>
      <c r="O602" s="2" t="s">
        <v>36</v>
      </c>
      <c r="P602" s="2" t="s">
        <v>669</v>
      </c>
      <c r="Q602" s="2">
        <v>314.35199999999998</v>
      </c>
      <c r="R602" s="2">
        <v>3</v>
      </c>
      <c r="S602" s="2">
        <v>-35.364600000000003</v>
      </c>
      <c r="T602" s="2" t="s">
        <v>83</v>
      </c>
      <c r="U602" s="2" t="s">
        <v>195</v>
      </c>
    </row>
    <row r="603" spans="1:21" ht="14.25" customHeight="1" x14ac:dyDescent="0.3">
      <c r="A603" s="2" t="s">
        <v>2145</v>
      </c>
      <c r="B603" s="5">
        <v>42390</v>
      </c>
      <c r="C603" s="2" t="str">
        <f>TEXT(data[[#This Row],[Order Date]],"YYYY")</f>
        <v>2016</v>
      </c>
      <c r="D603" s="2">
        <v>42392</v>
      </c>
      <c r="E603" s="2" t="s">
        <v>21</v>
      </c>
      <c r="F603" s="2" t="s">
        <v>2146</v>
      </c>
      <c r="G603" s="2" t="s">
        <v>2147</v>
      </c>
      <c r="H603" s="2" t="s">
        <v>24</v>
      </c>
      <c r="I603" s="2" t="s">
        <v>25</v>
      </c>
      <c r="J603" s="2" t="s">
        <v>639</v>
      </c>
      <c r="K603" s="2" t="s">
        <v>53</v>
      </c>
      <c r="L603" s="2" t="s">
        <v>54</v>
      </c>
      <c r="M603" s="2" t="s">
        <v>1279</v>
      </c>
      <c r="N603" s="2" t="s">
        <v>30</v>
      </c>
      <c r="O603" s="2" t="s">
        <v>36</v>
      </c>
      <c r="P603" s="2" t="s">
        <v>1280</v>
      </c>
      <c r="Q603" s="2">
        <v>153.56800000000001</v>
      </c>
      <c r="R603" s="2">
        <v>2</v>
      </c>
      <c r="S603" s="2">
        <v>-5.7587999999999999</v>
      </c>
      <c r="T603" s="2" t="s">
        <v>70</v>
      </c>
      <c r="U603" s="2" t="s">
        <v>169</v>
      </c>
    </row>
    <row r="604" spans="1:21" ht="14.25" customHeight="1" x14ac:dyDescent="0.3">
      <c r="A604" s="2" t="s">
        <v>2145</v>
      </c>
      <c r="B604" s="5">
        <v>42390</v>
      </c>
      <c r="C604" s="2" t="str">
        <f>TEXT(data[[#This Row],[Order Date]],"YYYY")</f>
        <v>2016</v>
      </c>
      <c r="D604" s="2">
        <v>42392</v>
      </c>
      <c r="E604" s="2" t="s">
        <v>21</v>
      </c>
      <c r="F604" s="2" t="s">
        <v>2146</v>
      </c>
      <c r="G604" s="2" t="s">
        <v>2147</v>
      </c>
      <c r="H604" s="2" t="s">
        <v>24</v>
      </c>
      <c r="I604" s="2" t="s">
        <v>25</v>
      </c>
      <c r="J604" s="2" t="s">
        <v>639</v>
      </c>
      <c r="K604" s="2" t="s">
        <v>53</v>
      </c>
      <c r="L604" s="2" t="s">
        <v>54</v>
      </c>
      <c r="M604" s="2" t="s">
        <v>420</v>
      </c>
      <c r="N604" s="2" t="s">
        <v>30</v>
      </c>
      <c r="O604" s="2" t="s">
        <v>36</v>
      </c>
      <c r="P604" s="2" t="s">
        <v>421</v>
      </c>
      <c r="Q604" s="2">
        <v>1013.4880000000001</v>
      </c>
      <c r="R604" s="2">
        <v>7</v>
      </c>
      <c r="S604" s="2">
        <v>76.011600000000001</v>
      </c>
      <c r="T604" s="2" t="s">
        <v>70</v>
      </c>
      <c r="U604" s="2" t="s">
        <v>169</v>
      </c>
    </row>
    <row r="605" spans="1:21" ht="14.25" customHeight="1" x14ac:dyDescent="0.3">
      <c r="A605" s="2" t="s">
        <v>2148</v>
      </c>
      <c r="B605" s="5">
        <v>42685</v>
      </c>
      <c r="C605" s="2" t="str">
        <f>TEXT(data[[#This Row],[Order Date]],"YYYY")</f>
        <v>2016</v>
      </c>
      <c r="D605" s="2">
        <v>42690</v>
      </c>
      <c r="E605" s="2" t="s">
        <v>21</v>
      </c>
      <c r="F605" s="2" t="s">
        <v>2149</v>
      </c>
      <c r="G605" s="2" t="s">
        <v>2150</v>
      </c>
      <c r="H605" s="2" t="s">
        <v>24</v>
      </c>
      <c r="I605" s="2" t="s">
        <v>25</v>
      </c>
      <c r="J605" s="2" t="s">
        <v>328</v>
      </c>
      <c r="K605" s="2" t="s">
        <v>53</v>
      </c>
      <c r="L605" s="2" t="s">
        <v>54</v>
      </c>
      <c r="M605" s="2" t="s">
        <v>1071</v>
      </c>
      <c r="N605" s="2" t="s">
        <v>30</v>
      </c>
      <c r="O605" s="2" t="s">
        <v>56</v>
      </c>
      <c r="P605" s="2" t="s">
        <v>1072</v>
      </c>
      <c r="Q605" s="2">
        <v>6.96</v>
      </c>
      <c r="R605" s="2">
        <v>4</v>
      </c>
      <c r="S605" s="2">
        <v>2.2271999999999998</v>
      </c>
      <c r="T605" s="2" t="s">
        <v>58</v>
      </c>
      <c r="U605" s="2" t="s">
        <v>34</v>
      </c>
    </row>
    <row r="606" spans="1:21" ht="14.25" customHeight="1" x14ac:dyDescent="0.3">
      <c r="A606" s="2" t="s">
        <v>2151</v>
      </c>
      <c r="B606" s="5">
        <v>42661</v>
      </c>
      <c r="C606" s="2" t="str">
        <f>TEXT(data[[#This Row],[Order Date]],"YYYY")</f>
        <v>2016</v>
      </c>
      <c r="D606" s="2">
        <v>42665</v>
      </c>
      <c r="E606" s="2" t="s">
        <v>39</v>
      </c>
      <c r="F606" s="2" t="s">
        <v>2063</v>
      </c>
      <c r="G606" s="2" t="s">
        <v>2064</v>
      </c>
      <c r="H606" s="2" t="s">
        <v>24</v>
      </c>
      <c r="I606" s="2" t="s">
        <v>25</v>
      </c>
      <c r="J606" s="2" t="s">
        <v>2152</v>
      </c>
      <c r="K606" s="2" t="s">
        <v>520</v>
      </c>
      <c r="L606" s="2" t="s">
        <v>54</v>
      </c>
      <c r="M606" s="2" t="s">
        <v>488</v>
      </c>
      <c r="N606" s="2" t="s">
        <v>30</v>
      </c>
      <c r="O606" s="2" t="s">
        <v>36</v>
      </c>
      <c r="P606" s="2" t="s">
        <v>489</v>
      </c>
      <c r="Q606" s="2">
        <v>307.92</v>
      </c>
      <c r="R606" s="2">
        <v>5</v>
      </c>
      <c r="S606" s="2">
        <v>-34.640999999999998</v>
      </c>
      <c r="T606" s="2" t="s">
        <v>83</v>
      </c>
      <c r="U606" s="2" t="s">
        <v>48</v>
      </c>
    </row>
    <row r="607" spans="1:21" ht="14.25" customHeight="1" x14ac:dyDescent="0.3">
      <c r="A607" s="2" t="s">
        <v>2153</v>
      </c>
      <c r="B607" s="5">
        <v>41758</v>
      </c>
      <c r="C607" s="2" t="str">
        <f>TEXT(data[[#This Row],[Order Date]],"YYYY")</f>
        <v>2014</v>
      </c>
      <c r="D607" s="2">
        <v>41760</v>
      </c>
      <c r="E607" s="2" t="s">
        <v>21</v>
      </c>
      <c r="F607" s="2" t="s">
        <v>2154</v>
      </c>
      <c r="G607" s="2" t="s">
        <v>2155</v>
      </c>
      <c r="H607" s="2" t="s">
        <v>24</v>
      </c>
      <c r="I607" s="2" t="s">
        <v>25</v>
      </c>
      <c r="J607" s="2" t="s">
        <v>2156</v>
      </c>
      <c r="K607" s="2" t="s">
        <v>1406</v>
      </c>
      <c r="L607" s="2" t="s">
        <v>28</v>
      </c>
      <c r="M607" s="2" t="s">
        <v>1003</v>
      </c>
      <c r="N607" s="2" t="s">
        <v>30</v>
      </c>
      <c r="O607" s="2" t="s">
        <v>36</v>
      </c>
      <c r="P607" s="2" t="s">
        <v>1004</v>
      </c>
      <c r="Q607" s="2">
        <v>51.96</v>
      </c>
      <c r="R607" s="2">
        <v>2</v>
      </c>
      <c r="S607" s="2">
        <v>12.99</v>
      </c>
      <c r="T607" s="2" t="s">
        <v>70</v>
      </c>
      <c r="U607" s="2" t="s">
        <v>113</v>
      </c>
    </row>
    <row r="608" spans="1:21" ht="14.25" customHeight="1" x14ac:dyDescent="0.3">
      <c r="A608" s="2" t="s">
        <v>2157</v>
      </c>
      <c r="B608" s="5">
        <v>43031</v>
      </c>
      <c r="C608" s="2" t="str">
        <f>TEXT(data[[#This Row],[Order Date]],"YYYY")</f>
        <v>2017</v>
      </c>
      <c r="D608" s="2">
        <v>43037</v>
      </c>
      <c r="E608" s="2" t="s">
        <v>39</v>
      </c>
      <c r="F608" s="2" t="s">
        <v>1156</v>
      </c>
      <c r="G608" s="2" t="s">
        <v>1157</v>
      </c>
      <c r="H608" s="2" t="s">
        <v>90</v>
      </c>
      <c r="I608" s="2" t="s">
        <v>25</v>
      </c>
      <c r="J608" s="2" t="s">
        <v>894</v>
      </c>
      <c r="K608" s="2" t="s">
        <v>120</v>
      </c>
      <c r="L608" s="2" t="s">
        <v>67</v>
      </c>
      <c r="M608" s="2" t="s">
        <v>2158</v>
      </c>
      <c r="N608" s="2" t="s">
        <v>30</v>
      </c>
      <c r="O608" s="2" t="s">
        <v>56</v>
      </c>
      <c r="P608" s="2" t="s">
        <v>2159</v>
      </c>
      <c r="Q608" s="2">
        <v>69.08</v>
      </c>
      <c r="R608" s="2">
        <v>11</v>
      </c>
      <c r="S608" s="2">
        <v>29.0136</v>
      </c>
      <c r="T608" s="2" t="s">
        <v>129</v>
      </c>
      <c r="U608" s="2" t="s">
        <v>48</v>
      </c>
    </row>
    <row r="609" spans="1:21" ht="14.25" customHeight="1" x14ac:dyDescent="0.3">
      <c r="A609" s="2" t="s">
        <v>2160</v>
      </c>
      <c r="B609" s="5">
        <v>42120</v>
      </c>
      <c r="C609" s="2" t="str">
        <f>TEXT(data[[#This Row],[Order Date]],"YYYY")</f>
        <v>2015</v>
      </c>
      <c r="D609" s="2">
        <v>42124</v>
      </c>
      <c r="E609" s="2" t="s">
        <v>39</v>
      </c>
      <c r="F609" s="2" t="s">
        <v>1898</v>
      </c>
      <c r="G609" s="2" t="s">
        <v>1899</v>
      </c>
      <c r="H609" s="2" t="s">
        <v>24</v>
      </c>
      <c r="I609" s="2" t="s">
        <v>25</v>
      </c>
      <c r="J609" s="2" t="s">
        <v>101</v>
      </c>
      <c r="K609" s="2" t="s">
        <v>92</v>
      </c>
      <c r="L609" s="2" t="s">
        <v>93</v>
      </c>
      <c r="M609" s="2" t="s">
        <v>381</v>
      </c>
      <c r="N609" s="2" t="s">
        <v>30</v>
      </c>
      <c r="O609" s="2" t="s">
        <v>36</v>
      </c>
      <c r="P609" s="2" t="s">
        <v>382</v>
      </c>
      <c r="Q609" s="2">
        <v>408.42200000000003</v>
      </c>
      <c r="R609" s="2">
        <v>2</v>
      </c>
      <c r="S609" s="2">
        <v>-5.8346</v>
      </c>
      <c r="T609" s="2" t="s">
        <v>83</v>
      </c>
      <c r="U609" s="2" t="s">
        <v>113</v>
      </c>
    </row>
    <row r="610" spans="1:21" ht="14.25" customHeight="1" x14ac:dyDescent="0.3">
      <c r="A610" s="2" t="s">
        <v>2161</v>
      </c>
      <c r="B610" s="5">
        <v>42548</v>
      </c>
      <c r="C610" s="2" t="str">
        <f>TEXT(data[[#This Row],[Order Date]],"YYYY")</f>
        <v>2016</v>
      </c>
      <c r="D610" s="2">
        <v>42552</v>
      </c>
      <c r="E610" s="2" t="s">
        <v>39</v>
      </c>
      <c r="F610" s="2" t="s">
        <v>1529</v>
      </c>
      <c r="G610" s="2" t="s">
        <v>1530</v>
      </c>
      <c r="H610" s="2" t="s">
        <v>90</v>
      </c>
      <c r="I610" s="2" t="s">
        <v>25</v>
      </c>
      <c r="J610" s="2" t="s">
        <v>2162</v>
      </c>
      <c r="K610" s="2" t="s">
        <v>134</v>
      </c>
      <c r="L610" s="2" t="s">
        <v>93</v>
      </c>
      <c r="M610" s="2" t="s">
        <v>1600</v>
      </c>
      <c r="N610" s="2" t="s">
        <v>30</v>
      </c>
      <c r="O610" s="2" t="s">
        <v>36</v>
      </c>
      <c r="P610" s="2" t="s">
        <v>1601</v>
      </c>
      <c r="Q610" s="2">
        <v>539.65800000000002</v>
      </c>
      <c r="R610" s="2">
        <v>3</v>
      </c>
      <c r="S610" s="2">
        <v>-7.7093999999999996</v>
      </c>
      <c r="T610" s="2" t="s">
        <v>83</v>
      </c>
      <c r="U610" s="2" t="s">
        <v>59</v>
      </c>
    </row>
    <row r="611" spans="1:21" ht="14.25" customHeight="1" x14ac:dyDescent="0.3">
      <c r="A611" s="2" t="s">
        <v>2163</v>
      </c>
      <c r="B611" s="5">
        <v>42697</v>
      </c>
      <c r="C611" s="2" t="str">
        <f>TEXT(data[[#This Row],[Order Date]],"YYYY")</f>
        <v>2016</v>
      </c>
      <c r="D611" s="2">
        <v>42697</v>
      </c>
      <c r="E611" s="2" t="s">
        <v>425</v>
      </c>
      <c r="F611" s="2" t="s">
        <v>2164</v>
      </c>
      <c r="G611" s="2" t="s">
        <v>2165</v>
      </c>
      <c r="H611" s="2" t="s">
        <v>90</v>
      </c>
      <c r="I611" s="2" t="s">
        <v>25</v>
      </c>
      <c r="J611" s="2" t="s">
        <v>65</v>
      </c>
      <c r="K611" s="2" t="s">
        <v>66</v>
      </c>
      <c r="L611" s="2" t="s">
        <v>67</v>
      </c>
      <c r="M611" s="2" t="s">
        <v>1451</v>
      </c>
      <c r="N611" s="2" t="s">
        <v>30</v>
      </c>
      <c r="O611" s="2" t="s">
        <v>56</v>
      </c>
      <c r="P611" s="2" t="s">
        <v>1452</v>
      </c>
      <c r="Q611" s="2">
        <v>14.368</v>
      </c>
      <c r="R611" s="2">
        <v>2</v>
      </c>
      <c r="S611" s="2">
        <v>3.9512</v>
      </c>
      <c r="T611" s="2" t="s">
        <v>430</v>
      </c>
      <c r="U611" s="2" t="s">
        <v>34</v>
      </c>
    </row>
    <row r="612" spans="1:21" ht="14.25" customHeight="1" x14ac:dyDescent="0.3">
      <c r="A612" s="2" t="s">
        <v>2163</v>
      </c>
      <c r="B612" s="5">
        <v>42697</v>
      </c>
      <c r="C612" s="2" t="str">
        <f>TEXT(data[[#This Row],[Order Date]],"YYYY")</f>
        <v>2016</v>
      </c>
      <c r="D612" s="2">
        <v>42697</v>
      </c>
      <c r="E612" s="2" t="s">
        <v>425</v>
      </c>
      <c r="F612" s="2" t="s">
        <v>2164</v>
      </c>
      <c r="G612" s="2" t="s">
        <v>2165</v>
      </c>
      <c r="H612" s="2" t="s">
        <v>90</v>
      </c>
      <c r="I612" s="2" t="s">
        <v>25</v>
      </c>
      <c r="J612" s="2" t="s">
        <v>65</v>
      </c>
      <c r="K612" s="2" t="s">
        <v>66</v>
      </c>
      <c r="L612" s="2" t="s">
        <v>67</v>
      </c>
      <c r="M612" s="2" t="s">
        <v>1268</v>
      </c>
      <c r="N612" s="2" t="s">
        <v>30</v>
      </c>
      <c r="O612" s="2" t="s">
        <v>56</v>
      </c>
      <c r="P612" s="2" t="s">
        <v>1269</v>
      </c>
      <c r="Q612" s="2">
        <v>70.447999999999993</v>
      </c>
      <c r="R612" s="2">
        <v>7</v>
      </c>
      <c r="S612" s="2">
        <v>12.3284</v>
      </c>
      <c r="T612" s="2" t="s">
        <v>430</v>
      </c>
      <c r="U612" s="2" t="s">
        <v>34</v>
      </c>
    </row>
    <row r="613" spans="1:21" ht="14.25" customHeight="1" x14ac:dyDescent="0.3">
      <c r="A613" s="2" t="s">
        <v>2166</v>
      </c>
      <c r="B613" s="5">
        <v>41884</v>
      </c>
      <c r="C613" s="2" t="str">
        <f>TEXT(data[[#This Row],[Order Date]],"YYYY")</f>
        <v>2014</v>
      </c>
      <c r="D613" s="2">
        <v>41887</v>
      </c>
      <c r="E613" s="2" t="s">
        <v>87</v>
      </c>
      <c r="F613" s="2" t="s">
        <v>2167</v>
      </c>
      <c r="G613" s="2" t="s">
        <v>2168</v>
      </c>
      <c r="H613" s="2" t="s">
        <v>24</v>
      </c>
      <c r="I613" s="2" t="s">
        <v>25</v>
      </c>
      <c r="J613" s="2" t="s">
        <v>1365</v>
      </c>
      <c r="K613" s="2" t="s">
        <v>120</v>
      </c>
      <c r="L613" s="2" t="s">
        <v>67</v>
      </c>
      <c r="M613" s="2" t="s">
        <v>2169</v>
      </c>
      <c r="N613" s="2" t="s">
        <v>30</v>
      </c>
      <c r="O613" s="2" t="s">
        <v>56</v>
      </c>
      <c r="P613" s="2" t="s">
        <v>2170</v>
      </c>
      <c r="Q613" s="2">
        <v>70.709999999999994</v>
      </c>
      <c r="R613" s="2">
        <v>1</v>
      </c>
      <c r="S613" s="2">
        <v>4.9497</v>
      </c>
      <c r="T613" s="2" t="s">
        <v>33</v>
      </c>
      <c r="U613" s="2" t="s">
        <v>77</v>
      </c>
    </row>
    <row r="614" spans="1:21" ht="14.25" customHeight="1" x14ac:dyDescent="0.3">
      <c r="A614" s="2" t="s">
        <v>2171</v>
      </c>
      <c r="B614" s="5">
        <v>42926</v>
      </c>
      <c r="C614" s="2" t="str">
        <f>TEXT(data[[#This Row],[Order Date]],"YYYY")</f>
        <v>2017</v>
      </c>
      <c r="D614" s="2">
        <v>42930</v>
      </c>
      <c r="E614" s="2" t="s">
        <v>21</v>
      </c>
      <c r="F614" s="2" t="s">
        <v>2172</v>
      </c>
      <c r="G614" s="2" t="s">
        <v>2173</v>
      </c>
      <c r="H614" s="2" t="s">
        <v>24</v>
      </c>
      <c r="I614" s="2" t="s">
        <v>25</v>
      </c>
      <c r="J614" s="2" t="s">
        <v>347</v>
      </c>
      <c r="K614" s="2" t="s">
        <v>667</v>
      </c>
      <c r="L614" s="2" t="s">
        <v>28</v>
      </c>
      <c r="M614" s="2" t="s">
        <v>2158</v>
      </c>
      <c r="N614" s="2" t="s">
        <v>30</v>
      </c>
      <c r="O614" s="2" t="s">
        <v>56</v>
      </c>
      <c r="P614" s="2" t="s">
        <v>2159</v>
      </c>
      <c r="Q614" s="2">
        <v>18.84</v>
      </c>
      <c r="R614" s="2">
        <v>3</v>
      </c>
      <c r="S614" s="2">
        <v>7.9127999999999998</v>
      </c>
      <c r="T614" s="2" t="s">
        <v>83</v>
      </c>
      <c r="U614" s="2" t="s">
        <v>71</v>
      </c>
    </row>
    <row r="615" spans="1:21" ht="14.25" customHeight="1" x14ac:dyDescent="0.3">
      <c r="A615" s="2" t="s">
        <v>2174</v>
      </c>
      <c r="B615" s="5">
        <v>43057</v>
      </c>
      <c r="C615" s="2" t="str">
        <f>TEXT(data[[#This Row],[Order Date]],"YYYY")</f>
        <v>2017</v>
      </c>
      <c r="D615" s="2">
        <v>43063</v>
      </c>
      <c r="E615" s="2" t="s">
        <v>39</v>
      </c>
      <c r="F615" s="2" t="s">
        <v>1282</v>
      </c>
      <c r="G615" s="2" t="s">
        <v>1283</v>
      </c>
      <c r="H615" s="2" t="s">
        <v>100</v>
      </c>
      <c r="I615" s="2" t="s">
        <v>25</v>
      </c>
      <c r="J615" s="2" t="s">
        <v>2175</v>
      </c>
      <c r="K615" s="2" t="s">
        <v>289</v>
      </c>
      <c r="L615" s="2" t="s">
        <v>93</v>
      </c>
      <c r="M615" s="2" t="s">
        <v>802</v>
      </c>
      <c r="N615" s="2" t="s">
        <v>30</v>
      </c>
      <c r="O615" s="2" t="s">
        <v>56</v>
      </c>
      <c r="P615" s="2" t="s">
        <v>803</v>
      </c>
      <c r="Q615" s="2">
        <v>19.760000000000002</v>
      </c>
      <c r="R615" s="2">
        <v>4</v>
      </c>
      <c r="S615" s="2">
        <v>8.2992000000000008</v>
      </c>
      <c r="T615" s="2" t="s">
        <v>129</v>
      </c>
      <c r="U615" s="2" t="s">
        <v>34</v>
      </c>
    </row>
    <row r="616" spans="1:21" ht="14.25" customHeight="1" x14ac:dyDescent="0.3">
      <c r="A616" s="2" t="s">
        <v>2176</v>
      </c>
      <c r="B616" s="5">
        <v>42224</v>
      </c>
      <c r="C616" s="2" t="str">
        <f>TEXT(data[[#This Row],[Order Date]],"YYYY")</f>
        <v>2015</v>
      </c>
      <c r="D616" s="2">
        <v>42224</v>
      </c>
      <c r="E616" s="2" t="s">
        <v>425</v>
      </c>
      <c r="F616" s="2" t="s">
        <v>2177</v>
      </c>
      <c r="G616" s="2" t="s">
        <v>2178</v>
      </c>
      <c r="H616" s="2" t="s">
        <v>24</v>
      </c>
      <c r="I616" s="2" t="s">
        <v>25</v>
      </c>
      <c r="J616" s="2" t="s">
        <v>328</v>
      </c>
      <c r="K616" s="2" t="s">
        <v>53</v>
      </c>
      <c r="L616" s="2" t="s">
        <v>54</v>
      </c>
      <c r="M616" s="2" t="s">
        <v>420</v>
      </c>
      <c r="N616" s="2" t="s">
        <v>30</v>
      </c>
      <c r="O616" s="2" t="s">
        <v>36</v>
      </c>
      <c r="P616" s="2" t="s">
        <v>421</v>
      </c>
      <c r="Q616" s="2">
        <v>144.78399999999999</v>
      </c>
      <c r="R616" s="2">
        <v>1</v>
      </c>
      <c r="S616" s="2">
        <v>10.8588</v>
      </c>
      <c r="T616" s="2" t="s">
        <v>430</v>
      </c>
      <c r="U616" s="2" t="s">
        <v>253</v>
      </c>
    </row>
    <row r="617" spans="1:21" ht="14.25" customHeight="1" x14ac:dyDescent="0.3">
      <c r="A617" s="2" t="s">
        <v>2179</v>
      </c>
      <c r="B617" s="5">
        <v>42819</v>
      </c>
      <c r="C617" s="2" t="str">
        <f>TEXT(data[[#This Row],[Order Date]],"YYYY")</f>
        <v>2017</v>
      </c>
      <c r="D617" s="2">
        <v>42825</v>
      </c>
      <c r="E617" s="2" t="s">
        <v>39</v>
      </c>
      <c r="F617" s="2" t="s">
        <v>675</v>
      </c>
      <c r="G617" s="2" t="s">
        <v>676</v>
      </c>
      <c r="H617" s="2" t="s">
        <v>90</v>
      </c>
      <c r="I617" s="2" t="s">
        <v>25</v>
      </c>
      <c r="J617" s="2" t="s">
        <v>905</v>
      </c>
      <c r="K617" s="2" t="s">
        <v>238</v>
      </c>
      <c r="L617" s="2" t="s">
        <v>93</v>
      </c>
      <c r="M617" s="2" t="s">
        <v>2180</v>
      </c>
      <c r="N617" s="2" t="s">
        <v>30</v>
      </c>
      <c r="O617" s="2" t="s">
        <v>36</v>
      </c>
      <c r="P617" s="2" t="s">
        <v>2181</v>
      </c>
      <c r="Q617" s="2">
        <v>90.99</v>
      </c>
      <c r="R617" s="2">
        <v>1</v>
      </c>
      <c r="S617" s="2">
        <v>14.558400000000001</v>
      </c>
      <c r="T617" s="2" t="s">
        <v>129</v>
      </c>
      <c r="U617" s="2" t="s">
        <v>195</v>
      </c>
    </row>
    <row r="618" spans="1:21" ht="14.25" customHeight="1" x14ac:dyDescent="0.3">
      <c r="A618" s="2" t="s">
        <v>2179</v>
      </c>
      <c r="B618" s="5">
        <v>42819</v>
      </c>
      <c r="C618" s="2" t="str">
        <f>TEXT(data[[#This Row],[Order Date]],"YYYY")</f>
        <v>2017</v>
      </c>
      <c r="D618" s="2">
        <v>42825</v>
      </c>
      <c r="E618" s="2" t="s">
        <v>39</v>
      </c>
      <c r="F618" s="2" t="s">
        <v>675</v>
      </c>
      <c r="G618" s="2" t="s">
        <v>676</v>
      </c>
      <c r="H618" s="2" t="s">
        <v>90</v>
      </c>
      <c r="I618" s="2" t="s">
        <v>25</v>
      </c>
      <c r="J618" s="2" t="s">
        <v>905</v>
      </c>
      <c r="K618" s="2" t="s">
        <v>238</v>
      </c>
      <c r="L618" s="2" t="s">
        <v>93</v>
      </c>
      <c r="M618" s="2" t="s">
        <v>816</v>
      </c>
      <c r="N618" s="2" t="s">
        <v>30</v>
      </c>
      <c r="O618" s="2" t="s">
        <v>36</v>
      </c>
      <c r="P618" s="2" t="s">
        <v>817</v>
      </c>
      <c r="Q618" s="2">
        <v>1526.56</v>
      </c>
      <c r="R618" s="2">
        <v>7</v>
      </c>
      <c r="S618" s="2">
        <v>427.43680000000001</v>
      </c>
      <c r="T618" s="2" t="s">
        <v>129</v>
      </c>
      <c r="U618" s="2" t="s">
        <v>195</v>
      </c>
    </row>
    <row r="619" spans="1:21" ht="14.25" customHeight="1" x14ac:dyDescent="0.3">
      <c r="A619" s="2" t="s">
        <v>2179</v>
      </c>
      <c r="B619" s="5">
        <v>42819</v>
      </c>
      <c r="C619" s="2" t="str">
        <f>TEXT(data[[#This Row],[Order Date]],"YYYY")</f>
        <v>2017</v>
      </c>
      <c r="D619" s="2">
        <v>42825</v>
      </c>
      <c r="E619" s="2" t="s">
        <v>39</v>
      </c>
      <c r="F619" s="2" t="s">
        <v>675</v>
      </c>
      <c r="G619" s="2" t="s">
        <v>676</v>
      </c>
      <c r="H619" s="2" t="s">
        <v>90</v>
      </c>
      <c r="I619" s="2" t="s">
        <v>25</v>
      </c>
      <c r="J619" s="2" t="s">
        <v>905</v>
      </c>
      <c r="K619" s="2" t="s">
        <v>238</v>
      </c>
      <c r="L619" s="2" t="s">
        <v>93</v>
      </c>
      <c r="M619" s="2" t="s">
        <v>1028</v>
      </c>
      <c r="N619" s="2" t="s">
        <v>30</v>
      </c>
      <c r="O619" s="2" t="s">
        <v>36</v>
      </c>
      <c r="P619" s="2" t="s">
        <v>1029</v>
      </c>
      <c r="Q619" s="2">
        <v>368.97</v>
      </c>
      <c r="R619" s="2">
        <v>3</v>
      </c>
      <c r="S619" s="2">
        <v>40.5867</v>
      </c>
      <c r="T619" s="2" t="s">
        <v>129</v>
      </c>
      <c r="U619" s="2" t="s">
        <v>195</v>
      </c>
    </row>
    <row r="620" spans="1:21" ht="14.25" customHeight="1" x14ac:dyDescent="0.3">
      <c r="A620" s="2" t="s">
        <v>2182</v>
      </c>
      <c r="B620" s="5">
        <v>43058</v>
      </c>
      <c r="C620" s="2" t="str">
        <f>TEXT(data[[#This Row],[Order Date]],"YYYY")</f>
        <v>2017</v>
      </c>
      <c r="D620" s="2">
        <v>43063</v>
      </c>
      <c r="E620" s="2" t="s">
        <v>39</v>
      </c>
      <c r="F620" s="2" t="s">
        <v>1372</v>
      </c>
      <c r="G620" s="2" t="s">
        <v>1373</v>
      </c>
      <c r="H620" s="2" t="s">
        <v>24</v>
      </c>
      <c r="I620" s="2" t="s">
        <v>25</v>
      </c>
      <c r="J620" s="2" t="s">
        <v>52</v>
      </c>
      <c r="K620" s="2" t="s">
        <v>53</v>
      </c>
      <c r="L620" s="2" t="s">
        <v>54</v>
      </c>
      <c r="M620" s="2" t="s">
        <v>2183</v>
      </c>
      <c r="N620" s="2" t="s">
        <v>30</v>
      </c>
      <c r="O620" s="2" t="s">
        <v>56</v>
      </c>
      <c r="P620" s="2" t="s">
        <v>2184</v>
      </c>
      <c r="Q620" s="2">
        <v>18.7</v>
      </c>
      <c r="R620" s="2">
        <v>1</v>
      </c>
      <c r="S620" s="2">
        <v>7.1059999999999999</v>
      </c>
      <c r="T620" s="2" t="s">
        <v>58</v>
      </c>
      <c r="U620" s="2" t="s">
        <v>34</v>
      </c>
    </row>
    <row r="621" spans="1:21" ht="14.25" customHeight="1" x14ac:dyDescent="0.3">
      <c r="A621" s="2" t="s">
        <v>2185</v>
      </c>
      <c r="B621" s="5">
        <v>42678</v>
      </c>
      <c r="C621" s="2" t="str">
        <f>TEXT(data[[#This Row],[Order Date]],"YYYY")</f>
        <v>2016</v>
      </c>
      <c r="D621" s="2">
        <v>42679</v>
      </c>
      <c r="E621" s="2" t="s">
        <v>87</v>
      </c>
      <c r="F621" s="2" t="s">
        <v>2186</v>
      </c>
      <c r="G621" s="2" t="s">
        <v>2187</v>
      </c>
      <c r="H621" s="2" t="s">
        <v>24</v>
      </c>
      <c r="I621" s="2" t="s">
        <v>25</v>
      </c>
      <c r="J621" s="2" t="s">
        <v>328</v>
      </c>
      <c r="K621" s="2" t="s">
        <v>53</v>
      </c>
      <c r="L621" s="2" t="s">
        <v>54</v>
      </c>
      <c r="M621" s="2" t="s">
        <v>620</v>
      </c>
      <c r="N621" s="2" t="s">
        <v>30</v>
      </c>
      <c r="O621" s="2" t="s">
        <v>56</v>
      </c>
      <c r="P621" s="2" t="s">
        <v>621</v>
      </c>
      <c r="Q621" s="2">
        <v>38.29</v>
      </c>
      <c r="R621" s="2">
        <v>7</v>
      </c>
      <c r="S621" s="2">
        <v>16.464700000000001</v>
      </c>
      <c r="T621" s="2" t="s">
        <v>123</v>
      </c>
      <c r="U621" s="2" t="s">
        <v>34</v>
      </c>
    </row>
    <row r="622" spans="1:21" ht="14.25" customHeight="1" x14ac:dyDescent="0.3">
      <c r="A622" s="2" t="s">
        <v>2188</v>
      </c>
      <c r="B622" s="5">
        <v>43083</v>
      </c>
      <c r="C622" s="2" t="str">
        <f>TEXT(data[[#This Row],[Order Date]],"YYYY")</f>
        <v>2017</v>
      </c>
      <c r="D622" s="2">
        <v>43087</v>
      </c>
      <c r="E622" s="2" t="s">
        <v>39</v>
      </c>
      <c r="F622" s="2" t="s">
        <v>1351</v>
      </c>
      <c r="G622" s="2" t="s">
        <v>1352</v>
      </c>
      <c r="H622" s="2" t="s">
        <v>100</v>
      </c>
      <c r="I622" s="2" t="s">
        <v>25</v>
      </c>
      <c r="J622" s="2" t="s">
        <v>639</v>
      </c>
      <c r="K622" s="2" t="s">
        <v>53</v>
      </c>
      <c r="L622" s="2" t="s">
        <v>54</v>
      </c>
      <c r="M622" s="2" t="s">
        <v>2189</v>
      </c>
      <c r="N622" s="2" t="s">
        <v>30</v>
      </c>
      <c r="O622" s="2" t="s">
        <v>56</v>
      </c>
      <c r="P622" s="2" t="s">
        <v>2190</v>
      </c>
      <c r="Q622" s="2">
        <v>26.25</v>
      </c>
      <c r="R622" s="2">
        <v>3</v>
      </c>
      <c r="S622" s="2">
        <v>11.025</v>
      </c>
      <c r="T622" s="2" t="s">
        <v>83</v>
      </c>
      <c r="U622" s="2" t="s">
        <v>96</v>
      </c>
    </row>
    <row r="623" spans="1:21" ht="14.25" customHeight="1" x14ac:dyDescent="0.3">
      <c r="A623" s="2" t="s">
        <v>2191</v>
      </c>
      <c r="B623" s="5">
        <v>43051</v>
      </c>
      <c r="C623" s="2" t="str">
        <f>TEXT(data[[#This Row],[Order Date]],"YYYY")</f>
        <v>2017</v>
      </c>
      <c r="D623" s="2">
        <v>43051</v>
      </c>
      <c r="E623" s="2" t="s">
        <v>425</v>
      </c>
      <c r="F623" s="2" t="s">
        <v>2192</v>
      </c>
      <c r="G623" s="2" t="s">
        <v>2193</v>
      </c>
      <c r="H623" s="2" t="s">
        <v>100</v>
      </c>
      <c r="I623" s="2" t="s">
        <v>25</v>
      </c>
      <c r="J623" s="2" t="s">
        <v>1302</v>
      </c>
      <c r="K623" s="2" t="s">
        <v>520</v>
      </c>
      <c r="L623" s="2" t="s">
        <v>54</v>
      </c>
      <c r="M623" s="2" t="s">
        <v>2194</v>
      </c>
      <c r="N623" s="2" t="s">
        <v>30</v>
      </c>
      <c r="O623" s="2" t="s">
        <v>36</v>
      </c>
      <c r="P623" s="2" t="s">
        <v>2195</v>
      </c>
      <c r="Q623" s="2">
        <v>113.88800000000001</v>
      </c>
      <c r="R623" s="2">
        <v>2</v>
      </c>
      <c r="S623" s="2">
        <v>9.9651999999999994</v>
      </c>
      <c r="T623" s="2" t="s">
        <v>430</v>
      </c>
      <c r="U623" s="2" t="s">
        <v>34</v>
      </c>
    </row>
    <row r="624" spans="1:21" ht="14.25" customHeight="1" x14ac:dyDescent="0.3">
      <c r="A624" s="2" t="s">
        <v>2191</v>
      </c>
      <c r="B624" s="5">
        <v>43051</v>
      </c>
      <c r="C624" s="2" t="str">
        <f>TEXT(data[[#This Row],[Order Date]],"YYYY")</f>
        <v>2017</v>
      </c>
      <c r="D624" s="2">
        <v>43051</v>
      </c>
      <c r="E624" s="2" t="s">
        <v>425</v>
      </c>
      <c r="F624" s="2" t="s">
        <v>2192</v>
      </c>
      <c r="G624" s="2" t="s">
        <v>2193</v>
      </c>
      <c r="H624" s="2" t="s">
        <v>100</v>
      </c>
      <c r="I624" s="2" t="s">
        <v>25</v>
      </c>
      <c r="J624" s="2" t="s">
        <v>1302</v>
      </c>
      <c r="K624" s="2" t="s">
        <v>520</v>
      </c>
      <c r="L624" s="2" t="s">
        <v>54</v>
      </c>
      <c r="M624" s="2" t="s">
        <v>2196</v>
      </c>
      <c r="N624" s="2" t="s">
        <v>30</v>
      </c>
      <c r="O624" s="2" t="s">
        <v>56</v>
      </c>
      <c r="P624" s="2" t="s">
        <v>2197</v>
      </c>
      <c r="Q624" s="2">
        <v>113.568</v>
      </c>
      <c r="R624" s="2">
        <v>2</v>
      </c>
      <c r="S624" s="2">
        <v>-5.6783999999999999</v>
      </c>
      <c r="T624" s="2" t="s">
        <v>430</v>
      </c>
      <c r="U624" s="2" t="s">
        <v>34</v>
      </c>
    </row>
    <row r="625" spans="1:21" ht="14.25" customHeight="1" x14ac:dyDescent="0.3">
      <c r="A625" s="2" t="s">
        <v>2198</v>
      </c>
      <c r="B625" s="5">
        <v>42913</v>
      </c>
      <c r="C625" s="2" t="str">
        <f>TEXT(data[[#This Row],[Order Date]],"YYYY")</f>
        <v>2017</v>
      </c>
      <c r="D625" s="2">
        <v>42920</v>
      </c>
      <c r="E625" s="2" t="s">
        <v>39</v>
      </c>
      <c r="F625" s="2" t="s">
        <v>2199</v>
      </c>
      <c r="G625" s="2" t="s">
        <v>2200</v>
      </c>
      <c r="H625" s="2" t="s">
        <v>100</v>
      </c>
      <c r="I625" s="2" t="s">
        <v>25</v>
      </c>
      <c r="J625" s="2" t="s">
        <v>1365</v>
      </c>
      <c r="K625" s="2" t="s">
        <v>120</v>
      </c>
      <c r="L625" s="2" t="s">
        <v>67</v>
      </c>
      <c r="M625" s="2" t="s">
        <v>590</v>
      </c>
      <c r="N625" s="2" t="s">
        <v>30</v>
      </c>
      <c r="O625" s="2" t="s">
        <v>36</v>
      </c>
      <c r="P625" s="2" t="s">
        <v>591</v>
      </c>
      <c r="Q625" s="2">
        <v>191.64599999999999</v>
      </c>
      <c r="R625" s="2">
        <v>3</v>
      </c>
      <c r="S625" s="2">
        <v>31.940999999999999</v>
      </c>
      <c r="T625" s="2" t="s">
        <v>47</v>
      </c>
      <c r="U625" s="2" t="s">
        <v>59</v>
      </c>
    </row>
    <row r="626" spans="1:21" ht="14.25" customHeight="1" x14ac:dyDescent="0.3">
      <c r="A626" s="2" t="s">
        <v>2201</v>
      </c>
      <c r="B626" s="5">
        <v>43085</v>
      </c>
      <c r="C626" s="2" t="str">
        <f>TEXT(data[[#This Row],[Order Date]],"YYYY")</f>
        <v>2017</v>
      </c>
      <c r="D626" s="2">
        <v>43090</v>
      </c>
      <c r="E626" s="2" t="s">
        <v>21</v>
      </c>
      <c r="F626" s="2" t="s">
        <v>2202</v>
      </c>
      <c r="G626" s="2" t="s">
        <v>2203</v>
      </c>
      <c r="H626" s="2" t="s">
        <v>90</v>
      </c>
      <c r="I626" s="2" t="s">
        <v>25</v>
      </c>
      <c r="J626" s="2" t="s">
        <v>761</v>
      </c>
      <c r="K626" s="2" t="s">
        <v>53</v>
      </c>
      <c r="L626" s="2" t="s">
        <v>54</v>
      </c>
      <c r="M626" s="2" t="s">
        <v>68</v>
      </c>
      <c r="N626" s="2" t="s">
        <v>30</v>
      </c>
      <c r="O626" s="2" t="s">
        <v>36</v>
      </c>
      <c r="P626" s="2" t="s">
        <v>69</v>
      </c>
      <c r="Q626" s="2">
        <v>81.567999999999998</v>
      </c>
      <c r="R626" s="2">
        <v>2</v>
      </c>
      <c r="S626" s="2">
        <v>9.1763999999999992</v>
      </c>
      <c r="T626" s="2" t="s">
        <v>58</v>
      </c>
      <c r="U626" s="2" t="s">
        <v>96</v>
      </c>
    </row>
    <row r="627" spans="1:21" ht="14.25" customHeight="1" x14ac:dyDescent="0.3">
      <c r="A627" s="2" t="s">
        <v>2201</v>
      </c>
      <c r="B627" s="5">
        <v>43085</v>
      </c>
      <c r="C627" s="2" t="str">
        <f>TEXT(data[[#This Row],[Order Date]],"YYYY")</f>
        <v>2017</v>
      </c>
      <c r="D627" s="2">
        <v>43090</v>
      </c>
      <c r="E627" s="2" t="s">
        <v>21</v>
      </c>
      <c r="F627" s="2" t="s">
        <v>2202</v>
      </c>
      <c r="G627" s="2" t="s">
        <v>2203</v>
      </c>
      <c r="H627" s="2" t="s">
        <v>90</v>
      </c>
      <c r="I627" s="2" t="s">
        <v>25</v>
      </c>
      <c r="J627" s="2" t="s">
        <v>761</v>
      </c>
      <c r="K627" s="2" t="s">
        <v>53</v>
      </c>
      <c r="L627" s="2" t="s">
        <v>54</v>
      </c>
      <c r="M627" s="2" t="s">
        <v>251</v>
      </c>
      <c r="N627" s="2" t="s">
        <v>30</v>
      </c>
      <c r="O627" s="2" t="s">
        <v>36</v>
      </c>
      <c r="P627" s="2" t="s">
        <v>252</v>
      </c>
      <c r="Q627" s="2">
        <v>97.183999999999997</v>
      </c>
      <c r="R627" s="2">
        <v>2</v>
      </c>
      <c r="S627" s="2">
        <v>6.0739999999999998</v>
      </c>
      <c r="T627" s="2" t="s">
        <v>58</v>
      </c>
      <c r="U627" s="2" t="s">
        <v>96</v>
      </c>
    </row>
    <row r="628" spans="1:21" ht="14.25" customHeight="1" x14ac:dyDescent="0.3">
      <c r="A628" s="2" t="s">
        <v>2201</v>
      </c>
      <c r="B628" s="5">
        <v>43085</v>
      </c>
      <c r="C628" s="2" t="str">
        <f>TEXT(data[[#This Row],[Order Date]],"YYYY")</f>
        <v>2017</v>
      </c>
      <c r="D628" s="2">
        <v>43090</v>
      </c>
      <c r="E628" s="2" t="s">
        <v>21</v>
      </c>
      <c r="F628" s="2" t="s">
        <v>2202</v>
      </c>
      <c r="G628" s="2" t="s">
        <v>2203</v>
      </c>
      <c r="H628" s="2" t="s">
        <v>90</v>
      </c>
      <c r="I628" s="2" t="s">
        <v>25</v>
      </c>
      <c r="J628" s="2" t="s">
        <v>761</v>
      </c>
      <c r="K628" s="2" t="s">
        <v>53</v>
      </c>
      <c r="L628" s="2" t="s">
        <v>54</v>
      </c>
      <c r="M628" s="2" t="s">
        <v>2204</v>
      </c>
      <c r="N628" s="2" t="s">
        <v>30</v>
      </c>
      <c r="O628" s="2" t="s">
        <v>56</v>
      </c>
      <c r="P628" s="2" t="s">
        <v>2205</v>
      </c>
      <c r="Q628" s="2">
        <v>18.96</v>
      </c>
      <c r="R628" s="2">
        <v>2</v>
      </c>
      <c r="S628" s="2">
        <v>7.5839999999999996</v>
      </c>
      <c r="T628" s="2" t="s">
        <v>58</v>
      </c>
      <c r="U628" s="2" t="s">
        <v>96</v>
      </c>
    </row>
    <row r="629" spans="1:21" ht="14.25" customHeight="1" x14ac:dyDescent="0.3">
      <c r="A629" s="2" t="s">
        <v>2206</v>
      </c>
      <c r="B629" s="5">
        <v>42000</v>
      </c>
      <c r="C629" s="2" t="str">
        <f>TEXT(data[[#This Row],[Order Date]],"YYYY")</f>
        <v>2014</v>
      </c>
      <c r="D629" s="2">
        <v>42004</v>
      </c>
      <c r="E629" s="2" t="s">
        <v>39</v>
      </c>
      <c r="F629" s="2" t="s">
        <v>2207</v>
      </c>
      <c r="G629" s="2" t="s">
        <v>2208</v>
      </c>
      <c r="H629" s="2" t="s">
        <v>24</v>
      </c>
      <c r="I629" s="2" t="s">
        <v>25</v>
      </c>
      <c r="J629" s="2" t="s">
        <v>2209</v>
      </c>
      <c r="K629" s="2" t="s">
        <v>134</v>
      </c>
      <c r="L629" s="2" t="s">
        <v>93</v>
      </c>
      <c r="M629" s="2" t="s">
        <v>1290</v>
      </c>
      <c r="N629" s="2" t="s">
        <v>30</v>
      </c>
      <c r="O629" s="2" t="s">
        <v>56</v>
      </c>
      <c r="P629" s="2" t="s">
        <v>1291</v>
      </c>
      <c r="Q629" s="2">
        <v>32.951999999999998</v>
      </c>
      <c r="R629" s="2">
        <v>6</v>
      </c>
      <c r="S629" s="2">
        <v>-19.7712</v>
      </c>
      <c r="T629" s="2" t="s">
        <v>83</v>
      </c>
      <c r="U629" s="2" t="s">
        <v>96</v>
      </c>
    </row>
    <row r="630" spans="1:21" ht="14.25" customHeight="1" x14ac:dyDescent="0.3">
      <c r="A630" s="2" t="s">
        <v>2210</v>
      </c>
      <c r="B630" s="5">
        <v>43045</v>
      </c>
      <c r="C630" s="2" t="str">
        <f>TEXT(data[[#This Row],[Order Date]],"YYYY")</f>
        <v>2017</v>
      </c>
      <c r="D630" s="2">
        <v>43048</v>
      </c>
      <c r="E630" s="2" t="s">
        <v>21</v>
      </c>
      <c r="F630" s="2" t="s">
        <v>2211</v>
      </c>
      <c r="G630" s="2" t="s">
        <v>2212</v>
      </c>
      <c r="H630" s="2" t="s">
        <v>24</v>
      </c>
      <c r="I630" s="2" t="s">
        <v>25</v>
      </c>
      <c r="J630" s="2" t="s">
        <v>1911</v>
      </c>
      <c r="K630" s="2" t="s">
        <v>1036</v>
      </c>
      <c r="L630" s="2" t="s">
        <v>28</v>
      </c>
      <c r="M630" s="2" t="s">
        <v>1989</v>
      </c>
      <c r="N630" s="2" t="s">
        <v>30</v>
      </c>
      <c r="O630" s="2" t="s">
        <v>56</v>
      </c>
      <c r="P630" s="2" t="s">
        <v>1990</v>
      </c>
      <c r="Q630" s="2">
        <v>28.271999999999998</v>
      </c>
      <c r="R630" s="2">
        <v>2</v>
      </c>
      <c r="S630" s="2">
        <v>6.3612000000000002</v>
      </c>
      <c r="T630" s="2" t="s">
        <v>33</v>
      </c>
      <c r="U630" s="2" t="s">
        <v>34</v>
      </c>
    </row>
    <row r="631" spans="1:21" ht="14.25" customHeight="1" x14ac:dyDescent="0.3">
      <c r="A631" s="2" t="s">
        <v>2213</v>
      </c>
      <c r="B631" s="5">
        <v>42131</v>
      </c>
      <c r="C631" s="2" t="str">
        <f>TEXT(data[[#This Row],[Order Date]],"YYYY")</f>
        <v>2015</v>
      </c>
      <c r="D631" s="2">
        <v>42136</v>
      </c>
      <c r="E631" s="2" t="s">
        <v>39</v>
      </c>
      <c r="F631" s="2" t="s">
        <v>449</v>
      </c>
      <c r="G631" s="2" t="s">
        <v>450</v>
      </c>
      <c r="H631" s="2" t="s">
        <v>24</v>
      </c>
      <c r="I631" s="2" t="s">
        <v>25</v>
      </c>
      <c r="J631" s="2" t="s">
        <v>2214</v>
      </c>
      <c r="K631" s="2" t="s">
        <v>92</v>
      </c>
      <c r="L631" s="2" t="s">
        <v>93</v>
      </c>
      <c r="M631" s="2" t="s">
        <v>784</v>
      </c>
      <c r="N631" s="2" t="s">
        <v>30</v>
      </c>
      <c r="O631" s="2" t="s">
        <v>45</v>
      </c>
      <c r="P631" s="2" t="s">
        <v>785</v>
      </c>
      <c r="Q631" s="2">
        <v>244.006</v>
      </c>
      <c r="R631" s="2">
        <v>2</v>
      </c>
      <c r="S631" s="2">
        <v>-31.372199999999999</v>
      </c>
      <c r="T631" s="2" t="s">
        <v>58</v>
      </c>
      <c r="U631" s="2" t="s">
        <v>161</v>
      </c>
    </row>
    <row r="632" spans="1:21" ht="14.25" customHeight="1" x14ac:dyDescent="0.3">
      <c r="A632" s="2" t="s">
        <v>2215</v>
      </c>
      <c r="B632" s="5">
        <v>43073</v>
      </c>
      <c r="C632" s="2" t="str">
        <f>TEXT(data[[#This Row],[Order Date]],"YYYY")</f>
        <v>2017</v>
      </c>
      <c r="D632" s="2">
        <v>43073</v>
      </c>
      <c r="E632" s="2" t="s">
        <v>425</v>
      </c>
      <c r="F632" s="2" t="s">
        <v>2216</v>
      </c>
      <c r="G632" s="2" t="s">
        <v>2217</v>
      </c>
      <c r="H632" s="2" t="s">
        <v>90</v>
      </c>
      <c r="I632" s="2" t="s">
        <v>25</v>
      </c>
      <c r="J632" s="2" t="s">
        <v>65</v>
      </c>
      <c r="K632" s="2" t="s">
        <v>66</v>
      </c>
      <c r="L632" s="2" t="s">
        <v>67</v>
      </c>
      <c r="M632" s="2" t="s">
        <v>2218</v>
      </c>
      <c r="N632" s="2" t="s">
        <v>30</v>
      </c>
      <c r="O632" s="2" t="s">
        <v>36</v>
      </c>
      <c r="P632" s="2" t="s">
        <v>2219</v>
      </c>
      <c r="Q632" s="2">
        <v>188.55199999999999</v>
      </c>
      <c r="R632" s="2">
        <v>7</v>
      </c>
      <c r="S632" s="2">
        <v>-2.6936</v>
      </c>
      <c r="T632" s="2" t="s">
        <v>430</v>
      </c>
      <c r="U632" s="2" t="s">
        <v>96</v>
      </c>
    </row>
    <row r="633" spans="1:21" ht="14.25" customHeight="1" x14ac:dyDescent="0.3">
      <c r="A633" s="2" t="s">
        <v>2220</v>
      </c>
      <c r="B633" s="5">
        <v>41652</v>
      </c>
      <c r="C633" s="2" t="str">
        <f>TEXT(data[[#This Row],[Order Date]],"YYYY")</f>
        <v>2014</v>
      </c>
      <c r="D633" s="2">
        <v>41655</v>
      </c>
      <c r="E633" s="2" t="s">
        <v>21</v>
      </c>
      <c r="F633" s="2" t="s">
        <v>1435</v>
      </c>
      <c r="G633" s="2" t="s">
        <v>1436</v>
      </c>
      <c r="H633" s="2" t="s">
        <v>24</v>
      </c>
      <c r="I633" s="2" t="s">
        <v>25</v>
      </c>
      <c r="J633" s="2" t="s">
        <v>2221</v>
      </c>
      <c r="K633" s="2" t="s">
        <v>158</v>
      </c>
      <c r="L633" s="2" t="s">
        <v>28</v>
      </c>
      <c r="M633" s="2" t="s">
        <v>2180</v>
      </c>
      <c r="N633" s="2" t="s">
        <v>30</v>
      </c>
      <c r="O633" s="2" t="s">
        <v>36</v>
      </c>
      <c r="P633" s="2" t="s">
        <v>2181</v>
      </c>
      <c r="Q633" s="2">
        <v>545.94000000000005</v>
      </c>
      <c r="R633" s="2">
        <v>6</v>
      </c>
      <c r="S633" s="2">
        <v>87.350399999999993</v>
      </c>
      <c r="T633" s="2" t="s">
        <v>33</v>
      </c>
      <c r="U633" s="2" t="s">
        <v>169</v>
      </c>
    </row>
    <row r="634" spans="1:21" ht="14.25" customHeight="1" x14ac:dyDescent="0.3">
      <c r="A634" s="2" t="s">
        <v>2222</v>
      </c>
      <c r="B634" s="5">
        <v>42167</v>
      </c>
      <c r="C634" s="2" t="str">
        <f>TEXT(data[[#This Row],[Order Date]],"YYYY")</f>
        <v>2015</v>
      </c>
      <c r="D634" s="2">
        <v>42172</v>
      </c>
      <c r="E634" s="2" t="s">
        <v>39</v>
      </c>
      <c r="F634" s="2" t="s">
        <v>2223</v>
      </c>
      <c r="G634" s="2" t="s">
        <v>2224</v>
      </c>
      <c r="H634" s="2" t="s">
        <v>24</v>
      </c>
      <c r="I634" s="2" t="s">
        <v>25</v>
      </c>
      <c r="J634" s="2" t="s">
        <v>65</v>
      </c>
      <c r="K634" s="2" t="s">
        <v>66</v>
      </c>
      <c r="L634" s="2" t="s">
        <v>67</v>
      </c>
      <c r="M634" s="2" t="s">
        <v>1709</v>
      </c>
      <c r="N634" s="2" t="s">
        <v>30</v>
      </c>
      <c r="O634" s="2" t="s">
        <v>56</v>
      </c>
      <c r="P634" s="2" t="s">
        <v>1710</v>
      </c>
      <c r="Q634" s="2">
        <v>43.295999999999999</v>
      </c>
      <c r="R634" s="2">
        <v>2</v>
      </c>
      <c r="S634" s="2">
        <v>4.3296000000000001</v>
      </c>
      <c r="T634" s="2" t="s">
        <v>58</v>
      </c>
      <c r="U634" s="2" t="s">
        <v>59</v>
      </c>
    </row>
    <row r="635" spans="1:21" ht="14.25" customHeight="1" x14ac:dyDescent="0.3">
      <c r="A635" s="2" t="s">
        <v>2225</v>
      </c>
      <c r="B635" s="5">
        <v>41832</v>
      </c>
      <c r="C635" s="2" t="str">
        <f>TEXT(data[[#This Row],[Order Date]],"YYYY")</f>
        <v>2014</v>
      </c>
      <c r="D635" s="2">
        <v>41838</v>
      </c>
      <c r="E635" s="2" t="s">
        <v>39</v>
      </c>
      <c r="F635" s="2" t="s">
        <v>2226</v>
      </c>
      <c r="G635" s="2" t="s">
        <v>2227</v>
      </c>
      <c r="H635" s="2" t="s">
        <v>24</v>
      </c>
      <c r="I635" s="2" t="s">
        <v>25</v>
      </c>
      <c r="J635" s="2" t="s">
        <v>191</v>
      </c>
      <c r="K635" s="2" t="s">
        <v>192</v>
      </c>
      <c r="L635" s="2" t="s">
        <v>54</v>
      </c>
      <c r="M635" s="2" t="s">
        <v>2218</v>
      </c>
      <c r="N635" s="2" t="s">
        <v>30</v>
      </c>
      <c r="O635" s="2" t="s">
        <v>36</v>
      </c>
      <c r="P635" s="2" t="s">
        <v>2219</v>
      </c>
      <c r="Q635" s="2">
        <v>123.136</v>
      </c>
      <c r="R635" s="2">
        <v>4</v>
      </c>
      <c r="S635" s="2">
        <v>13.8528</v>
      </c>
      <c r="T635" s="2" t="s">
        <v>129</v>
      </c>
      <c r="U635" s="2" t="s">
        <v>71</v>
      </c>
    </row>
    <row r="636" spans="1:21" ht="14.25" customHeight="1" x14ac:dyDescent="0.3">
      <c r="A636" s="2" t="s">
        <v>2228</v>
      </c>
      <c r="B636" s="5">
        <v>41979</v>
      </c>
      <c r="C636" s="2" t="str">
        <f>TEXT(data[[#This Row],[Order Date]],"YYYY")</f>
        <v>2014</v>
      </c>
      <c r="D636" s="2">
        <v>41984</v>
      </c>
      <c r="E636" s="2" t="s">
        <v>21</v>
      </c>
      <c r="F636" s="2" t="s">
        <v>604</v>
      </c>
      <c r="G636" s="2" t="s">
        <v>605</v>
      </c>
      <c r="H636" s="2" t="s">
        <v>24</v>
      </c>
      <c r="I636" s="2" t="s">
        <v>25</v>
      </c>
      <c r="J636" s="2" t="s">
        <v>878</v>
      </c>
      <c r="K636" s="2" t="s">
        <v>1517</v>
      </c>
      <c r="L636" s="2" t="s">
        <v>54</v>
      </c>
      <c r="M636" s="2" t="s">
        <v>1723</v>
      </c>
      <c r="N636" s="2" t="s">
        <v>30</v>
      </c>
      <c r="O636" s="2" t="s">
        <v>45</v>
      </c>
      <c r="P636" s="2" t="s">
        <v>1724</v>
      </c>
      <c r="Q636" s="2">
        <v>275.49</v>
      </c>
      <c r="R636" s="2">
        <v>1</v>
      </c>
      <c r="S636" s="2">
        <v>-170.8038</v>
      </c>
      <c r="T636" s="2" t="s">
        <v>58</v>
      </c>
      <c r="U636" s="2" t="s">
        <v>96</v>
      </c>
    </row>
    <row r="637" spans="1:21" ht="14.25" customHeight="1" x14ac:dyDescent="0.3">
      <c r="A637" s="2" t="s">
        <v>2229</v>
      </c>
      <c r="B637" s="5">
        <v>42515</v>
      </c>
      <c r="C637" s="2" t="str">
        <f>TEXT(data[[#This Row],[Order Date]],"YYYY")</f>
        <v>2016</v>
      </c>
      <c r="D637" s="2">
        <v>42520</v>
      </c>
      <c r="E637" s="2" t="s">
        <v>39</v>
      </c>
      <c r="F637" s="2" t="s">
        <v>2230</v>
      </c>
      <c r="G637" s="2" t="s">
        <v>2231</v>
      </c>
      <c r="H637" s="2" t="s">
        <v>100</v>
      </c>
      <c r="I637" s="2" t="s">
        <v>25</v>
      </c>
      <c r="J637" s="2" t="s">
        <v>347</v>
      </c>
      <c r="K637" s="2" t="s">
        <v>667</v>
      </c>
      <c r="L637" s="2" t="s">
        <v>28</v>
      </c>
      <c r="M637" s="2" t="s">
        <v>2232</v>
      </c>
      <c r="N637" s="2" t="s">
        <v>30</v>
      </c>
      <c r="O637" s="2" t="s">
        <v>56</v>
      </c>
      <c r="P637" s="2" t="s">
        <v>2233</v>
      </c>
      <c r="Q637" s="2">
        <v>24.96</v>
      </c>
      <c r="R637" s="2">
        <v>4</v>
      </c>
      <c r="S637" s="2">
        <v>6.24</v>
      </c>
      <c r="T637" s="2" t="s">
        <v>58</v>
      </c>
      <c r="U637" s="2" t="s">
        <v>161</v>
      </c>
    </row>
    <row r="638" spans="1:21" ht="14.25" customHeight="1" x14ac:dyDescent="0.3">
      <c r="A638" s="2" t="s">
        <v>2234</v>
      </c>
      <c r="B638" s="5">
        <v>41811</v>
      </c>
      <c r="C638" s="2" t="str">
        <f>TEXT(data[[#This Row],[Order Date]],"YYYY")</f>
        <v>2014</v>
      </c>
      <c r="D638" s="2">
        <v>41815</v>
      </c>
      <c r="E638" s="2" t="s">
        <v>39</v>
      </c>
      <c r="F638" s="2" t="s">
        <v>2235</v>
      </c>
      <c r="G638" s="2" t="s">
        <v>2236</v>
      </c>
      <c r="H638" s="2" t="s">
        <v>24</v>
      </c>
      <c r="I638" s="2" t="s">
        <v>25</v>
      </c>
      <c r="J638" s="2" t="s">
        <v>65</v>
      </c>
      <c r="K638" s="2" t="s">
        <v>66</v>
      </c>
      <c r="L638" s="2" t="s">
        <v>67</v>
      </c>
      <c r="M638" s="2" t="s">
        <v>2237</v>
      </c>
      <c r="N638" s="2" t="s">
        <v>30</v>
      </c>
      <c r="O638" s="2" t="s">
        <v>56</v>
      </c>
      <c r="P638" s="2" t="s">
        <v>2238</v>
      </c>
      <c r="Q638" s="2">
        <v>3.984</v>
      </c>
      <c r="R638" s="2">
        <v>1</v>
      </c>
      <c r="S638" s="2">
        <v>0.64739999999999998</v>
      </c>
      <c r="T638" s="2" t="s">
        <v>83</v>
      </c>
      <c r="U638" s="2" t="s">
        <v>59</v>
      </c>
    </row>
    <row r="639" spans="1:21" ht="14.25" customHeight="1" x14ac:dyDescent="0.3">
      <c r="A639" s="2" t="s">
        <v>2239</v>
      </c>
      <c r="B639" s="5">
        <v>42709</v>
      </c>
      <c r="C639" s="2" t="str">
        <f>TEXT(data[[#This Row],[Order Date]],"YYYY")</f>
        <v>2016</v>
      </c>
      <c r="D639" s="2">
        <v>42710</v>
      </c>
      <c r="E639" s="2" t="s">
        <v>87</v>
      </c>
      <c r="F639" s="2" t="s">
        <v>1571</v>
      </c>
      <c r="G639" s="2" t="s">
        <v>1572</v>
      </c>
      <c r="H639" s="2" t="s">
        <v>24</v>
      </c>
      <c r="I639" s="2" t="s">
        <v>25</v>
      </c>
      <c r="J639" s="2" t="s">
        <v>2240</v>
      </c>
      <c r="K639" s="2" t="s">
        <v>27</v>
      </c>
      <c r="L639" s="2" t="s">
        <v>28</v>
      </c>
      <c r="M639" s="2" t="s">
        <v>1755</v>
      </c>
      <c r="N639" s="2" t="s">
        <v>30</v>
      </c>
      <c r="O639" s="2" t="s">
        <v>56</v>
      </c>
      <c r="P639" s="2" t="s">
        <v>1756</v>
      </c>
      <c r="Q639" s="2">
        <v>191.82</v>
      </c>
      <c r="R639" s="2">
        <v>3</v>
      </c>
      <c r="S639" s="2">
        <v>74.809799999999996</v>
      </c>
      <c r="T639" s="2" t="s">
        <v>123</v>
      </c>
      <c r="U639" s="2" t="s">
        <v>96</v>
      </c>
    </row>
    <row r="640" spans="1:21" ht="14.25" customHeight="1" x14ac:dyDescent="0.3">
      <c r="A640" s="2" t="s">
        <v>2241</v>
      </c>
      <c r="B640" s="5">
        <v>42264</v>
      </c>
      <c r="C640" s="2" t="str">
        <f>TEXT(data[[#This Row],[Order Date]],"YYYY")</f>
        <v>2015</v>
      </c>
      <c r="D640" s="2">
        <v>42268</v>
      </c>
      <c r="E640" s="2" t="s">
        <v>39</v>
      </c>
      <c r="F640" s="2" t="s">
        <v>215</v>
      </c>
      <c r="G640" s="2" t="s">
        <v>216</v>
      </c>
      <c r="H640" s="2" t="s">
        <v>100</v>
      </c>
      <c r="I640" s="2" t="s">
        <v>25</v>
      </c>
      <c r="J640" s="2" t="s">
        <v>173</v>
      </c>
      <c r="K640" s="2" t="s">
        <v>120</v>
      </c>
      <c r="L640" s="2" t="s">
        <v>67</v>
      </c>
      <c r="M640" s="2" t="s">
        <v>922</v>
      </c>
      <c r="N640" s="2" t="s">
        <v>30</v>
      </c>
      <c r="O640" s="2" t="s">
        <v>45</v>
      </c>
      <c r="P640" s="2" t="s">
        <v>923</v>
      </c>
      <c r="Q640" s="2">
        <v>344.22</v>
      </c>
      <c r="R640" s="2">
        <v>2</v>
      </c>
      <c r="S640" s="2">
        <v>-103.26600000000001</v>
      </c>
      <c r="T640" s="2" t="s">
        <v>83</v>
      </c>
      <c r="U640" s="2" t="s">
        <v>77</v>
      </c>
    </row>
    <row r="641" spans="1:21" ht="14.25" customHeight="1" x14ac:dyDescent="0.3">
      <c r="A641" s="2" t="s">
        <v>2242</v>
      </c>
      <c r="B641" s="5">
        <v>42605</v>
      </c>
      <c r="C641" s="2" t="str">
        <f>TEXT(data[[#This Row],[Order Date]],"YYYY")</f>
        <v>2016</v>
      </c>
      <c r="D641" s="2">
        <v>42612</v>
      </c>
      <c r="E641" s="2" t="s">
        <v>39</v>
      </c>
      <c r="F641" s="2" t="s">
        <v>1144</v>
      </c>
      <c r="G641" s="2" t="s">
        <v>1145</v>
      </c>
      <c r="H641" s="2" t="s">
        <v>100</v>
      </c>
      <c r="I641" s="2" t="s">
        <v>25</v>
      </c>
      <c r="J641" s="2" t="s">
        <v>2243</v>
      </c>
      <c r="K641" s="2" t="s">
        <v>92</v>
      </c>
      <c r="L641" s="2" t="s">
        <v>93</v>
      </c>
      <c r="M641" s="2" t="s">
        <v>1542</v>
      </c>
      <c r="N641" s="2" t="s">
        <v>30</v>
      </c>
      <c r="O641" s="2" t="s">
        <v>56</v>
      </c>
      <c r="P641" s="2" t="s">
        <v>1543</v>
      </c>
      <c r="Q641" s="2">
        <v>22.608000000000001</v>
      </c>
      <c r="R641" s="2">
        <v>3</v>
      </c>
      <c r="S641" s="2">
        <v>-10.1736</v>
      </c>
      <c r="T641" s="2" t="s">
        <v>47</v>
      </c>
      <c r="U641" s="2" t="s">
        <v>253</v>
      </c>
    </row>
    <row r="642" spans="1:21" ht="14.25" customHeight="1" x14ac:dyDescent="0.3">
      <c r="A642" s="2" t="s">
        <v>2244</v>
      </c>
      <c r="B642" s="5">
        <v>42316</v>
      </c>
      <c r="C642" s="2" t="str">
        <f>TEXT(data[[#This Row],[Order Date]],"YYYY")</f>
        <v>2015</v>
      </c>
      <c r="D642" s="2">
        <v>42322</v>
      </c>
      <c r="E642" s="2" t="s">
        <v>39</v>
      </c>
      <c r="F642" s="2" t="s">
        <v>507</v>
      </c>
      <c r="G642" s="2" t="s">
        <v>508</v>
      </c>
      <c r="H642" s="2" t="s">
        <v>24</v>
      </c>
      <c r="I642" s="2" t="s">
        <v>25</v>
      </c>
      <c r="J642" s="2" t="s">
        <v>2245</v>
      </c>
      <c r="K642" s="2" t="s">
        <v>76</v>
      </c>
      <c r="L642" s="2" t="s">
        <v>54</v>
      </c>
      <c r="M642" s="2" t="s">
        <v>830</v>
      </c>
      <c r="N642" s="2" t="s">
        <v>30</v>
      </c>
      <c r="O642" s="2" t="s">
        <v>56</v>
      </c>
      <c r="P642" s="2" t="s">
        <v>831</v>
      </c>
      <c r="Q642" s="2">
        <v>66.69</v>
      </c>
      <c r="R642" s="2">
        <v>3</v>
      </c>
      <c r="S642" s="2">
        <v>22.0077</v>
      </c>
      <c r="T642" s="2" t="s">
        <v>129</v>
      </c>
      <c r="U642" s="2" t="s">
        <v>34</v>
      </c>
    </row>
    <row r="643" spans="1:21" ht="14.25" customHeight="1" x14ac:dyDescent="0.3">
      <c r="A643" s="2" t="s">
        <v>2246</v>
      </c>
      <c r="B643" s="5">
        <v>43056</v>
      </c>
      <c r="C643" s="2" t="str">
        <f>TEXT(data[[#This Row],[Order Date]],"YYYY")</f>
        <v>2017</v>
      </c>
      <c r="D643" s="2">
        <v>43062</v>
      </c>
      <c r="E643" s="2" t="s">
        <v>39</v>
      </c>
      <c r="F643" s="2" t="s">
        <v>2247</v>
      </c>
      <c r="G643" s="2" t="s">
        <v>2248</v>
      </c>
      <c r="H643" s="2" t="s">
        <v>24</v>
      </c>
      <c r="I643" s="2" t="s">
        <v>25</v>
      </c>
      <c r="J643" s="2" t="s">
        <v>2249</v>
      </c>
      <c r="K643" s="2" t="s">
        <v>92</v>
      </c>
      <c r="L643" s="2" t="s">
        <v>93</v>
      </c>
      <c r="M643" s="2" t="s">
        <v>1775</v>
      </c>
      <c r="N643" s="2" t="s">
        <v>30</v>
      </c>
      <c r="O643" s="2" t="s">
        <v>31</v>
      </c>
      <c r="P643" s="2" t="s">
        <v>1776</v>
      </c>
      <c r="Q643" s="2">
        <v>327.7328</v>
      </c>
      <c r="R643" s="2">
        <v>2</v>
      </c>
      <c r="S643" s="2">
        <v>-14.4588</v>
      </c>
      <c r="T643" s="2" t="s">
        <v>129</v>
      </c>
      <c r="U643" s="2" t="s">
        <v>34</v>
      </c>
    </row>
    <row r="644" spans="1:21" ht="14.25" customHeight="1" x14ac:dyDescent="0.3">
      <c r="A644" s="2" t="s">
        <v>2250</v>
      </c>
      <c r="B644" s="5">
        <v>42847</v>
      </c>
      <c r="C644" s="2" t="str">
        <f>TEXT(data[[#This Row],[Order Date]],"YYYY")</f>
        <v>2017</v>
      </c>
      <c r="D644" s="2">
        <v>42851</v>
      </c>
      <c r="E644" s="2" t="s">
        <v>39</v>
      </c>
      <c r="F644" s="2" t="s">
        <v>659</v>
      </c>
      <c r="G644" s="2" t="s">
        <v>660</v>
      </c>
      <c r="H644" s="2" t="s">
        <v>100</v>
      </c>
      <c r="I644" s="2" t="s">
        <v>25</v>
      </c>
      <c r="J644" s="2" t="s">
        <v>65</v>
      </c>
      <c r="K644" s="2" t="s">
        <v>66</v>
      </c>
      <c r="L644" s="2" t="s">
        <v>67</v>
      </c>
      <c r="M644" s="2" t="s">
        <v>1391</v>
      </c>
      <c r="N644" s="2" t="s">
        <v>30</v>
      </c>
      <c r="O644" s="2" t="s">
        <v>56</v>
      </c>
      <c r="P644" s="2" t="s">
        <v>1392</v>
      </c>
      <c r="Q644" s="2">
        <v>254.352</v>
      </c>
      <c r="R644" s="2">
        <v>3</v>
      </c>
      <c r="S644" s="2">
        <v>0</v>
      </c>
      <c r="T644" s="2" t="s">
        <v>83</v>
      </c>
      <c r="U644" s="2" t="s">
        <v>113</v>
      </c>
    </row>
    <row r="645" spans="1:21" ht="14.25" customHeight="1" x14ac:dyDescent="0.3">
      <c r="A645" s="2" t="s">
        <v>2251</v>
      </c>
      <c r="B645" s="5">
        <v>43086</v>
      </c>
      <c r="C645" s="2" t="str">
        <f>TEXT(data[[#This Row],[Order Date]],"YYYY")</f>
        <v>2017</v>
      </c>
      <c r="D645" s="2">
        <v>43090</v>
      </c>
      <c r="E645" s="2" t="s">
        <v>39</v>
      </c>
      <c r="F645" s="2" t="s">
        <v>1334</v>
      </c>
      <c r="G645" s="2" t="s">
        <v>1335</v>
      </c>
      <c r="H645" s="2" t="s">
        <v>24</v>
      </c>
      <c r="I645" s="2" t="s">
        <v>25</v>
      </c>
      <c r="J645" s="2" t="s">
        <v>2120</v>
      </c>
      <c r="K645" s="2" t="s">
        <v>716</v>
      </c>
      <c r="L645" s="2" t="s">
        <v>28</v>
      </c>
      <c r="M645" s="2" t="s">
        <v>1186</v>
      </c>
      <c r="N645" s="2" t="s">
        <v>30</v>
      </c>
      <c r="O645" s="2" t="s">
        <v>36</v>
      </c>
      <c r="P645" s="2" t="s">
        <v>1187</v>
      </c>
      <c r="Q645" s="2">
        <v>504.9</v>
      </c>
      <c r="R645" s="2">
        <v>5</v>
      </c>
      <c r="S645" s="2">
        <v>80.784000000000006</v>
      </c>
      <c r="T645" s="2" t="s">
        <v>83</v>
      </c>
      <c r="U645" s="2" t="s">
        <v>96</v>
      </c>
    </row>
    <row r="646" spans="1:21" ht="14.25" customHeight="1" x14ac:dyDescent="0.3">
      <c r="A646" s="2" t="s">
        <v>2252</v>
      </c>
      <c r="B646" s="5">
        <v>42268</v>
      </c>
      <c r="C646" s="2" t="str">
        <f>TEXT(data[[#This Row],[Order Date]],"YYYY")</f>
        <v>2015</v>
      </c>
      <c r="D646" s="2">
        <v>42274</v>
      </c>
      <c r="E646" s="2" t="s">
        <v>39</v>
      </c>
      <c r="F646" s="2" t="s">
        <v>2253</v>
      </c>
      <c r="G646" s="2" t="s">
        <v>2254</v>
      </c>
      <c r="H646" s="2" t="s">
        <v>90</v>
      </c>
      <c r="I646" s="2" t="s">
        <v>25</v>
      </c>
      <c r="J646" s="2" t="s">
        <v>2255</v>
      </c>
      <c r="K646" s="2" t="s">
        <v>289</v>
      </c>
      <c r="L646" s="2" t="s">
        <v>93</v>
      </c>
      <c r="M646" s="2" t="s">
        <v>1603</v>
      </c>
      <c r="N646" s="2" t="s">
        <v>30</v>
      </c>
      <c r="O646" s="2" t="s">
        <v>31</v>
      </c>
      <c r="P646" s="2" t="s">
        <v>1604</v>
      </c>
      <c r="Q646" s="2">
        <v>194.32</v>
      </c>
      <c r="R646" s="2">
        <v>4</v>
      </c>
      <c r="S646" s="2">
        <v>31.091200000000001</v>
      </c>
      <c r="T646" s="2" t="s">
        <v>129</v>
      </c>
      <c r="U646" s="2" t="s">
        <v>77</v>
      </c>
    </row>
    <row r="647" spans="1:21" ht="14.25" customHeight="1" x14ac:dyDescent="0.3">
      <c r="A647" s="2" t="s">
        <v>2256</v>
      </c>
      <c r="B647" s="5">
        <v>42695</v>
      </c>
      <c r="C647" s="2" t="str">
        <f>TEXT(data[[#This Row],[Order Date]],"YYYY")</f>
        <v>2016</v>
      </c>
      <c r="D647" s="2">
        <v>42700</v>
      </c>
      <c r="E647" s="2" t="s">
        <v>39</v>
      </c>
      <c r="F647" s="2" t="s">
        <v>2257</v>
      </c>
      <c r="G647" s="2" t="s">
        <v>2258</v>
      </c>
      <c r="H647" s="2" t="s">
        <v>24</v>
      </c>
      <c r="I647" s="2" t="s">
        <v>25</v>
      </c>
      <c r="J647" s="2" t="s">
        <v>2259</v>
      </c>
      <c r="K647" s="2" t="s">
        <v>1517</v>
      </c>
      <c r="L647" s="2" t="s">
        <v>54</v>
      </c>
      <c r="M647" s="2" t="s">
        <v>1656</v>
      </c>
      <c r="N647" s="2" t="s">
        <v>30</v>
      </c>
      <c r="O647" s="2" t="s">
        <v>36</v>
      </c>
      <c r="P647" s="2" t="s">
        <v>1657</v>
      </c>
      <c r="Q647" s="2">
        <v>195.136</v>
      </c>
      <c r="R647" s="2">
        <v>4</v>
      </c>
      <c r="S647" s="2">
        <v>-12.196</v>
      </c>
      <c r="T647" s="2" t="s">
        <v>58</v>
      </c>
      <c r="U647" s="2" t="s">
        <v>34</v>
      </c>
    </row>
    <row r="648" spans="1:21" ht="14.25" customHeight="1" x14ac:dyDescent="0.3">
      <c r="A648" s="2" t="s">
        <v>2260</v>
      </c>
      <c r="B648" s="5">
        <v>42166</v>
      </c>
      <c r="C648" s="2" t="str">
        <f>TEXT(data[[#This Row],[Order Date]],"YYYY")</f>
        <v>2015</v>
      </c>
      <c r="D648" s="2">
        <v>42171</v>
      </c>
      <c r="E648" s="2" t="s">
        <v>39</v>
      </c>
      <c r="F648" s="2" t="s">
        <v>1060</v>
      </c>
      <c r="G648" s="2" t="s">
        <v>1061</v>
      </c>
      <c r="H648" s="2" t="s">
        <v>24</v>
      </c>
      <c r="I648" s="2" t="s">
        <v>25</v>
      </c>
      <c r="J648" s="2" t="s">
        <v>1035</v>
      </c>
      <c r="K648" s="2" t="s">
        <v>1406</v>
      </c>
      <c r="L648" s="2" t="s">
        <v>28</v>
      </c>
      <c r="M648" s="2" t="s">
        <v>2261</v>
      </c>
      <c r="N648" s="2" t="s">
        <v>30</v>
      </c>
      <c r="O648" s="2" t="s">
        <v>56</v>
      </c>
      <c r="P648" s="2" t="s">
        <v>2262</v>
      </c>
      <c r="Q648" s="2">
        <v>29.16</v>
      </c>
      <c r="R648" s="2">
        <v>2</v>
      </c>
      <c r="S648" s="2">
        <v>10.789199999999999</v>
      </c>
      <c r="T648" s="2" t="s">
        <v>58</v>
      </c>
      <c r="U648" s="2" t="s">
        <v>59</v>
      </c>
    </row>
    <row r="649" spans="1:21" ht="14.25" customHeight="1" x14ac:dyDescent="0.3">
      <c r="A649" s="2" t="s">
        <v>2263</v>
      </c>
      <c r="B649" s="5">
        <v>43011</v>
      </c>
      <c r="C649" s="2" t="str">
        <f>TEXT(data[[#This Row],[Order Date]],"YYYY")</f>
        <v>2017</v>
      </c>
      <c r="D649" s="2">
        <v>43016</v>
      </c>
      <c r="E649" s="2" t="s">
        <v>39</v>
      </c>
      <c r="F649" s="2" t="s">
        <v>2264</v>
      </c>
      <c r="G649" s="2" t="s">
        <v>2265</v>
      </c>
      <c r="H649" s="2" t="s">
        <v>90</v>
      </c>
      <c r="I649" s="2" t="s">
        <v>25</v>
      </c>
      <c r="J649" s="2" t="s">
        <v>1185</v>
      </c>
      <c r="K649" s="2" t="s">
        <v>53</v>
      </c>
      <c r="L649" s="2" t="s">
        <v>54</v>
      </c>
      <c r="M649" s="2" t="s">
        <v>907</v>
      </c>
      <c r="N649" s="2" t="s">
        <v>30</v>
      </c>
      <c r="O649" s="2" t="s">
        <v>45</v>
      </c>
      <c r="P649" s="2" t="s">
        <v>908</v>
      </c>
      <c r="Q649" s="2">
        <v>171.28800000000001</v>
      </c>
      <c r="R649" s="2">
        <v>3</v>
      </c>
      <c r="S649" s="2">
        <v>-6.4233000000000002</v>
      </c>
      <c r="T649" s="2" t="s">
        <v>58</v>
      </c>
      <c r="U649" s="2" t="s">
        <v>48</v>
      </c>
    </row>
    <row r="650" spans="1:21" ht="14.25" customHeight="1" x14ac:dyDescent="0.3">
      <c r="A650" s="2" t="s">
        <v>2266</v>
      </c>
      <c r="B650" s="5">
        <v>42495</v>
      </c>
      <c r="C650" s="2" t="str">
        <f>TEXT(data[[#This Row],[Order Date]],"YYYY")</f>
        <v>2016</v>
      </c>
      <c r="D650" s="2">
        <v>42499</v>
      </c>
      <c r="E650" s="2" t="s">
        <v>39</v>
      </c>
      <c r="F650" s="2" t="s">
        <v>2267</v>
      </c>
      <c r="G650" s="2" t="s">
        <v>2268</v>
      </c>
      <c r="H650" s="2" t="s">
        <v>24</v>
      </c>
      <c r="I650" s="2" t="s">
        <v>25</v>
      </c>
      <c r="J650" s="2" t="s">
        <v>2269</v>
      </c>
      <c r="K650" s="2" t="s">
        <v>141</v>
      </c>
      <c r="L650" s="2" t="s">
        <v>28</v>
      </c>
      <c r="M650" s="2" t="s">
        <v>1311</v>
      </c>
      <c r="N650" s="2" t="s">
        <v>30</v>
      </c>
      <c r="O650" s="2" t="s">
        <v>56</v>
      </c>
      <c r="P650" s="2" t="s">
        <v>1312</v>
      </c>
      <c r="Q650" s="2">
        <v>16.72</v>
      </c>
      <c r="R650" s="2">
        <v>5</v>
      </c>
      <c r="S650" s="2">
        <v>3.3439999999999999</v>
      </c>
      <c r="T650" s="2" t="s">
        <v>83</v>
      </c>
      <c r="U650" s="2" t="s">
        <v>161</v>
      </c>
    </row>
    <row r="651" spans="1:21" ht="14.25" customHeight="1" x14ac:dyDescent="0.3">
      <c r="A651" s="2" t="s">
        <v>2270</v>
      </c>
      <c r="B651" s="5">
        <v>42989</v>
      </c>
      <c r="C651" s="2" t="str">
        <f>TEXT(data[[#This Row],[Order Date]],"YYYY")</f>
        <v>2017</v>
      </c>
      <c r="D651" s="2">
        <v>42990</v>
      </c>
      <c r="E651" s="2" t="s">
        <v>425</v>
      </c>
      <c r="F651" s="2" t="s">
        <v>2271</v>
      </c>
      <c r="G651" s="2" t="s">
        <v>2272</v>
      </c>
      <c r="H651" s="2" t="s">
        <v>100</v>
      </c>
      <c r="I651" s="2" t="s">
        <v>25</v>
      </c>
      <c r="J651" s="2" t="s">
        <v>730</v>
      </c>
      <c r="K651" s="2" t="s">
        <v>53</v>
      </c>
      <c r="L651" s="2" t="s">
        <v>54</v>
      </c>
      <c r="M651" s="2" t="s">
        <v>2273</v>
      </c>
      <c r="N651" s="2" t="s">
        <v>30</v>
      </c>
      <c r="O651" s="2" t="s">
        <v>36</v>
      </c>
      <c r="P651" s="2" t="s">
        <v>2274</v>
      </c>
      <c r="Q651" s="2">
        <v>2054.2719999999999</v>
      </c>
      <c r="R651" s="2">
        <v>8</v>
      </c>
      <c r="S651" s="2">
        <v>256.78399999999999</v>
      </c>
      <c r="T651" s="2" t="s">
        <v>123</v>
      </c>
      <c r="U651" s="2" t="s">
        <v>77</v>
      </c>
    </row>
    <row r="652" spans="1:21" ht="14.25" customHeight="1" x14ac:dyDescent="0.3">
      <c r="A652" s="2" t="s">
        <v>2275</v>
      </c>
      <c r="B652" s="5">
        <v>42827</v>
      </c>
      <c r="C652" s="2" t="str">
        <f>TEXT(data[[#This Row],[Order Date]],"YYYY")</f>
        <v>2017</v>
      </c>
      <c r="D652" s="2">
        <v>42829</v>
      </c>
      <c r="E652" s="2" t="s">
        <v>87</v>
      </c>
      <c r="F652" s="2" t="s">
        <v>2276</v>
      </c>
      <c r="G652" s="2" t="s">
        <v>2277</v>
      </c>
      <c r="H652" s="2" t="s">
        <v>100</v>
      </c>
      <c r="I652" s="2" t="s">
        <v>25</v>
      </c>
      <c r="J652" s="2" t="s">
        <v>347</v>
      </c>
      <c r="K652" s="2" t="s">
        <v>667</v>
      </c>
      <c r="L652" s="2" t="s">
        <v>28</v>
      </c>
      <c r="M652" s="2" t="s">
        <v>212</v>
      </c>
      <c r="N652" s="2" t="s">
        <v>30</v>
      </c>
      <c r="O652" s="2" t="s">
        <v>45</v>
      </c>
      <c r="P652" s="2" t="s">
        <v>213</v>
      </c>
      <c r="Q652" s="2">
        <v>411.8</v>
      </c>
      <c r="R652" s="2">
        <v>2</v>
      </c>
      <c r="S652" s="2">
        <v>70.006</v>
      </c>
      <c r="T652" s="2" t="s">
        <v>70</v>
      </c>
      <c r="U652" s="2" t="s">
        <v>113</v>
      </c>
    </row>
    <row r="653" spans="1:21" ht="14.25" customHeight="1" x14ac:dyDescent="0.3">
      <c r="A653" s="2" t="s">
        <v>2278</v>
      </c>
      <c r="B653" s="5">
        <v>43014</v>
      </c>
      <c r="C653" s="2" t="str">
        <f>TEXT(data[[#This Row],[Order Date]],"YYYY")</f>
        <v>2017</v>
      </c>
      <c r="D653" s="2">
        <v>43019</v>
      </c>
      <c r="E653" s="2" t="s">
        <v>39</v>
      </c>
      <c r="F653" s="2" t="s">
        <v>345</v>
      </c>
      <c r="G653" s="2" t="s">
        <v>346</v>
      </c>
      <c r="H653" s="2" t="s">
        <v>100</v>
      </c>
      <c r="I653" s="2" t="s">
        <v>25</v>
      </c>
      <c r="J653" s="2" t="s">
        <v>2279</v>
      </c>
      <c r="K653" s="2" t="s">
        <v>2280</v>
      </c>
      <c r="L653" s="2" t="s">
        <v>54</v>
      </c>
      <c r="M653" s="2" t="s">
        <v>2281</v>
      </c>
      <c r="N653" s="2" t="s">
        <v>30</v>
      </c>
      <c r="O653" s="2" t="s">
        <v>56</v>
      </c>
      <c r="P653" s="2" t="s">
        <v>2282</v>
      </c>
      <c r="Q653" s="2">
        <v>41.96</v>
      </c>
      <c r="R653" s="2">
        <v>2</v>
      </c>
      <c r="S653" s="2">
        <v>2.9371999999999998</v>
      </c>
      <c r="T653" s="2" t="s">
        <v>58</v>
      </c>
      <c r="U653" s="2" t="s">
        <v>48</v>
      </c>
    </row>
    <row r="654" spans="1:21" ht="14.25" customHeight="1" x14ac:dyDescent="0.3">
      <c r="A654" s="2" t="s">
        <v>2283</v>
      </c>
      <c r="B654" s="5">
        <v>43027</v>
      </c>
      <c r="C654" s="2" t="str">
        <f>TEXT(data[[#This Row],[Order Date]],"YYYY")</f>
        <v>2017</v>
      </c>
      <c r="D654" s="2">
        <v>43032</v>
      </c>
      <c r="E654" s="2" t="s">
        <v>21</v>
      </c>
      <c r="F654" s="2" t="s">
        <v>2284</v>
      </c>
      <c r="G654" s="2" t="s">
        <v>2285</v>
      </c>
      <c r="H654" s="2" t="s">
        <v>90</v>
      </c>
      <c r="I654" s="2" t="s">
        <v>25</v>
      </c>
      <c r="J654" s="2" t="s">
        <v>328</v>
      </c>
      <c r="K654" s="2" t="s">
        <v>53</v>
      </c>
      <c r="L654" s="2" t="s">
        <v>54</v>
      </c>
      <c r="M654" s="2" t="s">
        <v>870</v>
      </c>
      <c r="N654" s="2" t="s">
        <v>30</v>
      </c>
      <c r="O654" s="2" t="s">
        <v>56</v>
      </c>
      <c r="P654" s="2" t="s">
        <v>871</v>
      </c>
      <c r="Q654" s="2">
        <v>30.56</v>
      </c>
      <c r="R654" s="2">
        <v>2</v>
      </c>
      <c r="S654" s="2">
        <v>10.3904</v>
      </c>
      <c r="T654" s="2" t="s">
        <v>58</v>
      </c>
      <c r="U654" s="2" t="s">
        <v>48</v>
      </c>
    </row>
    <row r="655" spans="1:21" ht="14.25" customHeight="1" x14ac:dyDescent="0.3">
      <c r="A655" s="2" t="s">
        <v>2283</v>
      </c>
      <c r="B655" s="5">
        <v>43027</v>
      </c>
      <c r="C655" s="2" t="str">
        <f>TEXT(data[[#This Row],[Order Date]],"YYYY")</f>
        <v>2017</v>
      </c>
      <c r="D655" s="2">
        <v>43032</v>
      </c>
      <c r="E655" s="2" t="s">
        <v>21</v>
      </c>
      <c r="F655" s="2" t="s">
        <v>2284</v>
      </c>
      <c r="G655" s="2" t="s">
        <v>2285</v>
      </c>
      <c r="H655" s="2" t="s">
        <v>90</v>
      </c>
      <c r="I655" s="2" t="s">
        <v>25</v>
      </c>
      <c r="J655" s="2" t="s">
        <v>328</v>
      </c>
      <c r="K655" s="2" t="s">
        <v>53</v>
      </c>
      <c r="L655" s="2" t="s">
        <v>54</v>
      </c>
      <c r="M655" s="2" t="s">
        <v>2286</v>
      </c>
      <c r="N655" s="2" t="s">
        <v>30</v>
      </c>
      <c r="O655" s="2" t="s">
        <v>45</v>
      </c>
      <c r="P655" s="2" t="s">
        <v>2287</v>
      </c>
      <c r="Q655" s="2">
        <v>24.367999999999999</v>
      </c>
      <c r="R655" s="2">
        <v>2</v>
      </c>
      <c r="S655" s="2">
        <v>-3.3506</v>
      </c>
      <c r="T655" s="2" t="s">
        <v>58</v>
      </c>
      <c r="U655" s="2" t="s">
        <v>48</v>
      </c>
    </row>
    <row r="656" spans="1:21" ht="14.25" customHeight="1" x14ac:dyDescent="0.3">
      <c r="A656" s="2" t="s">
        <v>2288</v>
      </c>
      <c r="B656" s="5">
        <v>41960</v>
      </c>
      <c r="C656" s="2" t="str">
        <f>TEXT(data[[#This Row],[Order Date]],"YYYY")</f>
        <v>2014</v>
      </c>
      <c r="D656" s="2">
        <v>41965</v>
      </c>
      <c r="E656" s="2" t="s">
        <v>39</v>
      </c>
      <c r="F656" s="2" t="s">
        <v>2289</v>
      </c>
      <c r="G656" s="2" t="s">
        <v>2290</v>
      </c>
      <c r="H656" s="2" t="s">
        <v>90</v>
      </c>
      <c r="I656" s="2" t="s">
        <v>25</v>
      </c>
      <c r="J656" s="2" t="s">
        <v>230</v>
      </c>
      <c r="K656" s="2" t="s">
        <v>200</v>
      </c>
      <c r="L656" s="2" t="s">
        <v>67</v>
      </c>
      <c r="M656" s="2" t="s">
        <v>2291</v>
      </c>
      <c r="N656" s="2" t="s">
        <v>30</v>
      </c>
      <c r="O656" s="2" t="s">
        <v>56</v>
      </c>
      <c r="P656" s="2" t="s">
        <v>2292</v>
      </c>
      <c r="Q656" s="2">
        <v>124.41</v>
      </c>
      <c r="R656" s="2">
        <v>3</v>
      </c>
      <c r="S656" s="2">
        <v>14.9292</v>
      </c>
      <c r="T656" s="2" t="s">
        <v>58</v>
      </c>
      <c r="U656" s="2" t="s">
        <v>34</v>
      </c>
    </row>
    <row r="657" spans="1:21" ht="14.25" customHeight="1" x14ac:dyDescent="0.3">
      <c r="A657" s="2" t="s">
        <v>2293</v>
      </c>
      <c r="B657" s="5">
        <v>42280</v>
      </c>
      <c r="C657" s="2" t="str">
        <f>TEXT(data[[#This Row],[Order Date]],"YYYY")</f>
        <v>2015</v>
      </c>
      <c r="D657" s="2">
        <v>42285</v>
      </c>
      <c r="E657" s="2" t="s">
        <v>39</v>
      </c>
      <c r="F657" s="2" t="s">
        <v>263</v>
      </c>
      <c r="G657" s="2" t="s">
        <v>264</v>
      </c>
      <c r="H657" s="2" t="s">
        <v>24</v>
      </c>
      <c r="I657" s="2" t="s">
        <v>25</v>
      </c>
      <c r="J657" s="2" t="s">
        <v>52</v>
      </c>
      <c r="K657" s="2" t="s">
        <v>53</v>
      </c>
      <c r="L657" s="2" t="s">
        <v>54</v>
      </c>
      <c r="M657" s="2" t="s">
        <v>810</v>
      </c>
      <c r="N657" s="2" t="s">
        <v>30</v>
      </c>
      <c r="O657" s="2" t="s">
        <v>31</v>
      </c>
      <c r="P657" s="2" t="s">
        <v>811</v>
      </c>
      <c r="Q657" s="2">
        <v>120.666</v>
      </c>
      <c r="R657" s="2">
        <v>2</v>
      </c>
      <c r="S657" s="2">
        <v>18.454799999999999</v>
      </c>
      <c r="T657" s="2" t="s">
        <v>58</v>
      </c>
      <c r="U657" s="2" t="s">
        <v>48</v>
      </c>
    </row>
    <row r="658" spans="1:21" ht="14.25" customHeight="1" x14ac:dyDescent="0.3">
      <c r="A658" s="2" t="s">
        <v>2294</v>
      </c>
      <c r="B658" s="5">
        <v>41840</v>
      </c>
      <c r="C658" s="2" t="str">
        <f>TEXT(data[[#This Row],[Order Date]],"YYYY")</f>
        <v>2014</v>
      </c>
      <c r="D658" s="2">
        <v>41844</v>
      </c>
      <c r="E658" s="2" t="s">
        <v>39</v>
      </c>
      <c r="F658" s="2" t="s">
        <v>2295</v>
      </c>
      <c r="G658" s="2" t="s">
        <v>2296</v>
      </c>
      <c r="H658" s="2" t="s">
        <v>100</v>
      </c>
      <c r="I658" s="2" t="s">
        <v>25</v>
      </c>
      <c r="J658" s="2" t="s">
        <v>1739</v>
      </c>
      <c r="K658" s="2" t="s">
        <v>92</v>
      </c>
      <c r="L658" s="2" t="s">
        <v>93</v>
      </c>
      <c r="M658" s="2" t="s">
        <v>1147</v>
      </c>
      <c r="N658" s="2" t="s">
        <v>30</v>
      </c>
      <c r="O658" s="2" t="s">
        <v>56</v>
      </c>
      <c r="P658" s="2" t="s">
        <v>1148</v>
      </c>
      <c r="Q658" s="2">
        <v>16.739999999999998</v>
      </c>
      <c r="R658" s="2">
        <v>5</v>
      </c>
      <c r="S658" s="2">
        <v>-14.228999999999999</v>
      </c>
      <c r="T658" s="2" t="s">
        <v>83</v>
      </c>
      <c r="U658" s="2" t="s">
        <v>71</v>
      </c>
    </row>
    <row r="659" spans="1:21" ht="14.25" customHeight="1" x14ac:dyDescent="0.3">
      <c r="A659" s="2" t="s">
        <v>2294</v>
      </c>
      <c r="B659" s="5">
        <v>41840</v>
      </c>
      <c r="C659" s="2" t="str">
        <f>TEXT(data[[#This Row],[Order Date]],"YYYY")</f>
        <v>2014</v>
      </c>
      <c r="D659" s="2">
        <v>41844</v>
      </c>
      <c r="E659" s="2" t="s">
        <v>39</v>
      </c>
      <c r="F659" s="2" t="s">
        <v>2295</v>
      </c>
      <c r="G659" s="2" t="s">
        <v>2296</v>
      </c>
      <c r="H659" s="2" t="s">
        <v>100</v>
      </c>
      <c r="I659" s="2" t="s">
        <v>25</v>
      </c>
      <c r="J659" s="2" t="s">
        <v>1739</v>
      </c>
      <c r="K659" s="2" t="s">
        <v>92</v>
      </c>
      <c r="L659" s="2" t="s">
        <v>93</v>
      </c>
      <c r="M659" s="2" t="s">
        <v>601</v>
      </c>
      <c r="N659" s="2" t="s">
        <v>30</v>
      </c>
      <c r="O659" s="2" t="s">
        <v>36</v>
      </c>
      <c r="P659" s="2" t="s">
        <v>602</v>
      </c>
      <c r="Q659" s="2">
        <v>981.37199999999996</v>
      </c>
      <c r="R659" s="2">
        <v>2</v>
      </c>
      <c r="S659" s="2">
        <v>-140.196</v>
      </c>
      <c r="T659" s="2" t="s">
        <v>83</v>
      </c>
      <c r="U659" s="2" t="s">
        <v>71</v>
      </c>
    </row>
    <row r="660" spans="1:21" ht="14.25" customHeight="1" x14ac:dyDescent="0.3">
      <c r="A660" s="2" t="s">
        <v>2297</v>
      </c>
      <c r="B660" s="5">
        <v>42775</v>
      </c>
      <c r="C660" s="2" t="str">
        <f>TEXT(data[[#This Row],[Order Date]],"YYYY")</f>
        <v>2017</v>
      </c>
      <c r="D660" s="2">
        <v>42780</v>
      </c>
      <c r="E660" s="2" t="s">
        <v>39</v>
      </c>
      <c r="F660" s="2" t="s">
        <v>2298</v>
      </c>
      <c r="G660" s="2" t="s">
        <v>2299</v>
      </c>
      <c r="H660" s="2" t="s">
        <v>24</v>
      </c>
      <c r="I660" s="2" t="s">
        <v>25</v>
      </c>
      <c r="J660" s="2" t="s">
        <v>101</v>
      </c>
      <c r="K660" s="2" t="s">
        <v>92</v>
      </c>
      <c r="L660" s="2" t="s">
        <v>93</v>
      </c>
      <c r="M660" s="2" t="s">
        <v>2237</v>
      </c>
      <c r="N660" s="2" t="s">
        <v>30</v>
      </c>
      <c r="O660" s="2" t="s">
        <v>56</v>
      </c>
      <c r="P660" s="2" t="s">
        <v>2238</v>
      </c>
      <c r="Q660" s="2">
        <v>3.984</v>
      </c>
      <c r="R660" s="2">
        <v>2</v>
      </c>
      <c r="S660" s="2">
        <v>-2.6892</v>
      </c>
      <c r="T660" s="2" t="s">
        <v>58</v>
      </c>
      <c r="U660" s="2" t="s">
        <v>297</v>
      </c>
    </row>
    <row r="661" spans="1:21" ht="14.25" customHeight="1" x14ac:dyDescent="0.3">
      <c r="A661" s="2" t="s">
        <v>2300</v>
      </c>
      <c r="B661" s="5">
        <v>42825</v>
      </c>
      <c r="C661" s="2" t="str">
        <f>TEXT(data[[#This Row],[Order Date]],"YYYY")</f>
        <v>2017</v>
      </c>
      <c r="D661" s="2">
        <v>42827</v>
      </c>
      <c r="E661" s="2" t="s">
        <v>21</v>
      </c>
      <c r="F661" s="2" t="s">
        <v>2301</v>
      </c>
      <c r="G661" s="2" t="s">
        <v>2302</v>
      </c>
      <c r="H661" s="2" t="s">
        <v>100</v>
      </c>
      <c r="I661" s="2" t="s">
        <v>25</v>
      </c>
      <c r="J661" s="2" t="s">
        <v>26</v>
      </c>
      <c r="K661" s="2" t="s">
        <v>27</v>
      </c>
      <c r="L661" s="2" t="s">
        <v>28</v>
      </c>
      <c r="M661" s="2" t="s">
        <v>1482</v>
      </c>
      <c r="N661" s="2" t="s">
        <v>30</v>
      </c>
      <c r="O661" s="2" t="s">
        <v>56</v>
      </c>
      <c r="P661" s="2" t="s">
        <v>1483</v>
      </c>
      <c r="Q661" s="2">
        <v>61</v>
      </c>
      <c r="R661" s="2">
        <v>5</v>
      </c>
      <c r="S661" s="2">
        <v>25.62</v>
      </c>
      <c r="T661" s="2" t="s">
        <v>70</v>
      </c>
      <c r="U661" s="2" t="s">
        <v>195</v>
      </c>
    </row>
    <row r="662" spans="1:21" ht="14.25" customHeight="1" x14ac:dyDescent="0.3">
      <c r="A662" s="2" t="s">
        <v>2303</v>
      </c>
      <c r="B662" s="5">
        <v>42852</v>
      </c>
      <c r="C662" s="2" t="str">
        <f>TEXT(data[[#This Row],[Order Date]],"YYYY")</f>
        <v>2017</v>
      </c>
      <c r="D662" s="2">
        <v>42856</v>
      </c>
      <c r="E662" s="2" t="s">
        <v>39</v>
      </c>
      <c r="F662" s="2" t="s">
        <v>184</v>
      </c>
      <c r="G662" s="2" t="s">
        <v>185</v>
      </c>
      <c r="H662" s="2" t="s">
        <v>90</v>
      </c>
      <c r="I662" s="2" t="s">
        <v>25</v>
      </c>
      <c r="J662" s="2" t="s">
        <v>595</v>
      </c>
      <c r="K662" s="2" t="s">
        <v>92</v>
      </c>
      <c r="L662" s="2" t="s">
        <v>93</v>
      </c>
      <c r="M662" s="2" t="s">
        <v>415</v>
      </c>
      <c r="N662" s="2" t="s">
        <v>30</v>
      </c>
      <c r="O662" s="2" t="s">
        <v>31</v>
      </c>
      <c r="P662" s="2" t="s">
        <v>416</v>
      </c>
      <c r="Q662" s="2">
        <v>220.26560000000001</v>
      </c>
      <c r="R662" s="2">
        <v>4</v>
      </c>
      <c r="S662" s="2">
        <v>-42.1096</v>
      </c>
      <c r="T662" s="2" t="s">
        <v>83</v>
      </c>
      <c r="U662" s="2" t="s">
        <v>113</v>
      </c>
    </row>
    <row r="663" spans="1:21" ht="14.25" customHeight="1" x14ac:dyDescent="0.3">
      <c r="A663" s="2" t="s">
        <v>2304</v>
      </c>
      <c r="B663" s="5">
        <v>42839</v>
      </c>
      <c r="C663" s="2" t="str">
        <f>TEXT(data[[#This Row],[Order Date]],"YYYY")</f>
        <v>2017</v>
      </c>
      <c r="D663" s="2">
        <v>42844</v>
      </c>
      <c r="E663" s="2" t="s">
        <v>39</v>
      </c>
      <c r="F663" s="2" t="s">
        <v>2305</v>
      </c>
      <c r="G663" s="2" t="s">
        <v>2306</v>
      </c>
      <c r="H663" s="2" t="s">
        <v>24</v>
      </c>
      <c r="I663" s="2" t="s">
        <v>25</v>
      </c>
      <c r="J663" s="2" t="s">
        <v>173</v>
      </c>
      <c r="K663" s="2" t="s">
        <v>120</v>
      </c>
      <c r="L663" s="2" t="s">
        <v>67</v>
      </c>
      <c r="M663" s="2" t="s">
        <v>898</v>
      </c>
      <c r="N663" s="2" t="s">
        <v>30</v>
      </c>
      <c r="O663" s="2" t="s">
        <v>31</v>
      </c>
      <c r="P663" s="2" t="s">
        <v>899</v>
      </c>
      <c r="Q663" s="2">
        <v>242.352</v>
      </c>
      <c r="R663" s="2">
        <v>3</v>
      </c>
      <c r="S663" s="2">
        <v>9.0882000000000005</v>
      </c>
      <c r="T663" s="2" t="s">
        <v>58</v>
      </c>
      <c r="U663" s="2" t="s">
        <v>113</v>
      </c>
    </row>
    <row r="664" spans="1:21" ht="14.25" customHeight="1" x14ac:dyDescent="0.3">
      <c r="A664" s="2" t="s">
        <v>2307</v>
      </c>
      <c r="B664" s="5">
        <v>43091</v>
      </c>
      <c r="C664" s="2" t="str">
        <f>TEXT(data[[#This Row],[Order Date]],"YYYY")</f>
        <v>2017</v>
      </c>
      <c r="D664" s="2">
        <v>43096</v>
      </c>
      <c r="E664" s="2" t="s">
        <v>21</v>
      </c>
      <c r="F664" s="2" t="s">
        <v>2308</v>
      </c>
      <c r="G664" s="2" t="s">
        <v>2309</v>
      </c>
      <c r="H664" s="2" t="s">
        <v>90</v>
      </c>
      <c r="I664" s="2" t="s">
        <v>25</v>
      </c>
      <c r="J664" s="2" t="s">
        <v>1644</v>
      </c>
      <c r="K664" s="2" t="s">
        <v>1645</v>
      </c>
      <c r="L664" s="2" t="s">
        <v>67</v>
      </c>
      <c r="M664" s="2" t="s">
        <v>2310</v>
      </c>
      <c r="N664" s="2" t="s">
        <v>30</v>
      </c>
      <c r="O664" s="2" t="s">
        <v>31</v>
      </c>
      <c r="P664" s="2" t="s">
        <v>2311</v>
      </c>
      <c r="Q664" s="2">
        <v>220.98</v>
      </c>
      <c r="R664" s="2">
        <v>1</v>
      </c>
      <c r="S664" s="2">
        <v>50.825400000000002</v>
      </c>
      <c r="T664" s="2" t="s">
        <v>58</v>
      </c>
      <c r="U664" s="2" t="s">
        <v>96</v>
      </c>
    </row>
    <row r="665" spans="1:21" ht="14.25" customHeight="1" x14ac:dyDescent="0.3">
      <c r="A665" s="2" t="s">
        <v>2312</v>
      </c>
      <c r="B665" s="5">
        <v>42605</v>
      </c>
      <c r="C665" s="2" t="str">
        <f>TEXT(data[[#This Row],[Order Date]],"YYYY")</f>
        <v>2016</v>
      </c>
      <c r="D665" s="2">
        <v>42612</v>
      </c>
      <c r="E665" s="2" t="s">
        <v>39</v>
      </c>
      <c r="F665" s="2" t="s">
        <v>2313</v>
      </c>
      <c r="G665" s="2" t="s">
        <v>2314</v>
      </c>
      <c r="H665" s="2" t="s">
        <v>24</v>
      </c>
      <c r="I665" s="2" t="s">
        <v>25</v>
      </c>
      <c r="J665" s="2" t="s">
        <v>191</v>
      </c>
      <c r="K665" s="2" t="s">
        <v>192</v>
      </c>
      <c r="L665" s="2" t="s">
        <v>54</v>
      </c>
      <c r="M665" s="2" t="s">
        <v>1164</v>
      </c>
      <c r="N665" s="2" t="s">
        <v>30</v>
      </c>
      <c r="O665" s="2" t="s">
        <v>36</v>
      </c>
      <c r="P665" s="2" t="s">
        <v>1165</v>
      </c>
      <c r="Q665" s="2">
        <v>532.70399999999995</v>
      </c>
      <c r="R665" s="2">
        <v>6</v>
      </c>
      <c r="S665" s="2">
        <v>-39.952800000000003</v>
      </c>
      <c r="T665" s="2" t="s">
        <v>47</v>
      </c>
      <c r="U665" s="2" t="s">
        <v>253</v>
      </c>
    </row>
    <row r="666" spans="1:21" ht="14.25" customHeight="1" x14ac:dyDescent="0.3">
      <c r="A666" s="2" t="s">
        <v>2315</v>
      </c>
      <c r="B666" s="5">
        <v>42166</v>
      </c>
      <c r="C666" s="2" t="str">
        <f>TEXT(data[[#This Row],[Order Date]],"YYYY")</f>
        <v>2015</v>
      </c>
      <c r="D666" s="2">
        <v>42167</v>
      </c>
      <c r="E666" s="2" t="s">
        <v>87</v>
      </c>
      <c r="F666" s="2" t="s">
        <v>2316</v>
      </c>
      <c r="G666" s="2" t="s">
        <v>2317</v>
      </c>
      <c r="H666" s="2" t="s">
        <v>90</v>
      </c>
      <c r="I666" s="2" t="s">
        <v>25</v>
      </c>
      <c r="J666" s="2" t="s">
        <v>574</v>
      </c>
      <c r="K666" s="2" t="s">
        <v>43</v>
      </c>
      <c r="L666" s="2" t="s">
        <v>28</v>
      </c>
      <c r="M666" s="2" t="s">
        <v>405</v>
      </c>
      <c r="N666" s="2" t="s">
        <v>30</v>
      </c>
      <c r="O666" s="2" t="s">
        <v>36</v>
      </c>
      <c r="P666" s="2" t="s">
        <v>406</v>
      </c>
      <c r="Q666" s="2">
        <v>1123.92</v>
      </c>
      <c r="R666" s="2">
        <v>5</v>
      </c>
      <c r="S666" s="2">
        <v>-182.637</v>
      </c>
      <c r="T666" s="2" t="s">
        <v>123</v>
      </c>
      <c r="U666" s="2" t="s">
        <v>59</v>
      </c>
    </row>
    <row r="667" spans="1:21" ht="14.25" customHeight="1" x14ac:dyDescent="0.3">
      <c r="A667" s="2" t="s">
        <v>2315</v>
      </c>
      <c r="B667" s="5">
        <v>42166</v>
      </c>
      <c r="C667" s="2" t="str">
        <f>TEXT(data[[#This Row],[Order Date]],"YYYY")</f>
        <v>2015</v>
      </c>
      <c r="D667" s="2">
        <v>42167</v>
      </c>
      <c r="E667" s="2" t="s">
        <v>87</v>
      </c>
      <c r="F667" s="2" t="s">
        <v>2316</v>
      </c>
      <c r="G667" s="2" t="s">
        <v>2317</v>
      </c>
      <c r="H667" s="2" t="s">
        <v>90</v>
      </c>
      <c r="I667" s="2" t="s">
        <v>25</v>
      </c>
      <c r="J667" s="2" t="s">
        <v>574</v>
      </c>
      <c r="K667" s="2" t="s">
        <v>43</v>
      </c>
      <c r="L667" s="2" t="s">
        <v>28</v>
      </c>
      <c r="M667" s="2" t="s">
        <v>2318</v>
      </c>
      <c r="N667" s="2" t="s">
        <v>30</v>
      </c>
      <c r="O667" s="2" t="s">
        <v>56</v>
      </c>
      <c r="P667" s="2" t="s">
        <v>2319</v>
      </c>
      <c r="Q667" s="2">
        <v>48.671999999999997</v>
      </c>
      <c r="R667" s="2">
        <v>3</v>
      </c>
      <c r="S667" s="2">
        <v>7.3007999999999997</v>
      </c>
      <c r="T667" s="2" t="s">
        <v>123</v>
      </c>
      <c r="U667" s="2" t="s">
        <v>59</v>
      </c>
    </row>
    <row r="668" spans="1:21" ht="14.25" customHeight="1" x14ac:dyDescent="0.3">
      <c r="A668" s="2" t="s">
        <v>2320</v>
      </c>
      <c r="B668" s="5">
        <v>41989</v>
      </c>
      <c r="C668" s="2" t="str">
        <f>TEXT(data[[#This Row],[Order Date]],"YYYY")</f>
        <v>2014</v>
      </c>
      <c r="D668" s="2">
        <v>41990</v>
      </c>
      <c r="E668" s="2" t="s">
        <v>87</v>
      </c>
      <c r="F668" s="2" t="s">
        <v>2321</v>
      </c>
      <c r="G668" s="2" t="s">
        <v>2322</v>
      </c>
      <c r="H668" s="2" t="s">
        <v>100</v>
      </c>
      <c r="I668" s="2" t="s">
        <v>25</v>
      </c>
      <c r="J668" s="2" t="s">
        <v>52</v>
      </c>
      <c r="K668" s="2" t="s">
        <v>53</v>
      </c>
      <c r="L668" s="2" t="s">
        <v>54</v>
      </c>
      <c r="M668" s="2" t="s">
        <v>830</v>
      </c>
      <c r="N668" s="2" t="s">
        <v>30</v>
      </c>
      <c r="O668" s="2" t="s">
        <v>56</v>
      </c>
      <c r="P668" s="2" t="s">
        <v>831</v>
      </c>
      <c r="Q668" s="2">
        <v>44.46</v>
      </c>
      <c r="R668" s="2">
        <v>2</v>
      </c>
      <c r="S668" s="2">
        <v>14.671799999999999</v>
      </c>
      <c r="T668" s="2" t="s">
        <v>123</v>
      </c>
      <c r="U668" s="2" t="s">
        <v>96</v>
      </c>
    </row>
    <row r="669" spans="1:21" ht="14.25" customHeight="1" x14ac:dyDescent="0.3">
      <c r="A669" s="2" t="s">
        <v>2320</v>
      </c>
      <c r="B669" s="5">
        <v>41989</v>
      </c>
      <c r="C669" s="2" t="str">
        <f>TEXT(data[[#This Row],[Order Date]],"YYYY")</f>
        <v>2014</v>
      </c>
      <c r="D669" s="2">
        <v>41990</v>
      </c>
      <c r="E669" s="2" t="s">
        <v>87</v>
      </c>
      <c r="F669" s="2" t="s">
        <v>2321</v>
      </c>
      <c r="G669" s="2" t="s">
        <v>2322</v>
      </c>
      <c r="H669" s="2" t="s">
        <v>100</v>
      </c>
      <c r="I669" s="2" t="s">
        <v>25</v>
      </c>
      <c r="J669" s="2" t="s">
        <v>52</v>
      </c>
      <c r="K669" s="2" t="s">
        <v>53</v>
      </c>
      <c r="L669" s="2" t="s">
        <v>54</v>
      </c>
      <c r="M669" s="2" t="s">
        <v>394</v>
      </c>
      <c r="N669" s="2" t="s">
        <v>30</v>
      </c>
      <c r="O669" s="2" t="s">
        <v>36</v>
      </c>
      <c r="P669" s="2" t="s">
        <v>395</v>
      </c>
      <c r="Q669" s="2">
        <v>241.56800000000001</v>
      </c>
      <c r="R669" s="2">
        <v>2</v>
      </c>
      <c r="S669" s="2">
        <v>18.117599999999999</v>
      </c>
      <c r="T669" s="2" t="s">
        <v>123</v>
      </c>
      <c r="U669" s="2" t="s">
        <v>96</v>
      </c>
    </row>
    <row r="670" spans="1:21" ht="14.25" customHeight="1" x14ac:dyDescent="0.3">
      <c r="A670" s="2" t="s">
        <v>2323</v>
      </c>
      <c r="B670" s="5">
        <v>41875</v>
      </c>
      <c r="C670" s="2" t="str">
        <f>TEXT(data[[#This Row],[Order Date]],"YYYY")</f>
        <v>2014</v>
      </c>
      <c r="D670" s="2">
        <v>41877</v>
      </c>
      <c r="E670" s="2" t="s">
        <v>87</v>
      </c>
      <c r="F670" s="2" t="s">
        <v>2324</v>
      </c>
      <c r="G670" s="2" t="s">
        <v>2325</v>
      </c>
      <c r="H670" s="2" t="s">
        <v>90</v>
      </c>
      <c r="I670" s="2" t="s">
        <v>25</v>
      </c>
      <c r="J670" s="2" t="s">
        <v>761</v>
      </c>
      <c r="K670" s="2" t="s">
        <v>120</v>
      </c>
      <c r="L670" s="2" t="s">
        <v>67</v>
      </c>
      <c r="M670" s="2" t="s">
        <v>2326</v>
      </c>
      <c r="N670" s="2" t="s">
        <v>30</v>
      </c>
      <c r="O670" s="2" t="s">
        <v>56</v>
      </c>
      <c r="P670" s="2" t="s">
        <v>2327</v>
      </c>
      <c r="Q670" s="2">
        <v>13.28</v>
      </c>
      <c r="R670" s="2">
        <v>2</v>
      </c>
      <c r="S670" s="2">
        <v>6.3743999999999996</v>
      </c>
      <c r="T670" s="2" t="s">
        <v>70</v>
      </c>
      <c r="U670" s="2" t="s">
        <v>253</v>
      </c>
    </row>
    <row r="671" spans="1:21" ht="14.25" customHeight="1" x14ac:dyDescent="0.3">
      <c r="A671" s="2" t="s">
        <v>2328</v>
      </c>
      <c r="B671" s="5">
        <v>43051</v>
      </c>
      <c r="C671" s="2" t="str">
        <f>TEXT(data[[#This Row],[Order Date]],"YYYY")</f>
        <v>2017</v>
      </c>
      <c r="D671" s="2">
        <v>43057</v>
      </c>
      <c r="E671" s="2" t="s">
        <v>39</v>
      </c>
      <c r="F671" s="2" t="s">
        <v>215</v>
      </c>
      <c r="G671" s="2" t="s">
        <v>216</v>
      </c>
      <c r="H671" s="2" t="s">
        <v>100</v>
      </c>
      <c r="I671" s="2" t="s">
        <v>25</v>
      </c>
      <c r="J671" s="2" t="s">
        <v>1739</v>
      </c>
      <c r="K671" s="2" t="s">
        <v>92</v>
      </c>
      <c r="L671" s="2" t="s">
        <v>93</v>
      </c>
      <c r="M671" s="2" t="s">
        <v>383</v>
      </c>
      <c r="N671" s="2" t="s">
        <v>30</v>
      </c>
      <c r="O671" s="2" t="s">
        <v>56</v>
      </c>
      <c r="P671" s="2" t="s">
        <v>384</v>
      </c>
      <c r="Q671" s="2">
        <v>22.847999999999999</v>
      </c>
      <c r="R671" s="2">
        <v>3</v>
      </c>
      <c r="S671" s="2">
        <v>-17.7072</v>
      </c>
      <c r="T671" s="2" t="s">
        <v>129</v>
      </c>
      <c r="U671" s="2" t="s">
        <v>34</v>
      </c>
    </row>
    <row r="672" spans="1:21" ht="14.25" customHeight="1" x14ac:dyDescent="0.3">
      <c r="A672" s="2" t="s">
        <v>2329</v>
      </c>
      <c r="B672" s="5">
        <v>42618</v>
      </c>
      <c r="C672" s="2" t="str">
        <f>TEXT(data[[#This Row],[Order Date]],"YYYY")</f>
        <v>2016</v>
      </c>
      <c r="D672" s="2">
        <v>42624</v>
      </c>
      <c r="E672" s="2" t="s">
        <v>39</v>
      </c>
      <c r="F672" s="2" t="s">
        <v>680</v>
      </c>
      <c r="G672" s="2" t="s">
        <v>681</v>
      </c>
      <c r="H672" s="2" t="s">
        <v>90</v>
      </c>
      <c r="I672" s="2" t="s">
        <v>25</v>
      </c>
      <c r="J672" s="2" t="s">
        <v>2330</v>
      </c>
      <c r="K672" s="2" t="s">
        <v>92</v>
      </c>
      <c r="L672" s="2" t="s">
        <v>93</v>
      </c>
      <c r="M672" s="2" t="s">
        <v>590</v>
      </c>
      <c r="N672" s="2" t="s">
        <v>30</v>
      </c>
      <c r="O672" s="2" t="s">
        <v>36</v>
      </c>
      <c r="P672" s="2" t="s">
        <v>591</v>
      </c>
      <c r="Q672" s="2">
        <v>347.80200000000002</v>
      </c>
      <c r="R672" s="2">
        <v>7</v>
      </c>
      <c r="S672" s="2">
        <v>-24.843</v>
      </c>
      <c r="T672" s="2" t="s">
        <v>129</v>
      </c>
      <c r="U672" s="2" t="s">
        <v>77</v>
      </c>
    </row>
    <row r="673" spans="1:21" ht="14.25" customHeight="1" x14ac:dyDescent="0.3">
      <c r="A673" s="2" t="s">
        <v>2331</v>
      </c>
      <c r="B673" s="5">
        <v>42777</v>
      </c>
      <c r="C673" s="2" t="str">
        <f>TEXT(data[[#This Row],[Order Date]],"YYYY")</f>
        <v>2017</v>
      </c>
      <c r="D673" s="2">
        <v>42779</v>
      </c>
      <c r="E673" s="2" t="s">
        <v>21</v>
      </c>
      <c r="F673" s="2" t="s">
        <v>2332</v>
      </c>
      <c r="G673" s="2" t="s">
        <v>2333</v>
      </c>
      <c r="H673" s="2" t="s">
        <v>90</v>
      </c>
      <c r="I673" s="2" t="s">
        <v>25</v>
      </c>
      <c r="J673" s="2" t="s">
        <v>191</v>
      </c>
      <c r="K673" s="2" t="s">
        <v>192</v>
      </c>
      <c r="L673" s="2" t="s">
        <v>54</v>
      </c>
      <c r="M673" s="2" t="s">
        <v>2334</v>
      </c>
      <c r="N673" s="2" t="s">
        <v>30</v>
      </c>
      <c r="O673" s="2" t="s">
        <v>36</v>
      </c>
      <c r="P673" s="2" t="s">
        <v>2335</v>
      </c>
      <c r="Q673" s="2">
        <v>963.13599999999997</v>
      </c>
      <c r="R673" s="2">
        <v>4</v>
      </c>
      <c r="S673" s="2">
        <v>108.3528</v>
      </c>
      <c r="T673" s="2" t="s">
        <v>70</v>
      </c>
      <c r="U673" s="2" t="s">
        <v>297</v>
      </c>
    </row>
    <row r="674" spans="1:21" ht="14.25" customHeight="1" x14ac:dyDescent="0.3">
      <c r="A674" s="2" t="s">
        <v>2336</v>
      </c>
      <c r="B674" s="5">
        <v>42353</v>
      </c>
      <c r="C674" s="2" t="str">
        <f>TEXT(data[[#This Row],[Order Date]],"YYYY")</f>
        <v>2015</v>
      </c>
      <c r="D674" s="2">
        <v>42356</v>
      </c>
      <c r="E674" s="2" t="s">
        <v>87</v>
      </c>
      <c r="F674" s="2" t="s">
        <v>475</v>
      </c>
      <c r="G674" s="2" t="s">
        <v>476</v>
      </c>
      <c r="H674" s="2" t="s">
        <v>24</v>
      </c>
      <c r="I674" s="2" t="s">
        <v>25</v>
      </c>
      <c r="J674" s="2" t="s">
        <v>230</v>
      </c>
      <c r="K674" s="2" t="s">
        <v>231</v>
      </c>
      <c r="L674" s="2" t="s">
        <v>67</v>
      </c>
      <c r="M674" s="2" t="s">
        <v>354</v>
      </c>
      <c r="N674" s="2" t="s">
        <v>30</v>
      </c>
      <c r="O674" s="2" t="s">
        <v>56</v>
      </c>
      <c r="P674" s="2" t="s">
        <v>355</v>
      </c>
      <c r="Q674" s="2">
        <v>262.86399999999998</v>
      </c>
      <c r="R674" s="2">
        <v>7</v>
      </c>
      <c r="S674" s="2">
        <v>69.001800000000003</v>
      </c>
      <c r="T674" s="2" t="s">
        <v>33</v>
      </c>
      <c r="U674" s="2" t="s">
        <v>96</v>
      </c>
    </row>
    <row r="675" spans="1:21" ht="14.25" customHeight="1" x14ac:dyDescent="0.3">
      <c r="A675" s="2" t="s">
        <v>2337</v>
      </c>
      <c r="B675" s="5">
        <v>42240</v>
      </c>
      <c r="C675" s="2" t="str">
        <f>TEXT(data[[#This Row],[Order Date]],"YYYY")</f>
        <v>2015</v>
      </c>
      <c r="D675" s="2">
        <v>42244</v>
      </c>
      <c r="E675" s="2" t="s">
        <v>39</v>
      </c>
      <c r="F675" s="2" t="s">
        <v>1943</v>
      </c>
      <c r="G675" s="2" t="s">
        <v>1944</v>
      </c>
      <c r="H675" s="2" t="s">
        <v>90</v>
      </c>
      <c r="I675" s="2" t="s">
        <v>25</v>
      </c>
      <c r="J675" s="2" t="s">
        <v>173</v>
      </c>
      <c r="K675" s="2" t="s">
        <v>120</v>
      </c>
      <c r="L675" s="2" t="s">
        <v>67</v>
      </c>
      <c r="M675" s="2" t="s">
        <v>60</v>
      </c>
      <c r="N675" s="2" t="s">
        <v>30</v>
      </c>
      <c r="O675" s="2" t="s">
        <v>45</v>
      </c>
      <c r="P675" s="2" t="s">
        <v>61</v>
      </c>
      <c r="Q675" s="2">
        <v>284.36399999999998</v>
      </c>
      <c r="R675" s="2">
        <v>2</v>
      </c>
      <c r="S675" s="2">
        <v>-75.830399999999997</v>
      </c>
      <c r="T675" s="2" t="s">
        <v>83</v>
      </c>
      <c r="U675" s="2" t="s">
        <v>253</v>
      </c>
    </row>
    <row r="676" spans="1:21" ht="14.25" customHeight="1" x14ac:dyDescent="0.3">
      <c r="A676" s="2" t="s">
        <v>2338</v>
      </c>
      <c r="B676" s="5">
        <v>42672</v>
      </c>
      <c r="C676" s="2" t="str">
        <f>TEXT(data[[#This Row],[Order Date]],"YYYY")</f>
        <v>2016</v>
      </c>
      <c r="D676" s="2">
        <v>42674</v>
      </c>
      <c r="E676" s="2" t="s">
        <v>87</v>
      </c>
      <c r="F676" s="2" t="s">
        <v>418</v>
      </c>
      <c r="G676" s="2" t="s">
        <v>419</v>
      </c>
      <c r="H676" s="2" t="s">
        <v>24</v>
      </c>
      <c r="I676" s="2" t="s">
        <v>25</v>
      </c>
      <c r="J676" s="2" t="s">
        <v>1707</v>
      </c>
      <c r="K676" s="2" t="s">
        <v>289</v>
      </c>
      <c r="L676" s="2" t="s">
        <v>93</v>
      </c>
      <c r="M676" s="2" t="s">
        <v>373</v>
      </c>
      <c r="N676" s="2" t="s">
        <v>30</v>
      </c>
      <c r="O676" s="2" t="s">
        <v>56</v>
      </c>
      <c r="P676" s="2" t="s">
        <v>374</v>
      </c>
      <c r="Q676" s="2">
        <v>67</v>
      </c>
      <c r="R676" s="2">
        <v>5</v>
      </c>
      <c r="S676" s="2">
        <v>32.159999999999997</v>
      </c>
      <c r="T676" s="2" t="s">
        <v>70</v>
      </c>
      <c r="U676" s="2" t="s">
        <v>48</v>
      </c>
    </row>
    <row r="677" spans="1:21" ht="14.25" customHeight="1" x14ac:dyDescent="0.3">
      <c r="A677" s="2" t="s">
        <v>2339</v>
      </c>
      <c r="B677" s="5">
        <v>42518</v>
      </c>
      <c r="C677" s="2" t="str">
        <f>TEXT(data[[#This Row],[Order Date]],"YYYY")</f>
        <v>2016</v>
      </c>
      <c r="D677" s="2">
        <v>42524</v>
      </c>
      <c r="E677" s="2" t="s">
        <v>39</v>
      </c>
      <c r="F677" s="2" t="s">
        <v>461</v>
      </c>
      <c r="G677" s="2" t="s">
        <v>462</v>
      </c>
      <c r="H677" s="2" t="s">
        <v>90</v>
      </c>
      <c r="I677" s="2" t="s">
        <v>25</v>
      </c>
      <c r="J677" s="2" t="s">
        <v>2340</v>
      </c>
      <c r="K677" s="2" t="s">
        <v>43</v>
      </c>
      <c r="L677" s="2" t="s">
        <v>28</v>
      </c>
      <c r="M677" s="2" t="s">
        <v>1656</v>
      </c>
      <c r="N677" s="2" t="s">
        <v>30</v>
      </c>
      <c r="O677" s="2" t="s">
        <v>36</v>
      </c>
      <c r="P677" s="2" t="s">
        <v>1657</v>
      </c>
      <c r="Q677" s="2">
        <v>390.27199999999999</v>
      </c>
      <c r="R677" s="2">
        <v>8</v>
      </c>
      <c r="S677" s="2">
        <v>-24.391999999999999</v>
      </c>
      <c r="T677" s="2" t="s">
        <v>129</v>
      </c>
      <c r="U677" s="2" t="s">
        <v>161</v>
      </c>
    </row>
    <row r="678" spans="1:21" ht="14.25" customHeight="1" x14ac:dyDescent="0.3">
      <c r="A678" s="2" t="s">
        <v>2341</v>
      </c>
      <c r="B678" s="5">
        <v>42450</v>
      </c>
      <c r="C678" s="2" t="str">
        <f>TEXT(data[[#This Row],[Order Date]],"YYYY")</f>
        <v>2016</v>
      </c>
      <c r="D678" s="2">
        <v>42457</v>
      </c>
      <c r="E678" s="2" t="s">
        <v>39</v>
      </c>
      <c r="F678" s="2" t="s">
        <v>1215</v>
      </c>
      <c r="G678" s="2" t="s">
        <v>1216</v>
      </c>
      <c r="H678" s="2" t="s">
        <v>24</v>
      </c>
      <c r="I678" s="2" t="s">
        <v>25</v>
      </c>
      <c r="J678" s="2" t="s">
        <v>133</v>
      </c>
      <c r="K678" s="2" t="s">
        <v>134</v>
      </c>
      <c r="L678" s="2" t="s">
        <v>93</v>
      </c>
      <c r="M678" s="2" t="s">
        <v>855</v>
      </c>
      <c r="N678" s="2" t="s">
        <v>30</v>
      </c>
      <c r="O678" s="2" t="s">
        <v>36</v>
      </c>
      <c r="P678" s="2" t="s">
        <v>856</v>
      </c>
      <c r="Q678" s="2">
        <v>528.42999999999995</v>
      </c>
      <c r="R678" s="2">
        <v>5</v>
      </c>
      <c r="S678" s="2">
        <v>0</v>
      </c>
      <c r="T678" s="2" t="s">
        <v>47</v>
      </c>
      <c r="U678" s="2" t="s">
        <v>195</v>
      </c>
    </row>
    <row r="679" spans="1:21" ht="14.25" customHeight="1" x14ac:dyDescent="0.3">
      <c r="A679" s="2" t="s">
        <v>2342</v>
      </c>
      <c r="B679" s="5">
        <v>43001</v>
      </c>
      <c r="C679" s="2" t="str">
        <f>TEXT(data[[#This Row],[Order Date]],"YYYY")</f>
        <v>2017</v>
      </c>
      <c r="D679" s="2">
        <v>43007</v>
      </c>
      <c r="E679" s="2" t="s">
        <v>39</v>
      </c>
      <c r="F679" s="2" t="s">
        <v>1065</v>
      </c>
      <c r="G679" s="2" t="s">
        <v>1066</v>
      </c>
      <c r="H679" s="2" t="s">
        <v>24</v>
      </c>
      <c r="I679" s="2" t="s">
        <v>25</v>
      </c>
      <c r="J679" s="2" t="s">
        <v>2343</v>
      </c>
      <c r="K679" s="2" t="s">
        <v>180</v>
      </c>
      <c r="L679" s="2" t="s">
        <v>54</v>
      </c>
      <c r="M679" s="2" t="s">
        <v>999</v>
      </c>
      <c r="N679" s="2" t="s">
        <v>30</v>
      </c>
      <c r="O679" s="2" t="s">
        <v>31</v>
      </c>
      <c r="P679" s="2" t="s">
        <v>1000</v>
      </c>
      <c r="Q679" s="2">
        <v>180.58799999999999</v>
      </c>
      <c r="R679" s="2">
        <v>2</v>
      </c>
      <c r="S679" s="2">
        <v>-240.78399999999999</v>
      </c>
      <c r="T679" s="2" t="s">
        <v>129</v>
      </c>
      <c r="U679" s="2" t="s">
        <v>77</v>
      </c>
    </row>
    <row r="680" spans="1:21" ht="14.25" customHeight="1" x14ac:dyDescent="0.3">
      <c r="A680" s="2" t="s">
        <v>2344</v>
      </c>
      <c r="B680" s="5">
        <v>43074</v>
      </c>
      <c r="C680" s="2" t="str">
        <f>TEXT(data[[#This Row],[Order Date]],"YYYY")</f>
        <v>2017</v>
      </c>
      <c r="D680" s="2">
        <v>43080</v>
      </c>
      <c r="E680" s="2" t="s">
        <v>39</v>
      </c>
      <c r="F680" s="2" t="s">
        <v>2345</v>
      </c>
      <c r="G680" s="2" t="s">
        <v>2346</v>
      </c>
      <c r="H680" s="2" t="s">
        <v>90</v>
      </c>
      <c r="I680" s="2" t="s">
        <v>25</v>
      </c>
      <c r="J680" s="2" t="s">
        <v>173</v>
      </c>
      <c r="K680" s="2" t="s">
        <v>120</v>
      </c>
      <c r="L680" s="2" t="s">
        <v>67</v>
      </c>
      <c r="M680" s="2" t="s">
        <v>55</v>
      </c>
      <c r="N680" s="2" t="s">
        <v>30</v>
      </c>
      <c r="O680" s="2" t="s">
        <v>56</v>
      </c>
      <c r="P680" s="2" t="s">
        <v>57</v>
      </c>
      <c r="Q680" s="2">
        <v>20.94</v>
      </c>
      <c r="R680" s="2">
        <v>3</v>
      </c>
      <c r="S680" s="2">
        <v>6.0726000000000004</v>
      </c>
      <c r="T680" s="2" t="s">
        <v>129</v>
      </c>
      <c r="U680" s="2" t="s">
        <v>96</v>
      </c>
    </row>
    <row r="681" spans="1:21" ht="14.25" customHeight="1" x14ac:dyDescent="0.3">
      <c r="A681" s="2" t="s">
        <v>2344</v>
      </c>
      <c r="B681" s="5">
        <v>43074</v>
      </c>
      <c r="C681" s="2" t="str">
        <f>TEXT(data[[#This Row],[Order Date]],"YYYY")</f>
        <v>2017</v>
      </c>
      <c r="D681" s="2">
        <v>43080</v>
      </c>
      <c r="E681" s="2" t="s">
        <v>39</v>
      </c>
      <c r="F681" s="2" t="s">
        <v>2345</v>
      </c>
      <c r="G681" s="2" t="s">
        <v>2346</v>
      </c>
      <c r="H681" s="2" t="s">
        <v>90</v>
      </c>
      <c r="I681" s="2" t="s">
        <v>25</v>
      </c>
      <c r="J681" s="2" t="s">
        <v>173</v>
      </c>
      <c r="K681" s="2" t="s">
        <v>120</v>
      </c>
      <c r="L681" s="2" t="s">
        <v>67</v>
      </c>
      <c r="M681" s="2" t="s">
        <v>232</v>
      </c>
      <c r="N681" s="2" t="s">
        <v>30</v>
      </c>
      <c r="O681" s="2" t="s">
        <v>56</v>
      </c>
      <c r="P681" s="2" t="s">
        <v>233</v>
      </c>
      <c r="Q681" s="2">
        <v>58.68</v>
      </c>
      <c r="R681" s="2">
        <v>2</v>
      </c>
      <c r="S681" s="2">
        <v>18.190799999999999</v>
      </c>
      <c r="T681" s="2" t="s">
        <v>129</v>
      </c>
      <c r="U681" s="2" t="s">
        <v>96</v>
      </c>
    </row>
    <row r="682" spans="1:21" ht="14.25" customHeight="1" x14ac:dyDescent="0.3">
      <c r="A682" s="2" t="s">
        <v>2347</v>
      </c>
      <c r="B682" s="5">
        <v>41777</v>
      </c>
      <c r="C682" s="2" t="str">
        <f>TEXT(data[[#This Row],[Order Date]],"YYYY")</f>
        <v>2014</v>
      </c>
      <c r="D682" s="2">
        <v>41779</v>
      </c>
      <c r="E682" s="2" t="s">
        <v>21</v>
      </c>
      <c r="F682" s="2" t="s">
        <v>2348</v>
      </c>
      <c r="G682" s="2" t="s">
        <v>2349</v>
      </c>
      <c r="H682" s="2" t="s">
        <v>24</v>
      </c>
      <c r="I682" s="2" t="s">
        <v>25</v>
      </c>
      <c r="J682" s="2" t="s">
        <v>505</v>
      </c>
      <c r="K682" s="2" t="s">
        <v>231</v>
      </c>
      <c r="L682" s="2" t="s">
        <v>67</v>
      </c>
      <c r="M682" s="2" t="s">
        <v>1796</v>
      </c>
      <c r="N682" s="2" t="s">
        <v>30</v>
      </c>
      <c r="O682" s="2" t="s">
        <v>56</v>
      </c>
      <c r="P682" s="2" t="s">
        <v>1797</v>
      </c>
      <c r="Q682" s="2">
        <v>149.232</v>
      </c>
      <c r="R682" s="2">
        <v>3</v>
      </c>
      <c r="S682" s="2">
        <v>3.7307999999999999</v>
      </c>
      <c r="T682" s="2" t="s">
        <v>70</v>
      </c>
      <c r="U682" s="2" t="s">
        <v>161</v>
      </c>
    </row>
    <row r="683" spans="1:21" ht="14.25" customHeight="1" x14ac:dyDescent="0.3">
      <c r="A683" s="2" t="s">
        <v>2350</v>
      </c>
      <c r="B683" s="5">
        <v>41953</v>
      </c>
      <c r="C683" s="2" t="str">
        <f>TEXT(data[[#This Row],[Order Date]],"YYYY")</f>
        <v>2014</v>
      </c>
      <c r="D683" s="2">
        <v>41959</v>
      </c>
      <c r="E683" s="2" t="s">
        <v>39</v>
      </c>
      <c r="F683" s="2" t="s">
        <v>2351</v>
      </c>
      <c r="G683" s="2" t="s">
        <v>2352</v>
      </c>
      <c r="H683" s="2" t="s">
        <v>24</v>
      </c>
      <c r="I683" s="2" t="s">
        <v>25</v>
      </c>
      <c r="J683" s="2" t="s">
        <v>639</v>
      </c>
      <c r="K683" s="2" t="s">
        <v>53</v>
      </c>
      <c r="L683" s="2" t="s">
        <v>54</v>
      </c>
      <c r="M683" s="2" t="s">
        <v>127</v>
      </c>
      <c r="N683" s="2" t="s">
        <v>30</v>
      </c>
      <c r="O683" s="2" t="s">
        <v>56</v>
      </c>
      <c r="P683" s="2" t="s">
        <v>128</v>
      </c>
      <c r="Q683" s="2">
        <v>39.880000000000003</v>
      </c>
      <c r="R683" s="2">
        <v>2</v>
      </c>
      <c r="S683" s="2">
        <v>11.166399999999999</v>
      </c>
      <c r="T683" s="2" t="s">
        <v>129</v>
      </c>
      <c r="U683" s="2" t="s">
        <v>34</v>
      </c>
    </row>
    <row r="684" spans="1:21" ht="14.25" customHeight="1" x14ac:dyDescent="0.3">
      <c r="A684" s="2" t="s">
        <v>2350</v>
      </c>
      <c r="B684" s="5">
        <v>41953</v>
      </c>
      <c r="C684" s="2" t="str">
        <f>TEXT(data[[#This Row],[Order Date]],"YYYY")</f>
        <v>2014</v>
      </c>
      <c r="D684" s="2">
        <v>41959</v>
      </c>
      <c r="E684" s="2" t="s">
        <v>39</v>
      </c>
      <c r="F684" s="2" t="s">
        <v>2351</v>
      </c>
      <c r="G684" s="2" t="s">
        <v>2352</v>
      </c>
      <c r="H684" s="2" t="s">
        <v>24</v>
      </c>
      <c r="I684" s="2" t="s">
        <v>25</v>
      </c>
      <c r="J684" s="2" t="s">
        <v>639</v>
      </c>
      <c r="K684" s="2" t="s">
        <v>53</v>
      </c>
      <c r="L684" s="2" t="s">
        <v>54</v>
      </c>
      <c r="M684" s="2" t="s">
        <v>1113</v>
      </c>
      <c r="N684" s="2" t="s">
        <v>30</v>
      </c>
      <c r="O684" s="2" t="s">
        <v>56</v>
      </c>
      <c r="P684" s="2" t="s">
        <v>1114</v>
      </c>
      <c r="Q684" s="2">
        <v>53.2</v>
      </c>
      <c r="R684" s="2">
        <v>5</v>
      </c>
      <c r="S684" s="2">
        <v>14.896000000000001</v>
      </c>
      <c r="T684" s="2" t="s">
        <v>129</v>
      </c>
      <c r="U684" s="2" t="s">
        <v>34</v>
      </c>
    </row>
    <row r="685" spans="1:21" ht="14.25" customHeight="1" x14ac:dyDescent="0.3">
      <c r="A685" s="2" t="s">
        <v>2353</v>
      </c>
      <c r="B685" s="5">
        <v>42979</v>
      </c>
      <c r="C685" s="2" t="str">
        <f>TEXT(data[[#This Row],[Order Date]],"YYYY")</f>
        <v>2017</v>
      </c>
      <c r="D685" s="2">
        <v>42983</v>
      </c>
      <c r="E685" s="2" t="s">
        <v>21</v>
      </c>
      <c r="F685" s="2" t="s">
        <v>1449</v>
      </c>
      <c r="G685" s="2" t="s">
        <v>1450</v>
      </c>
      <c r="H685" s="2" t="s">
        <v>24</v>
      </c>
      <c r="I685" s="2" t="s">
        <v>25</v>
      </c>
      <c r="J685" s="2" t="s">
        <v>173</v>
      </c>
      <c r="K685" s="2" t="s">
        <v>120</v>
      </c>
      <c r="L685" s="2" t="s">
        <v>67</v>
      </c>
      <c r="M685" s="2" t="s">
        <v>1192</v>
      </c>
      <c r="N685" s="2" t="s">
        <v>30</v>
      </c>
      <c r="O685" s="2" t="s">
        <v>56</v>
      </c>
      <c r="P685" s="2" t="s">
        <v>1193</v>
      </c>
      <c r="Q685" s="2">
        <v>114.9</v>
      </c>
      <c r="R685" s="2">
        <v>5</v>
      </c>
      <c r="S685" s="2">
        <v>39.066000000000003</v>
      </c>
      <c r="T685" s="2" t="s">
        <v>83</v>
      </c>
      <c r="U685" s="2" t="s">
        <v>77</v>
      </c>
    </row>
    <row r="686" spans="1:21" ht="14.25" customHeight="1" x14ac:dyDescent="0.3">
      <c r="A686" s="2" t="s">
        <v>2354</v>
      </c>
      <c r="B686" s="5">
        <v>42384</v>
      </c>
      <c r="C686" s="2" t="str">
        <f>TEXT(data[[#This Row],[Order Date]],"YYYY")</f>
        <v>2016</v>
      </c>
      <c r="D686" s="2">
        <v>42384</v>
      </c>
      <c r="E686" s="2" t="s">
        <v>425</v>
      </c>
      <c r="F686" s="2" t="s">
        <v>1183</v>
      </c>
      <c r="G686" s="2" t="s">
        <v>1184</v>
      </c>
      <c r="H686" s="2" t="s">
        <v>24</v>
      </c>
      <c r="I686" s="2" t="s">
        <v>25</v>
      </c>
      <c r="J686" s="2" t="s">
        <v>1580</v>
      </c>
      <c r="K686" s="2" t="s">
        <v>429</v>
      </c>
      <c r="L686" s="2" t="s">
        <v>67</v>
      </c>
      <c r="M686" s="2" t="s">
        <v>342</v>
      </c>
      <c r="N686" s="2" t="s">
        <v>30</v>
      </c>
      <c r="O686" s="2" t="s">
        <v>45</v>
      </c>
      <c r="P686" s="2" t="s">
        <v>343</v>
      </c>
      <c r="Q686" s="2">
        <v>181.797</v>
      </c>
      <c r="R686" s="2">
        <v>1</v>
      </c>
      <c r="S686" s="2">
        <v>-15.582599999999999</v>
      </c>
      <c r="T686" s="2" t="s">
        <v>430</v>
      </c>
      <c r="U686" s="2" t="s">
        <v>169</v>
      </c>
    </row>
    <row r="687" spans="1:21" ht="14.25" customHeight="1" x14ac:dyDescent="0.3">
      <c r="A687" s="2" t="s">
        <v>2355</v>
      </c>
      <c r="B687" s="5">
        <v>42694</v>
      </c>
      <c r="C687" s="2" t="str">
        <f>TEXT(data[[#This Row],[Order Date]],"YYYY")</f>
        <v>2016</v>
      </c>
      <c r="D687" s="2">
        <v>42701</v>
      </c>
      <c r="E687" s="2" t="s">
        <v>39</v>
      </c>
      <c r="F687" s="2" t="s">
        <v>2356</v>
      </c>
      <c r="G687" s="2" t="s">
        <v>2357</v>
      </c>
      <c r="H687" s="2" t="s">
        <v>90</v>
      </c>
      <c r="I687" s="2" t="s">
        <v>25</v>
      </c>
      <c r="J687" s="2" t="s">
        <v>101</v>
      </c>
      <c r="K687" s="2" t="s">
        <v>92</v>
      </c>
      <c r="L687" s="2" t="s">
        <v>93</v>
      </c>
      <c r="M687" s="2" t="s">
        <v>1617</v>
      </c>
      <c r="N687" s="2" t="s">
        <v>30</v>
      </c>
      <c r="O687" s="2" t="s">
        <v>36</v>
      </c>
      <c r="P687" s="2" t="s">
        <v>1618</v>
      </c>
      <c r="Q687" s="2">
        <v>318.43</v>
      </c>
      <c r="R687" s="2">
        <v>5</v>
      </c>
      <c r="S687" s="2">
        <v>-77.332999999999998</v>
      </c>
      <c r="T687" s="2" t="s">
        <v>47</v>
      </c>
      <c r="U687" s="2" t="s">
        <v>34</v>
      </c>
    </row>
    <row r="688" spans="1:21" ht="14.25" customHeight="1" x14ac:dyDescent="0.3">
      <c r="A688" s="2" t="s">
        <v>2355</v>
      </c>
      <c r="B688" s="5">
        <v>42694</v>
      </c>
      <c r="C688" s="2" t="str">
        <f>TEXT(data[[#This Row],[Order Date]],"YYYY")</f>
        <v>2016</v>
      </c>
      <c r="D688" s="2">
        <v>42701</v>
      </c>
      <c r="E688" s="2" t="s">
        <v>39</v>
      </c>
      <c r="F688" s="2" t="s">
        <v>2356</v>
      </c>
      <c r="G688" s="2" t="s">
        <v>2357</v>
      </c>
      <c r="H688" s="2" t="s">
        <v>90</v>
      </c>
      <c r="I688" s="2" t="s">
        <v>25</v>
      </c>
      <c r="J688" s="2" t="s">
        <v>101</v>
      </c>
      <c r="K688" s="2" t="s">
        <v>92</v>
      </c>
      <c r="L688" s="2" t="s">
        <v>93</v>
      </c>
      <c r="M688" s="2" t="s">
        <v>422</v>
      </c>
      <c r="N688" s="2" t="s">
        <v>30</v>
      </c>
      <c r="O688" s="2" t="s">
        <v>56</v>
      </c>
      <c r="P688" s="2" t="s">
        <v>423</v>
      </c>
      <c r="Q688" s="2">
        <v>7.0679999999999996</v>
      </c>
      <c r="R688" s="2">
        <v>3</v>
      </c>
      <c r="S688" s="2">
        <v>-2.8271999999999999</v>
      </c>
      <c r="T688" s="2" t="s">
        <v>47</v>
      </c>
      <c r="U688" s="2" t="s">
        <v>34</v>
      </c>
    </row>
    <row r="689" spans="1:21" ht="14.25" customHeight="1" x14ac:dyDescent="0.3">
      <c r="A689" s="2" t="s">
        <v>2358</v>
      </c>
      <c r="B689" s="5">
        <v>43070</v>
      </c>
      <c r="C689" s="2" t="str">
        <f>TEXT(data[[#This Row],[Order Date]],"YYYY")</f>
        <v>2017</v>
      </c>
      <c r="D689" s="2">
        <v>43074</v>
      </c>
      <c r="E689" s="2" t="s">
        <v>39</v>
      </c>
      <c r="F689" s="2" t="s">
        <v>2359</v>
      </c>
      <c r="G689" s="2" t="s">
        <v>2360</v>
      </c>
      <c r="H689" s="2" t="s">
        <v>24</v>
      </c>
      <c r="I689" s="2" t="s">
        <v>25</v>
      </c>
      <c r="J689" s="2" t="s">
        <v>1717</v>
      </c>
      <c r="K689" s="2" t="s">
        <v>92</v>
      </c>
      <c r="L689" s="2" t="s">
        <v>93</v>
      </c>
      <c r="M689" s="2" t="s">
        <v>394</v>
      </c>
      <c r="N689" s="2" t="s">
        <v>30</v>
      </c>
      <c r="O689" s="2" t="s">
        <v>36</v>
      </c>
      <c r="P689" s="2" t="s">
        <v>395</v>
      </c>
      <c r="Q689" s="2">
        <v>317.05799999999999</v>
      </c>
      <c r="R689" s="2">
        <v>3</v>
      </c>
      <c r="S689" s="2">
        <v>-18.117599999999999</v>
      </c>
      <c r="T689" s="2" t="s">
        <v>83</v>
      </c>
      <c r="U689" s="2" t="s">
        <v>96</v>
      </c>
    </row>
    <row r="690" spans="1:21" ht="14.25" customHeight="1" x14ac:dyDescent="0.3">
      <c r="A690" s="2" t="s">
        <v>2361</v>
      </c>
      <c r="B690" s="5">
        <v>42630</v>
      </c>
      <c r="C690" s="2" t="str">
        <f>TEXT(data[[#This Row],[Order Date]],"YYYY")</f>
        <v>2016</v>
      </c>
      <c r="D690" s="2">
        <v>42634</v>
      </c>
      <c r="E690" s="2" t="s">
        <v>39</v>
      </c>
      <c r="F690" s="2" t="s">
        <v>1782</v>
      </c>
      <c r="G690" s="2" t="s">
        <v>1783</v>
      </c>
      <c r="H690" s="2" t="s">
        <v>100</v>
      </c>
      <c r="I690" s="2" t="s">
        <v>25</v>
      </c>
      <c r="J690" s="2" t="s">
        <v>191</v>
      </c>
      <c r="K690" s="2" t="s">
        <v>192</v>
      </c>
      <c r="L690" s="2" t="s">
        <v>54</v>
      </c>
      <c r="M690" s="2" t="s">
        <v>2194</v>
      </c>
      <c r="N690" s="2" t="s">
        <v>30</v>
      </c>
      <c r="O690" s="2" t="s">
        <v>36</v>
      </c>
      <c r="P690" s="2" t="s">
        <v>2195</v>
      </c>
      <c r="Q690" s="2">
        <v>113.88800000000001</v>
      </c>
      <c r="R690" s="2">
        <v>2</v>
      </c>
      <c r="S690" s="2">
        <v>9.9651999999999994</v>
      </c>
      <c r="T690" s="2" t="s">
        <v>83</v>
      </c>
      <c r="U690" s="2" t="s">
        <v>77</v>
      </c>
    </row>
    <row r="691" spans="1:21" ht="14.25" customHeight="1" x14ac:dyDescent="0.3">
      <c r="A691" s="2" t="s">
        <v>2362</v>
      </c>
      <c r="B691" s="5">
        <v>42842</v>
      </c>
      <c r="C691" s="2" t="str">
        <f>TEXT(data[[#This Row],[Order Date]],"YYYY")</f>
        <v>2017</v>
      </c>
      <c r="D691" s="2">
        <v>42844</v>
      </c>
      <c r="E691" s="2" t="s">
        <v>87</v>
      </c>
      <c r="F691" s="2" t="s">
        <v>2363</v>
      </c>
      <c r="G691" s="2" t="s">
        <v>2364</v>
      </c>
      <c r="H691" s="2" t="s">
        <v>24</v>
      </c>
      <c r="I691" s="2" t="s">
        <v>25</v>
      </c>
      <c r="J691" s="2" t="s">
        <v>65</v>
      </c>
      <c r="K691" s="2" t="s">
        <v>66</v>
      </c>
      <c r="L691" s="2" t="s">
        <v>67</v>
      </c>
      <c r="M691" s="2" t="s">
        <v>1290</v>
      </c>
      <c r="N691" s="2" t="s">
        <v>30</v>
      </c>
      <c r="O691" s="2" t="s">
        <v>56</v>
      </c>
      <c r="P691" s="2" t="s">
        <v>1758</v>
      </c>
      <c r="Q691" s="2">
        <v>60.311999999999998</v>
      </c>
      <c r="R691" s="2">
        <v>3</v>
      </c>
      <c r="S691" s="2">
        <v>5.2773000000000003</v>
      </c>
      <c r="T691" s="2" t="s">
        <v>70</v>
      </c>
      <c r="U691" s="2" t="s">
        <v>113</v>
      </c>
    </row>
    <row r="692" spans="1:21" ht="14.25" customHeight="1" x14ac:dyDescent="0.3">
      <c r="A692" s="2" t="s">
        <v>2365</v>
      </c>
      <c r="B692" s="5">
        <v>42713</v>
      </c>
      <c r="C692" s="2" t="str">
        <f>TEXT(data[[#This Row],[Order Date]],"YYYY")</f>
        <v>2016</v>
      </c>
      <c r="D692" s="2">
        <v>42718</v>
      </c>
      <c r="E692" s="2" t="s">
        <v>21</v>
      </c>
      <c r="F692" s="2" t="s">
        <v>1304</v>
      </c>
      <c r="G692" s="2" t="s">
        <v>1305</v>
      </c>
      <c r="H692" s="2" t="s">
        <v>90</v>
      </c>
      <c r="I692" s="2" t="s">
        <v>25</v>
      </c>
      <c r="J692" s="2" t="s">
        <v>237</v>
      </c>
      <c r="K692" s="2" t="s">
        <v>141</v>
      </c>
      <c r="L692" s="2" t="s">
        <v>28</v>
      </c>
      <c r="M692" s="2" t="s">
        <v>1249</v>
      </c>
      <c r="N692" s="2" t="s">
        <v>30</v>
      </c>
      <c r="O692" s="2" t="s">
        <v>45</v>
      </c>
      <c r="P692" s="2" t="s">
        <v>1250</v>
      </c>
      <c r="Q692" s="2">
        <v>79.974000000000004</v>
      </c>
      <c r="R692" s="2">
        <v>3</v>
      </c>
      <c r="S692" s="2">
        <v>-29.323799999999999</v>
      </c>
      <c r="T692" s="2" t="s">
        <v>58</v>
      </c>
      <c r="U692" s="2" t="s">
        <v>96</v>
      </c>
    </row>
    <row r="693" spans="1:21" ht="14.25" customHeight="1" x14ac:dyDescent="0.3">
      <c r="A693" s="2" t="s">
        <v>2366</v>
      </c>
      <c r="B693" s="5">
        <v>42044</v>
      </c>
      <c r="C693" s="2" t="str">
        <f>TEXT(data[[#This Row],[Order Date]],"YYYY")</f>
        <v>2015</v>
      </c>
      <c r="D693" s="2">
        <v>42051</v>
      </c>
      <c r="E693" s="2" t="s">
        <v>39</v>
      </c>
      <c r="F693" s="2" t="s">
        <v>2359</v>
      </c>
      <c r="G693" s="2" t="s">
        <v>2360</v>
      </c>
      <c r="H693" s="2" t="s">
        <v>24</v>
      </c>
      <c r="I693" s="2" t="s">
        <v>25</v>
      </c>
      <c r="J693" s="2" t="s">
        <v>52</v>
      </c>
      <c r="K693" s="2" t="s">
        <v>53</v>
      </c>
      <c r="L693" s="2" t="s">
        <v>54</v>
      </c>
      <c r="M693" s="2" t="s">
        <v>68</v>
      </c>
      <c r="N693" s="2" t="s">
        <v>30</v>
      </c>
      <c r="O693" s="2" t="s">
        <v>36</v>
      </c>
      <c r="P693" s="2" t="s">
        <v>69</v>
      </c>
      <c r="Q693" s="2">
        <v>203.92</v>
      </c>
      <c r="R693" s="2">
        <v>5</v>
      </c>
      <c r="S693" s="2">
        <v>22.940999999999999</v>
      </c>
      <c r="T693" s="2" t="s">
        <v>47</v>
      </c>
      <c r="U693" s="2" t="s">
        <v>297</v>
      </c>
    </row>
    <row r="694" spans="1:21" ht="14.25" customHeight="1" x14ac:dyDescent="0.3">
      <c r="A694" s="2" t="s">
        <v>2367</v>
      </c>
      <c r="B694" s="5">
        <v>41912</v>
      </c>
      <c r="C694" s="2" t="str">
        <f>TEXT(data[[#This Row],[Order Date]],"YYYY")</f>
        <v>2014</v>
      </c>
      <c r="D694" s="2">
        <v>41918</v>
      </c>
      <c r="E694" s="2" t="s">
        <v>39</v>
      </c>
      <c r="F694" s="2" t="s">
        <v>770</v>
      </c>
      <c r="G694" s="2" t="s">
        <v>771</v>
      </c>
      <c r="H694" s="2" t="s">
        <v>90</v>
      </c>
      <c r="I694" s="2" t="s">
        <v>25</v>
      </c>
      <c r="J694" s="2" t="s">
        <v>173</v>
      </c>
      <c r="K694" s="2" t="s">
        <v>120</v>
      </c>
      <c r="L694" s="2" t="s">
        <v>67</v>
      </c>
      <c r="M694" s="2" t="s">
        <v>661</v>
      </c>
      <c r="N694" s="2" t="s">
        <v>30</v>
      </c>
      <c r="O694" s="2" t="s">
        <v>56</v>
      </c>
      <c r="P694" s="2" t="s">
        <v>662</v>
      </c>
      <c r="Q694" s="2">
        <v>15.24</v>
      </c>
      <c r="R694" s="2">
        <v>3</v>
      </c>
      <c r="S694" s="2">
        <v>5.1816000000000004</v>
      </c>
      <c r="T694" s="2" t="s">
        <v>129</v>
      </c>
      <c r="U694" s="2" t="s">
        <v>77</v>
      </c>
    </row>
    <row r="695" spans="1:21" ht="14.25" customHeight="1" x14ac:dyDescent="0.3">
      <c r="A695" s="2" t="s">
        <v>2368</v>
      </c>
      <c r="B695" s="5">
        <v>41999</v>
      </c>
      <c r="C695" s="2" t="str">
        <f>TEXT(data[[#This Row],[Order Date]],"YYYY")</f>
        <v>2014</v>
      </c>
      <c r="D695" s="2">
        <v>42003</v>
      </c>
      <c r="E695" s="2" t="s">
        <v>39</v>
      </c>
      <c r="F695" s="2" t="s">
        <v>1654</v>
      </c>
      <c r="G695" s="2" t="s">
        <v>1655</v>
      </c>
      <c r="H695" s="2" t="s">
        <v>24</v>
      </c>
      <c r="I695" s="2" t="s">
        <v>25</v>
      </c>
      <c r="J695" s="2" t="s">
        <v>639</v>
      </c>
      <c r="K695" s="2" t="s">
        <v>53</v>
      </c>
      <c r="L695" s="2" t="s">
        <v>54</v>
      </c>
      <c r="M695" s="2" t="s">
        <v>1071</v>
      </c>
      <c r="N695" s="2" t="s">
        <v>30</v>
      </c>
      <c r="O695" s="2" t="s">
        <v>56</v>
      </c>
      <c r="P695" s="2" t="s">
        <v>1072</v>
      </c>
      <c r="Q695" s="2">
        <v>3.48</v>
      </c>
      <c r="R695" s="2">
        <v>2</v>
      </c>
      <c r="S695" s="2">
        <v>1.1135999999999999</v>
      </c>
      <c r="T695" s="2" t="s">
        <v>83</v>
      </c>
      <c r="U695" s="2" t="s">
        <v>96</v>
      </c>
    </row>
    <row r="696" spans="1:21" ht="14.25" customHeight="1" x14ac:dyDescent="0.3">
      <c r="A696" s="2" t="s">
        <v>2369</v>
      </c>
      <c r="B696" s="5">
        <v>41961</v>
      </c>
      <c r="C696" s="2" t="str">
        <f>TEXT(data[[#This Row],[Order Date]],"YYYY")</f>
        <v>2014</v>
      </c>
      <c r="D696" s="2">
        <v>41965</v>
      </c>
      <c r="E696" s="2" t="s">
        <v>39</v>
      </c>
      <c r="F696" s="2" t="s">
        <v>628</v>
      </c>
      <c r="G696" s="2" t="s">
        <v>629</v>
      </c>
      <c r="H696" s="2" t="s">
        <v>24</v>
      </c>
      <c r="I696" s="2" t="s">
        <v>25</v>
      </c>
      <c r="J696" s="2" t="s">
        <v>65</v>
      </c>
      <c r="K696" s="2" t="s">
        <v>66</v>
      </c>
      <c r="L696" s="2" t="s">
        <v>67</v>
      </c>
      <c r="M696" s="2" t="s">
        <v>1290</v>
      </c>
      <c r="N696" s="2" t="s">
        <v>30</v>
      </c>
      <c r="O696" s="2" t="s">
        <v>56</v>
      </c>
      <c r="P696" s="2" t="s">
        <v>1758</v>
      </c>
      <c r="Q696" s="2">
        <v>60.311999999999998</v>
      </c>
      <c r="R696" s="2">
        <v>3</v>
      </c>
      <c r="S696" s="2">
        <v>5.2773000000000003</v>
      </c>
      <c r="T696" s="2" t="s">
        <v>83</v>
      </c>
      <c r="U696" s="2" t="s">
        <v>34</v>
      </c>
    </row>
    <row r="697" spans="1:21" ht="14.25" customHeight="1" x14ac:dyDescent="0.3">
      <c r="A697" s="2" t="s">
        <v>2370</v>
      </c>
      <c r="B697" s="5">
        <v>42449</v>
      </c>
      <c r="C697" s="2" t="str">
        <f>TEXT(data[[#This Row],[Order Date]],"YYYY")</f>
        <v>2016</v>
      </c>
      <c r="D697" s="2">
        <v>42454</v>
      </c>
      <c r="E697" s="2" t="s">
        <v>21</v>
      </c>
      <c r="F697" s="2" t="s">
        <v>2371</v>
      </c>
      <c r="G697" s="2" t="s">
        <v>2372</v>
      </c>
      <c r="H697" s="2" t="s">
        <v>90</v>
      </c>
      <c r="I697" s="2" t="s">
        <v>25</v>
      </c>
      <c r="J697" s="2" t="s">
        <v>2373</v>
      </c>
      <c r="K697" s="2" t="s">
        <v>478</v>
      </c>
      <c r="L697" s="2" t="s">
        <v>28</v>
      </c>
      <c r="M697" s="2" t="s">
        <v>1128</v>
      </c>
      <c r="N697" s="2" t="s">
        <v>30</v>
      </c>
      <c r="O697" s="2" t="s">
        <v>56</v>
      </c>
      <c r="P697" s="2" t="s">
        <v>1129</v>
      </c>
      <c r="Q697" s="2">
        <v>86.45</v>
      </c>
      <c r="R697" s="2">
        <v>7</v>
      </c>
      <c r="S697" s="2">
        <v>38.037999999999997</v>
      </c>
      <c r="T697" s="2" t="s">
        <v>58</v>
      </c>
      <c r="U697" s="2" t="s">
        <v>195</v>
      </c>
    </row>
    <row r="698" spans="1:21" ht="14.25" customHeight="1" x14ac:dyDescent="0.3">
      <c r="A698" s="2" t="s">
        <v>2374</v>
      </c>
      <c r="B698" s="5">
        <v>41909</v>
      </c>
      <c r="C698" s="2" t="str">
        <f>TEXT(data[[#This Row],[Order Date]],"YYYY")</f>
        <v>2014</v>
      </c>
      <c r="D698" s="2">
        <v>41913</v>
      </c>
      <c r="E698" s="2" t="s">
        <v>39</v>
      </c>
      <c r="F698" s="2" t="s">
        <v>2375</v>
      </c>
      <c r="G698" s="2" t="s">
        <v>2376</v>
      </c>
      <c r="H698" s="2" t="s">
        <v>24</v>
      </c>
      <c r="I698" s="2" t="s">
        <v>25</v>
      </c>
      <c r="J698" s="2" t="s">
        <v>639</v>
      </c>
      <c r="K698" s="2" t="s">
        <v>53</v>
      </c>
      <c r="L698" s="2" t="s">
        <v>54</v>
      </c>
      <c r="M698" s="2" t="s">
        <v>394</v>
      </c>
      <c r="N698" s="2" t="s">
        <v>30</v>
      </c>
      <c r="O698" s="2" t="s">
        <v>36</v>
      </c>
      <c r="P698" s="2" t="s">
        <v>395</v>
      </c>
      <c r="Q698" s="2">
        <v>603.91999999999996</v>
      </c>
      <c r="R698" s="2">
        <v>5</v>
      </c>
      <c r="S698" s="2">
        <v>45.293999999999997</v>
      </c>
      <c r="T698" s="2" t="s">
        <v>83</v>
      </c>
      <c r="U698" s="2" t="s">
        <v>77</v>
      </c>
    </row>
    <row r="699" spans="1:21" ht="14.25" customHeight="1" x14ac:dyDescent="0.3">
      <c r="A699" s="2" t="s">
        <v>2377</v>
      </c>
      <c r="B699" s="5">
        <v>43093</v>
      </c>
      <c r="C699" s="2" t="str">
        <f>TEXT(data[[#This Row],[Order Date]],"YYYY")</f>
        <v>2017</v>
      </c>
      <c r="D699" s="2">
        <v>43097</v>
      </c>
      <c r="E699" s="2" t="s">
        <v>39</v>
      </c>
      <c r="F699" s="2" t="s">
        <v>2378</v>
      </c>
      <c r="G699" s="2" t="s">
        <v>2379</v>
      </c>
      <c r="H699" s="2" t="s">
        <v>24</v>
      </c>
      <c r="I699" s="2" t="s">
        <v>25</v>
      </c>
      <c r="J699" s="2" t="s">
        <v>761</v>
      </c>
      <c r="K699" s="2" t="s">
        <v>120</v>
      </c>
      <c r="L699" s="2" t="s">
        <v>67</v>
      </c>
      <c r="M699" s="2" t="s">
        <v>394</v>
      </c>
      <c r="N699" s="2" t="s">
        <v>30</v>
      </c>
      <c r="O699" s="2" t="s">
        <v>36</v>
      </c>
      <c r="P699" s="2" t="s">
        <v>395</v>
      </c>
      <c r="Q699" s="2">
        <v>271.76400000000001</v>
      </c>
      <c r="R699" s="2">
        <v>2</v>
      </c>
      <c r="S699" s="2">
        <v>48.313600000000001</v>
      </c>
      <c r="T699" s="2" t="s">
        <v>83</v>
      </c>
      <c r="U699" s="2" t="s">
        <v>96</v>
      </c>
    </row>
    <row r="700" spans="1:21" ht="14.25" customHeight="1" x14ac:dyDescent="0.3">
      <c r="A700" s="2" t="s">
        <v>2380</v>
      </c>
      <c r="B700" s="5">
        <v>43049</v>
      </c>
      <c r="C700" s="2" t="str">
        <f>TEXT(data[[#This Row],[Order Date]],"YYYY")</f>
        <v>2017</v>
      </c>
      <c r="D700" s="2">
        <v>43054</v>
      </c>
      <c r="E700" s="2" t="s">
        <v>21</v>
      </c>
      <c r="F700" s="2" t="s">
        <v>2381</v>
      </c>
      <c r="G700" s="2" t="s">
        <v>2382</v>
      </c>
      <c r="H700" s="2" t="s">
        <v>90</v>
      </c>
      <c r="I700" s="2" t="s">
        <v>25</v>
      </c>
      <c r="J700" s="2" t="s">
        <v>931</v>
      </c>
      <c r="K700" s="2" t="s">
        <v>92</v>
      </c>
      <c r="L700" s="2" t="s">
        <v>93</v>
      </c>
      <c r="M700" s="2" t="s">
        <v>1831</v>
      </c>
      <c r="N700" s="2" t="s">
        <v>30</v>
      </c>
      <c r="O700" s="2" t="s">
        <v>56</v>
      </c>
      <c r="P700" s="2" t="s">
        <v>1832</v>
      </c>
      <c r="Q700" s="2">
        <v>341.96</v>
      </c>
      <c r="R700" s="2">
        <v>5</v>
      </c>
      <c r="S700" s="2">
        <v>-427.45</v>
      </c>
      <c r="T700" s="2" t="s">
        <v>58</v>
      </c>
      <c r="U700" s="2" t="s">
        <v>34</v>
      </c>
    </row>
    <row r="701" spans="1:21" ht="14.25" customHeight="1" x14ac:dyDescent="0.3">
      <c r="A701" s="2" t="s">
        <v>2383</v>
      </c>
      <c r="B701" s="5">
        <v>41993</v>
      </c>
      <c r="C701" s="2" t="str">
        <f>TEXT(data[[#This Row],[Order Date]],"YYYY")</f>
        <v>2014</v>
      </c>
      <c r="D701" s="2">
        <v>41998</v>
      </c>
      <c r="E701" s="2" t="s">
        <v>39</v>
      </c>
      <c r="F701" s="2" t="s">
        <v>2384</v>
      </c>
      <c r="G701" s="2" t="s">
        <v>2385</v>
      </c>
      <c r="H701" s="2" t="s">
        <v>24</v>
      </c>
      <c r="I701" s="2" t="s">
        <v>25</v>
      </c>
      <c r="J701" s="2" t="s">
        <v>157</v>
      </c>
      <c r="K701" s="2" t="s">
        <v>141</v>
      </c>
      <c r="L701" s="2" t="s">
        <v>28</v>
      </c>
      <c r="M701" s="2" t="s">
        <v>246</v>
      </c>
      <c r="N701" s="2" t="s">
        <v>30</v>
      </c>
      <c r="O701" s="2" t="s">
        <v>36</v>
      </c>
      <c r="P701" s="2" t="s">
        <v>247</v>
      </c>
      <c r="Q701" s="2">
        <v>662.88</v>
      </c>
      <c r="R701" s="2">
        <v>3</v>
      </c>
      <c r="S701" s="2">
        <v>74.573999999999998</v>
      </c>
      <c r="T701" s="2" t="s">
        <v>58</v>
      </c>
      <c r="U701" s="2" t="s">
        <v>96</v>
      </c>
    </row>
    <row r="702" spans="1:21" ht="14.25" customHeight="1" x14ac:dyDescent="0.3">
      <c r="A702" s="2" t="s">
        <v>2386</v>
      </c>
      <c r="B702" s="5">
        <v>42208</v>
      </c>
      <c r="C702" s="2" t="str">
        <f>TEXT(data[[#This Row],[Order Date]],"YYYY")</f>
        <v>2015</v>
      </c>
      <c r="D702" s="2">
        <v>42212</v>
      </c>
      <c r="E702" s="2" t="s">
        <v>39</v>
      </c>
      <c r="F702" s="2" t="s">
        <v>2387</v>
      </c>
      <c r="G702" s="2" t="s">
        <v>2388</v>
      </c>
      <c r="H702" s="2" t="s">
        <v>100</v>
      </c>
      <c r="I702" s="2" t="s">
        <v>25</v>
      </c>
      <c r="J702" s="2" t="s">
        <v>173</v>
      </c>
      <c r="K702" s="2" t="s">
        <v>120</v>
      </c>
      <c r="L702" s="2" t="s">
        <v>67</v>
      </c>
      <c r="M702" s="2" t="s">
        <v>745</v>
      </c>
      <c r="N702" s="2" t="s">
        <v>30</v>
      </c>
      <c r="O702" s="2" t="s">
        <v>56</v>
      </c>
      <c r="P702" s="2" t="s">
        <v>746</v>
      </c>
      <c r="Q702" s="2">
        <v>128.82</v>
      </c>
      <c r="R702" s="2">
        <v>3</v>
      </c>
      <c r="S702" s="2">
        <v>50.239800000000002</v>
      </c>
      <c r="T702" s="2" t="s">
        <v>83</v>
      </c>
      <c r="U702" s="2" t="s">
        <v>71</v>
      </c>
    </row>
    <row r="703" spans="1:21" ht="14.25" customHeight="1" x14ac:dyDescent="0.3">
      <c r="A703" s="2" t="s">
        <v>2389</v>
      </c>
      <c r="B703" s="5">
        <v>43083</v>
      </c>
      <c r="C703" s="2" t="str">
        <f>TEXT(data[[#This Row],[Order Date]],"YYYY")</f>
        <v>2017</v>
      </c>
      <c r="D703" s="2">
        <v>43089</v>
      </c>
      <c r="E703" s="2" t="s">
        <v>39</v>
      </c>
      <c r="F703" s="2" t="s">
        <v>1252</v>
      </c>
      <c r="G703" s="2" t="s">
        <v>1253</v>
      </c>
      <c r="H703" s="2" t="s">
        <v>100</v>
      </c>
      <c r="I703" s="2" t="s">
        <v>25</v>
      </c>
      <c r="J703" s="2" t="s">
        <v>133</v>
      </c>
      <c r="K703" s="2" t="s">
        <v>134</v>
      </c>
      <c r="L703" s="2" t="s">
        <v>93</v>
      </c>
      <c r="M703" s="2" t="s">
        <v>2390</v>
      </c>
      <c r="N703" s="2" t="s">
        <v>30</v>
      </c>
      <c r="O703" s="2" t="s">
        <v>56</v>
      </c>
      <c r="P703" s="2" t="s">
        <v>2391</v>
      </c>
      <c r="Q703" s="2">
        <v>2.032</v>
      </c>
      <c r="R703" s="2">
        <v>1</v>
      </c>
      <c r="S703" s="2">
        <v>-1.3208</v>
      </c>
      <c r="T703" s="2" t="s">
        <v>129</v>
      </c>
      <c r="U703" s="2" t="s">
        <v>96</v>
      </c>
    </row>
    <row r="704" spans="1:21" ht="14.25" customHeight="1" x14ac:dyDescent="0.3">
      <c r="A704" s="2" t="s">
        <v>2392</v>
      </c>
      <c r="B704" s="5">
        <v>42968</v>
      </c>
      <c r="C704" s="2" t="str">
        <f>TEXT(data[[#This Row],[Order Date]],"YYYY")</f>
        <v>2017</v>
      </c>
      <c r="D704" s="2">
        <v>42969</v>
      </c>
      <c r="E704" s="2" t="s">
        <v>87</v>
      </c>
      <c r="F704" s="2" t="s">
        <v>2393</v>
      </c>
      <c r="G704" s="2" t="s">
        <v>2394</v>
      </c>
      <c r="H704" s="2" t="s">
        <v>24</v>
      </c>
      <c r="I704" s="2" t="s">
        <v>25</v>
      </c>
      <c r="J704" s="2" t="s">
        <v>1470</v>
      </c>
      <c r="K704" s="2" t="s">
        <v>53</v>
      </c>
      <c r="L704" s="2" t="s">
        <v>54</v>
      </c>
      <c r="M704" s="2" t="s">
        <v>2395</v>
      </c>
      <c r="N704" s="2" t="s">
        <v>30</v>
      </c>
      <c r="O704" s="2" t="s">
        <v>56</v>
      </c>
      <c r="P704" s="2" t="s">
        <v>2396</v>
      </c>
      <c r="Q704" s="2">
        <v>129.91999999999999</v>
      </c>
      <c r="R704" s="2">
        <v>4</v>
      </c>
      <c r="S704" s="2">
        <v>10.393599999999999</v>
      </c>
      <c r="T704" s="2" t="s">
        <v>123</v>
      </c>
      <c r="U704" s="2" t="s">
        <v>253</v>
      </c>
    </row>
    <row r="705" spans="1:21" ht="14.25" customHeight="1" x14ac:dyDescent="0.3">
      <c r="A705" s="2" t="s">
        <v>2392</v>
      </c>
      <c r="B705" s="5">
        <v>42968</v>
      </c>
      <c r="C705" s="2" t="str">
        <f>TEXT(data[[#This Row],[Order Date]],"YYYY")</f>
        <v>2017</v>
      </c>
      <c r="D705" s="2">
        <v>42969</v>
      </c>
      <c r="E705" s="2" t="s">
        <v>87</v>
      </c>
      <c r="F705" s="2" t="s">
        <v>2393</v>
      </c>
      <c r="G705" s="2" t="s">
        <v>2394</v>
      </c>
      <c r="H705" s="2" t="s">
        <v>24</v>
      </c>
      <c r="I705" s="2" t="s">
        <v>25</v>
      </c>
      <c r="J705" s="2" t="s">
        <v>1470</v>
      </c>
      <c r="K705" s="2" t="s">
        <v>53</v>
      </c>
      <c r="L705" s="2" t="s">
        <v>54</v>
      </c>
      <c r="M705" s="2" t="s">
        <v>60</v>
      </c>
      <c r="N705" s="2" t="s">
        <v>30</v>
      </c>
      <c r="O705" s="2" t="s">
        <v>45</v>
      </c>
      <c r="P705" s="2" t="s">
        <v>61</v>
      </c>
      <c r="Q705" s="2">
        <v>568.72799999999995</v>
      </c>
      <c r="R705" s="2">
        <v>3</v>
      </c>
      <c r="S705" s="2">
        <v>28.436399999999999</v>
      </c>
      <c r="T705" s="2" t="s">
        <v>123</v>
      </c>
      <c r="U705" s="2" t="s">
        <v>253</v>
      </c>
    </row>
    <row r="706" spans="1:21" ht="14.25" customHeight="1" x14ac:dyDescent="0.3">
      <c r="A706" s="2" t="s">
        <v>2397</v>
      </c>
      <c r="B706" s="5">
        <v>42609</v>
      </c>
      <c r="C706" s="2" t="str">
        <f>TEXT(data[[#This Row],[Order Date]],"YYYY")</f>
        <v>2016</v>
      </c>
      <c r="D706" s="2">
        <v>42614</v>
      </c>
      <c r="E706" s="2" t="s">
        <v>21</v>
      </c>
      <c r="F706" s="2" t="s">
        <v>117</v>
      </c>
      <c r="G706" s="2" t="s">
        <v>118</v>
      </c>
      <c r="H706" s="2" t="s">
        <v>24</v>
      </c>
      <c r="I706" s="2" t="s">
        <v>25</v>
      </c>
      <c r="J706" s="2" t="s">
        <v>2398</v>
      </c>
      <c r="K706" s="2" t="s">
        <v>434</v>
      </c>
      <c r="L706" s="2" t="s">
        <v>67</v>
      </c>
      <c r="M706" s="2" t="s">
        <v>1461</v>
      </c>
      <c r="N706" s="2" t="s">
        <v>30</v>
      </c>
      <c r="O706" s="2" t="s">
        <v>45</v>
      </c>
      <c r="P706" s="2" t="s">
        <v>1462</v>
      </c>
      <c r="Q706" s="2">
        <v>244.61500000000001</v>
      </c>
      <c r="R706" s="2">
        <v>1</v>
      </c>
      <c r="S706" s="2">
        <v>20.966999999999999</v>
      </c>
      <c r="T706" s="2" t="s">
        <v>58</v>
      </c>
      <c r="U706" s="2" t="s">
        <v>253</v>
      </c>
    </row>
    <row r="707" spans="1:21" ht="14.25" customHeight="1" x14ac:dyDescent="0.3">
      <c r="A707" s="2" t="s">
        <v>2399</v>
      </c>
      <c r="B707" s="5">
        <v>41905</v>
      </c>
      <c r="C707" s="2" t="str">
        <f>TEXT(data[[#This Row],[Order Date]],"YYYY")</f>
        <v>2014</v>
      </c>
      <c r="D707" s="2">
        <v>41910</v>
      </c>
      <c r="E707" s="2" t="s">
        <v>39</v>
      </c>
      <c r="F707" s="2" t="s">
        <v>858</v>
      </c>
      <c r="G707" s="2" t="s">
        <v>859</v>
      </c>
      <c r="H707" s="2" t="s">
        <v>90</v>
      </c>
      <c r="I707" s="2" t="s">
        <v>25</v>
      </c>
      <c r="J707" s="2" t="s">
        <v>639</v>
      </c>
      <c r="K707" s="2" t="s">
        <v>53</v>
      </c>
      <c r="L707" s="2" t="s">
        <v>54</v>
      </c>
      <c r="M707" s="2" t="s">
        <v>2400</v>
      </c>
      <c r="N707" s="2" t="s">
        <v>30</v>
      </c>
      <c r="O707" s="2" t="s">
        <v>31</v>
      </c>
      <c r="P707" s="2" t="s">
        <v>2401</v>
      </c>
      <c r="Q707" s="2">
        <v>435.99900000000002</v>
      </c>
      <c r="R707" s="2">
        <v>3</v>
      </c>
      <c r="S707" s="2">
        <v>20.517600000000002</v>
      </c>
      <c r="T707" s="2" t="s">
        <v>58</v>
      </c>
      <c r="U707" s="2" t="s">
        <v>77</v>
      </c>
    </row>
    <row r="708" spans="1:21" ht="14.25" customHeight="1" x14ac:dyDescent="0.3">
      <c r="A708" s="2" t="s">
        <v>2402</v>
      </c>
      <c r="B708" s="5">
        <v>41839</v>
      </c>
      <c r="C708" s="2" t="str">
        <f>TEXT(data[[#This Row],[Order Date]],"YYYY")</f>
        <v>2014</v>
      </c>
      <c r="D708" s="2">
        <v>41844</v>
      </c>
      <c r="E708" s="2" t="s">
        <v>39</v>
      </c>
      <c r="F708" s="2" t="s">
        <v>2403</v>
      </c>
      <c r="G708" s="2" t="s">
        <v>2404</v>
      </c>
      <c r="H708" s="2" t="s">
        <v>90</v>
      </c>
      <c r="I708" s="2" t="s">
        <v>25</v>
      </c>
      <c r="J708" s="2" t="s">
        <v>2405</v>
      </c>
      <c r="K708" s="2" t="s">
        <v>429</v>
      </c>
      <c r="L708" s="2" t="s">
        <v>67</v>
      </c>
      <c r="M708" s="2" t="s">
        <v>2406</v>
      </c>
      <c r="N708" s="2" t="s">
        <v>30</v>
      </c>
      <c r="O708" s="2" t="s">
        <v>45</v>
      </c>
      <c r="P708" s="2" t="s">
        <v>2407</v>
      </c>
      <c r="Q708" s="2">
        <v>70.56</v>
      </c>
      <c r="R708" s="2">
        <v>1</v>
      </c>
      <c r="S708" s="2">
        <v>-4.032</v>
      </c>
      <c r="T708" s="2" t="s">
        <v>58</v>
      </c>
      <c r="U708" s="2" t="s">
        <v>71</v>
      </c>
    </row>
    <row r="709" spans="1:21" ht="14.25" customHeight="1" x14ac:dyDescent="0.3">
      <c r="A709" s="2" t="s">
        <v>2408</v>
      </c>
      <c r="B709" s="5">
        <v>42159</v>
      </c>
      <c r="C709" s="2" t="str">
        <f>TEXT(data[[#This Row],[Order Date]],"YYYY")</f>
        <v>2015</v>
      </c>
      <c r="D709" s="2">
        <v>42163</v>
      </c>
      <c r="E709" s="2" t="s">
        <v>21</v>
      </c>
      <c r="F709" s="2" t="s">
        <v>1173</v>
      </c>
      <c r="G709" s="2" t="s">
        <v>1174</v>
      </c>
      <c r="H709" s="2" t="s">
        <v>100</v>
      </c>
      <c r="I709" s="2" t="s">
        <v>25</v>
      </c>
      <c r="J709" s="2" t="s">
        <v>173</v>
      </c>
      <c r="K709" s="2" t="s">
        <v>120</v>
      </c>
      <c r="L709" s="2" t="s">
        <v>67</v>
      </c>
      <c r="M709" s="2" t="s">
        <v>2409</v>
      </c>
      <c r="N709" s="2" t="s">
        <v>30</v>
      </c>
      <c r="O709" s="2" t="s">
        <v>56</v>
      </c>
      <c r="P709" s="2" t="s">
        <v>2410</v>
      </c>
      <c r="Q709" s="2">
        <v>35.28</v>
      </c>
      <c r="R709" s="2">
        <v>3</v>
      </c>
      <c r="S709" s="2">
        <v>11.995200000000001</v>
      </c>
      <c r="T709" s="2" t="s">
        <v>83</v>
      </c>
      <c r="U709" s="2" t="s">
        <v>59</v>
      </c>
    </row>
    <row r="710" spans="1:21" ht="14.25" customHeight="1" x14ac:dyDescent="0.3">
      <c r="A710" s="2" t="s">
        <v>2411</v>
      </c>
      <c r="B710" s="5">
        <v>42567</v>
      </c>
      <c r="C710" s="2" t="str">
        <f>TEXT(data[[#This Row],[Order Date]],"YYYY")</f>
        <v>2016</v>
      </c>
      <c r="D710" s="2">
        <v>42569</v>
      </c>
      <c r="E710" s="2" t="s">
        <v>21</v>
      </c>
      <c r="F710" s="2" t="s">
        <v>2412</v>
      </c>
      <c r="G710" s="2" t="s">
        <v>2413</v>
      </c>
      <c r="H710" s="2" t="s">
        <v>90</v>
      </c>
      <c r="I710" s="2" t="s">
        <v>25</v>
      </c>
      <c r="J710" s="2" t="s">
        <v>101</v>
      </c>
      <c r="K710" s="2" t="s">
        <v>92</v>
      </c>
      <c r="L710" s="2" t="s">
        <v>93</v>
      </c>
      <c r="M710" s="2" t="s">
        <v>927</v>
      </c>
      <c r="N710" s="2" t="s">
        <v>30</v>
      </c>
      <c r="O710" s="2" t="s">
        <v>56</v>
      </c>
      <c r="P710" s="2" t="s">
        <v>316</v>
      </c>
      <c r="Q710" s="2">
        <v>9.5519999999999996</v>
      </c>
      <c r="R710" s="2">
        <v>3</v>
      </c>
      <c r="S710" s="2">
        <v>-3.8208000000000002</v>
      </c>
      <c r="T710" s="2" t="s">
        <v>70</v>
      </c>
      <c r="U710" s="2" t="s">
        <v>71</v>
      </c>
    </row>
    <row r="711" spans="1:21" ht="14.25" customHeight="1" x14ac:dyDescent="0.3">
      <c r="A711" s="2" t="s">
        <v>2414</v>
      </c>
      <c r="B711" s="5">
        <v>41670</v>
      </c>
      <c r="C711" s="2" t="str">
        <f>TEXT(data[[#This Row],[Order Date]],"YYYY")</f>
        <v>2014</v>
      </c>
      <c r="D711" s="2">
        <v>41672</v>
      </c>
      <c r="E711" s="2" t="s">
        <v>87</v>
      </c>
      <c r="F711" s="2" t="s">
        <v>2415</v>
      </c>
      <c r="G711" s="2" t="s">
        <v>2416</v>
      </c>
      <c r="H711" s="2" t="s">
        <v>24</v>
      </c>
      <c r="I711" s="2" t="s">
        <v>25</v>
      </c>
      <c r="J711" s="2" t="s">
        <v>2417</v>
      </c>
      <c r="K711" s="2" t="s">
        <v>53</v>
      </c>
      <c r="L711" s="2" t="s">
        <v>54</v>
      </c>
      <c r="M711" s="2" t="s">
        <v>1456</v>
      </c>
      <c r="N711" s="2" t="s">
        <v>30</v>
      </c>
      <c r="O711" s="2" t="s">
        <v>31</v>
      </c>
      <c r="P711" s="2" t="s">
        <v>1457</v>
      </c>
      <c r="Q711" s="2">
        <v>290.666</v>
      </c>
      <c r="R711" s="2">
        <v>2</v>
      </c>
      <c r="S711" s="2">
        <v>3.4196</v>
      </c>
      <c r="T711" s="2" t="s">
        <v>70</v>
      </c>
      <c r="U711" s="2" t="s">
        <v>169</v>
      </c>
    </row>
    <row r="712" spans="1:21" ht="14.25" customHeight="1" x14ac:dyDescent="0.3">
      <c r="A712" s="2" t="s">
        <v>2418</v>
      </c>
      <c r="B712" s="5">
        <v>42329</v>
      </c>
      <c r="C712" s="2" t="str">
        <f>TEXT(data[[#This Row],[Order Date]],"YYYY")</f>
        <v>2015</v>
      </c>
      <c r="D712" s="2">
        <v>42333</v>
      </c>
      <c r="E712" s="2" t="s">
        <v>39</v>
      </c>
      <c r="F712" s="2" t="s">
        <v>2235</v>
      </c>
      <c r="G712" s="2" t="s">
        <v>2236</v>
      </c>
      <c r="H712" s="2" t="s">
        <v>24</v>
      </c>
      <c r="I712" s="2" t="s">
        <v>25</v>
      </c>
      <c r="J712" s="2" t="s">
        <v>2419</v>
      </c>
      <c r="K712" s="2" t="s">
        <v>1340</v>
      </c>
      <c r="L712" s="2" t="s">
        <v>54</v>
      </c>
      <c r="M712" s="2" t="s">
        <v>2420</v>
      </c>
      <c r="N712" s="2" t="s">
        <v>30</v>
      </c>
      <c r="O712" s="2" t="s">
        <v>31</v>
      </c>
      <c r="P712" s="2" t="s">
        <v>2421</v>
      </c>
      <c r="Q712" s="2">
        <v>141.96</v>
      </c>
      <c r="R712" s="2">
        <v>2</v>
      </c>
      <c r="S712" s="2">
        <v>41.168399999999998</v>
      </c>
      <c r="T712" s="2" t="s">
        <v>83</v>
      </c>
      <c r="U712" s="2" t="s">
        <v>34</v>
      </c>
    </row>
    <row r="713" spans="1:21" ht="14.25" customHeight="1" x14ac:dyDescent="0.3">
      <c r="A713" s="2" t="s">
        <v>2422</v>
      </c>
      <c r="B713" s="5">
        <v>42342</v>
      </c>
      <c r="C713" s="2" t="str">
        <f>TEXT(data[[#This Row],[Order Date]],"YYYY")</f>
        <v>2015</v>
      </c>
      <c r="D713" s="2">
        <v>42348</v>
      </c>
      <c r="E713" s="2" t="s">
        <v>39</v>
      </c>
      <c r="F713" s="2" t="s">
        <v>40</v>
      </c>
      <c r="G713" s="2" t="s">
        <v>41</v>
      </c>
      <c r="H713" s="2" t="s">
        <v>24</v>
      </c>
      <c r="I713" s="2" t="s">
        <v>25</v>
      </c>
      <c r="J713" s="2" t="s">
        <v>2423</v>
      </c>
      <c r="K713" s="2" t="s">
        <v>120</v>
      </c>
      <c r="L713" s="2" t="s">
        <v>67</v>
      </c>
      <c r="M713" s="2" t="s">
        <v>2204</v>
      </c>
      <c r="N713" s="2" t="s">
        <v>30</v>
      </c>
      <c r="O713" s="2" t="s">
        <v>56</v>
      </c>
      <c r="P713" s="2" t="s">
        <v>2205</v>
      </c>
      <c r="Q713" s="2">
        <v>28.44</v>
      </c>
      <c r="R713" s="2">
        <v>3</v>
      </c>
      <c r="S713" s="2">
        <v>11.375999999999999</v>
      </c>
      <c r="T713" s="2" t="s">
        <v>129</v>
      </c>
      <c r="U713" s="2" t="s">
        <v>96</v>
      </c>
    </row>
    <row r="714" spans="1:21" ht="14.25" customHeight="1" x14ac:dyDescent="0.3">
      <c r="A714" s="2" t="s">
        <v>2422</v>
      </c>
      <c r="B714" s="5">
        <v>42342</v>
      </c>
      <c r="C714" s="2" t="str">
        <f>TEXT(data[[#This Row],[Order Date]],"YYYY")</f>
        <v>2015</v>
      </c>
      <c r="D714" s="2">
        <v>42348</v>
      </c>
      <c r="E714" s="2" t="s">
        <v>39</v>
      </c>
      <c r="F714" s="2" t="s">
        <v>40</v>
      </c>
      <c r="G714" s="2" t="s">
        <v>41</v>
      </c>
      <c r="H714" s="2" t="s">
        <v>24</v>
      </c>
      <c r="I714" s="2" t="s">
        <v>25</v>
      </c>
      <c r="J714" s="2" t="s">
        <v>2423</v>
      </c>
      <c r="K714" s="2" t="s">
        <v>120</v>
      </c>
      <c r="L714" s="2" t="s">
        <v>67</v>
      </c>
      <c r="M714" s="2" t="s">
        <v>495</v>
      </c>
      <c r="N714" s="2" t="s">
        <v>30</v>
      </c>
      <c r="O714" s="2" t="s">
        <v>36</v>
      </c>
      <c r="P714" s="2" t="s">
        <v>496</v>
      </c>
      <c r="Q714" s="2">
        <v>364.41</v>
      </c>
      <c r="R714" s="2">
        <v>5</v>
      </c>
      <c r="S714" s="2">
        <v>8.0980000000000008</v>
      </c>
      <c r="T714" s="2" t="s">
        <v>129</v>
      </c>
      <c r="U714" s="2" t="s">
        <v>96</v>
      </c>
    </row>
    <row r="715" spans="1:21" ht="14.25" customHeight="1" x14ac:dyDescent="0.3">
      <c r="A715" s="2" t="s">
        <v>2422</v>
      </c>
      <c r="B715" s="5">
        <v>42342</v>
      </c>
      <c r="C715" s="2" t="str">
        <f>TEXT(data[[#This Row],[Order Date]],"YYYY")</f>
        <v>2015</v>
      </c>
      <c r="D715" s="2">
        <v>42348</v>
      </c>
      <c r="E715" s="2" t="s">
        <v>39</v>
      </c>
      <c r="F715" s="2" t="s">
        <v>40</v>
      </c>
      <c r="G715" s="2" t="s">
        <v>41</v>
      </c>
      <c r="H715" s="2" t="s">
        <v>24</v>
      </c>
      <c r="I715" s="2" t="s">
        <v>25</v>
      </c>
      <c r="J715" s="2" t="s">
        <v>2423</v>
      </c>
      <c r="K715" s="2" t="s">
        <v>120</v>
      </c>
      <c r="L715" s="2" t="s">
        <v>67</v>
      </c>
      <c r="M715" s="2" t="s">
        <v>329</v>
      </c>
      <c r="N715" s="2" t="s">
        <v>30</v>
      </c>
      <c r="O715" s="2" t="s">
        <v>36</v>
      </c>
      <c r="P715" s="2" t="s">
        <v>330</v>
      </c>
      <c r="Q715" s="2">
        <v>361.76400000000001</v>
      </c>
      <c r="R715" s="2">
        <v>2</v>
      </c>
      <c r="S715" s="2">
        <v>68.333200000000005</v>
      </c>
      <c r="T715" s="2" t="s">
        <v>129</v>
      </c>
      <c r="U715" s="2" t="s">
        <v>96</v>
      </c>
    </row>
    <row r="716" spans="1:21" ht="14.25" customHeight="1" x14ac:dyDescent="0.3">
      <c r="A716" s="2" t="s">
        <v>2424</v>
      </c>
      <c r="B716" s="5">
        <v>43062</v>
      </c>
      <c r="C716" s="2" t="str">
        <f>TEXT(data[[#This Row],[Order Date]],"YYYY")</f>
        <v>2017</v>
      </c>
      <c r="D716" s="2">
        <v>43063</v>
      </c>
      <c r="E716" s="2" t="s">
        <v>87</v>
      </c>
      <c r="F716" s="2" t="s">
        <v>2146</v>
      </c>
      <c r="G716" s="2" t="s">
        <v>2147</v>
      </c>
      <c r="H716" s="2" t="s">
        <v>24</v>
      </c>
      <c r="I716" s="2" t="s">
        <v>25</v>
      </c>
      <c r="J716" s="2" t="s">
        <v>65</v>
      </c>
      <c r="K716" s="2" t="s">
        <v>66</v>
      </c>
      <c r="L716" s="2" t="s">
        <v>67</v>
      </c>
      <c r="M716" s="2" t="s">
        <v>2425</v>
      </c>
      <c r="N716" s="2" t="s">
        <v>30</v>
      </c>
      <c r="O716" s="2" t="s">
        <v>56</v>
      </c>
      <c r="P716" s="2" t="s">
        <v>2426</v>
      </c>
      <c r="Q716" s="2">
        <v>24.047999999999998</v>
      </c>
      <c r="R716" s="2">
        <v>9</v>
      </c>
      <c r="S716" s="2">
        <v>7.2144000000000004</v>
      </c>
      <c r="T716" s="2" t="s">
        <v>123</v>
      </c>
      <c r="U716" s="2" t="s">
        <v>34</v>
      </c>
    </row>
    <row r="717" spans="1:21" ht="14.25" customHeight="1" x14ac:dyDescent="0.3">
      <c r="A717" s="2" t="s">
        <v>2427</v>
      </c>
      <c r="B717" s="5">
        <v>42342</v>
      </c>
      <c r="C717" s="2" t="str">
        <f>TEXT(data[[#This Row],[Order Date]],"YYYY")</f>
        <v>2015</v>
      </c>
      <c r="D717" s="2">
        <v>42347</v>
      </c>
      <c r="E717" s="2" t="s">
        <v>21</v>
      </c>
      <c r="F717" s="2" t="s">
        <v>1681</v>
      </c>
      <c r="G717" s="2" t="s">
        <v>1682</v>
      </c>
      <c r="H717" s="2" t="s">
        <v>24</v>
      </c>
      <c r="I717" s="2" t="s">
        <v>25</v>
      </c>
      <c r="J717" s="2" t="s">
        <v>173</v>
      </c>
      <c r="K717" s="2" t="s">
        <v>120</v>
      </c>
      <c r="L717" s="2" t="s">
        <v>67</v>
      </c>
      <c r="M717" s="2" t="s">
        <v>2428</v>
      </c>
      <c r="N717" s="2" t="s">
        <v>30</v>
      </c>
      <c r="O717" s="2" t="s">
        <v>36</v>
      </c>
      <c r="P717" s="2" t="s">
        <v>2429</v>
      </c>
      <c r="Q717" s="2">
        <v>384.17399999999998</v>
      </c>
      <c r="R717" s="2">
        <v>7</v>
      </c>
      <c r="S717" s="2">
        <v>29.880199999999999</v>
      </c>
      <c r="T717" s="2" t="s">
        <v>58</v>
      </c>
      <c r="U717" s="2" t="s">
        <v>96</v>
      </c>
    </row>
    <row r="718" spans="1:21" ht="14.25" customHeight="1" x14ac:dyDescent="0.3">
      <c r="A718" s="2" t="s">
        <v>2430</v>
      </c>
      <c r="B718" s="5">
        <v>43015</v>
      </c>
      <c r="C718" s="2" t="str">
        <f>TEXT(data[[#This Row],[Order Date]],"YYYY")</f>
        <v>2017</v>
      </c>
      <c r="D718" s="2">
        <v>43019</v>
      </c>
      <c r="E718" s="2" t="s">
        <v>39</v>
      </c>
      <c r="F718" s="2" t="s">
        <v>2431</v>
      </c>
      <c r="G718" s="2" t="s">
        <v>2432</v>
      </c>
      <c r="H718" s="2" t="s">
        <v>100</v>
      </c>
      <c r="I718" s="2" t="s">
        <v>25</v>
      </c>
      <c r="J718" s="2" t="s">
        <v>1527</v>
      </c>
      <c r="K718" s="2" t="s">
        <v>1036</v>
      </c>
      <c r="L718" s="2" t="s">
        <v>28</v>
      </c>
      <c r="M718" s="2" t="s">
        <v>1259</v>
      </c>
      <c r="N718" s="2" t="s">
        <v>30</v>
      </c>
      <c r="O718" s="2" t="s">
        <v>45</v>
      </c>
      <c r="P718" s="2" t="s">
        <v>1063</v>
      </c>
      <c r="Q718" s="2">
        <v>154.76400000000001</v>
      </c>
      <c r="R718" s="2">
        <v>3</v>
      </c>
      <c r="S718" s="2">
        <v>-36.111600000000003</v>
      </c>
      <c r="T718" s="2" t="s">
        <v>83</v>
      </c>
      <c r="U718" s="2" t="s">
        <v>48</v>
      </c>
    </row>
    <row r="719" spans="1:21" ht="14.25" customHeight="1" x14ac:dyDescent="0.3">
      <c r="A719" s="2" t="s">
        <v>2433</v>
      </c>
      <c r="B719" s="5">
        <v>42128</v>
      </c>
      <c r="C719" s="2" t="str">
        <f>TEXT(data[[#This Row],[Order Date]],"YYYY")</f>
        <v>2015</v>
      </c>
      <c r="D719" s="2">
        <v>42129</v>
      </c>
      <c r="E719" s="2" t="s">
        <v>87</v>
      </c>
      <c r="F719" s="2" t="s">
        <v>984</v>
      </c>
      <c r="G719" s="2" t="s">
        <v>985</v>
      </c>
      <c r="H719" s="2" t="s">
        <v>90</v>
      </c>
      <c r="I719" s="2" t="s">
        <v>25</v>
      </c>
      <c r="J719" s="2" t="s">
        <v>2434</v>
      </c>
      <c r="K719" s="2" t="s">
        <v>134</v>
      </c>
      <c r="L719" s="2" t="s">
        <v>93</v>
      </c>
      <c r="M719" s="2" t="s">
        <v>927</v>
      </c>
      <c r="N719" s="2" t="s">
        <v>30</v>
      </c>
      <c r="O719" s="2" t="s">
        <v>56</v>
      </c>
      <c r="P719" s="2" t="s">
        <v>316</v>
      </c>
      <c r="Q719" s="2">
        <v>22.288</v>
      </c>
      <c r="R719" s="2">
        <v>7</v>
      </c>
      <c r="S719" s="2">
        <v>-8.9152000000000005</v>
      </c>
      <c r="T719" s="2" t="s">
        <v>123</v>
      </c>
      <c r="U719" s="2" t="s">
        <v>161</v>
      </c>
    </row>
    <row r="720" spans="1:21" ht="14.25" customHeight="1" x14ac:dyDescent="0.3">
      <c r="A720" s="2" t="s">
        <v>2435</v>
      </c>
      <c r="B720" s="5">
        <v>42884</v>
      </c>
      <c r="C720" s="2" t="str">
        <f>TEXT(data[[#This Row],[Order Date]],"YYYY")</f>
        <v>2017</v>
      </c>
      <c r="D720" s="2">
        <v>42891</v>
      </c>
      <c r="E720" s="2" t="s">
        <v>39</v>
      </c>
      <c r="F720" s="2" t="s">
        <v>1431</v>
      </c>
      <c r="G720" s="2" t="s">
        <v>1432</v>
      </c>
      <c r="H720" s="2" t="s">
        <v>24</v>
      </c>
      <c r="I720" s="2" t="s">
        <v>25</v>
      </c>
      <c r="J720" s="2" t="s">
        <v>101</v>
      </c>
      <c r="K720" s="2" t="s">
        <v>92</v>
      </c>
      <c r="L720" s="2" t="s">
        <v>93</v>
      </c>
      <c r="M720" s="2" t="s">
        <v>2436</v>
      </c>
      <c r="N720" s="2" t="s">
        <v>30</v>
      </c>
      <c r="O720" s="2" t="s">
        <v>56</v>
      </c>
      <c r="P720" s="2" t="s">
        <v>2437</v>
      </c>
      <c r="Q720" s="2">
        <v>65.424000000000007</v>
      </c>
      <c r="R720" s="2">
        <v>4</v>
      </c>
      <c r="S720" s="2">
        <v>-52.339199999999998</v>
      </c>
      <c r="T720" s="2" t="s">
        <v>47</v>
      </c>
      <c r="U720" s="2" t="s">
        <v>161</v>
      </c>
    </row>
    <row r="721" spans="1:21" ht="14.25" customHeight="1" x14ac:dyDescent="0.3">
      <c r="A721" s="2" t="s">
        <v>2438</v>
      </c>
      <c r="B721" s="5">
        <v>41752</v>
      </c>
      <c r="C721" s="2" t="str">
        <f>TEXT(data[[#This Row],[Order Date]],"YYYY")</f>
        <v>2014</v>
      </c>
      <c r="D721" s="2">
        <v>41756</v>
      </c>
      <c r="E721" s="2" t="s">
        <v>39</v>
      </c>
      <c r="F721" s="2" t="s">
        <v>2439</v>
      </c>
      <c r="G721" s="2" t="s">
        <v>2440</v>
      </c>
      <c r="H721" s="2" t="s">
        <v>100</v>
      </c>
      <c r="I721" s="2" t="s">
        <v>25</v>
      </c>
      <c r="J721" s="2" t="s">
        <v>347</v>
      </c>
      <c r="K721" s="2" t="s">
        <v>231</v>
      </c>
      <c r="L721" s="2" t="s">
        <v>67</v>
      </c>
      <c r="M721" s="2" t="s">
        <v>329</v>
      </c>
      <c r="N721" s="2" t="s">
        <v>30</v>
      </c>
      <c r="O721" s="2" t="s">
        <v>36</v>
      </c>
      <c r="P721" s="2" t="s">
        <v>330</v>
      </c>
      <c r="Q721" s="2">
        <v>281.37200000000001</v>
      </c>
      <c r="R721" s="2">
        <v>2</v>
      </c>
      <c r="S721" s="2">
        <v>-12.0588</v>
      </c>
      <c r="T721" s="2" t="s">
        <v>83</v>
      </c>
      <c r="U721" s="2" t="s">
        <v>113</v>
      </c>
    </row>
    <row r="722" spans="1:21" ht="14.25" customHeight="1" x14ac:dyDescent="0.3">
      <c r="A722" s="2" t="s">
        <v>2438</v>
      </c>
      <c r="B722" s="5">
        <v>41752</v>
      </c>
      <c r="C722" s="2" t="str">
        <f>TEXT(data[[#This Row],[Order Date]],"YYYY")</f>
        <v>2014</v>
      </c>
      <c r="D722" s="2">
        <v>41756</v>
      </c>
      <c r="E722" s="2" t="s">
        <v>39</v>
      </c>
      <c r="F722" s="2" t="s">
        <v>2439</v>
      </c>
      <c r="G722" s="2" t="s">
        <v>2440</v>
      </c>
      <c r="H722" s="2" t="s">
        <v>100</v>
      </c>
      <c r="I722" s="2" t="s">
        <v>25</v>
      </c>
      <c r="J722" s="2" t="s">
        <v>347</v>
      </c>
      <c r="K722" s="2" t="s">
        <v>231</v>
      </c>
      <c r="L722" s="2" t="s">
        <v>67</v>
      </c>
      <c r="M722" s="2" t="s">
        <v>329</v>
      </c>
      <c r="N722" s="2" t="s">
        <v>30</v>
      </c>
      <c r="O722" s="2" t="s">
        <v>36</v>
      </c>
      <c r="P722" s="2" t="s">
        <v>330</v>
      </c>
      <c r="Q722" s="2">
        <v>281.37200000000001</v>
      </c>
      <c r="R722" s="2">
        <v>2</v>
      </c>
      <c r="S722" s="2">
        <v>-12.0588</v>
      </c>
      <c r="T722" s="2" t="s">
        <v>83</v>
      </c>
      <c r="U722" s="2" t="s">
        <v>113</v>
      </c>
    </row>
    <row r="723" spans="1:21" ht="14.25" customHeight="1" x14ac:dyDescent="0.3">
      <c r="A723" s="2" t="s">
        <v>2438</v>
      </c>
      <c r="B723" s="5">
        <v>41752</v>
      </c>
      <c r="C723" s="2" t="str">
        <f>TEXT(data[[#This Row],[Order Date]],"YYYY")</f>
        <v>2014</v>
      </c>
      <c r="D723" s="2">
        <v>41756</v>
      </c>
      <c r="E723" s="2" t="s">
        <v>39</v>
      </c>
      <c r="F723" s="2" t="s">
        <v>2439</v>
      </c>
      <c r="G723" s="2" t="s">
        <v>2440</v>
      </c>
      <c r="H723" s="2" t="s">
        <v>100</v>
      </c>
      <c r="I723" s="2" t="s">
        <v>25</v>
      </c>
      <c r="J723" s="2" t="s">
        <v>347</v>
      </c>
      <c r="K723" s="2" t="s">
        <v>231</v>
      </c>
      <c r="L723" s="2" t="s">
        <v>67</v>
      </c>
      <c r="M723" s="2" t="s">
        <v>977</v>
      </c>
      <c r="N723" s="2" t="s">
        <v>30</v>
      </c>
      <c r="O723" s="2" t="s">
        <v>56</v>
      </c>
      <c r="P723" s="2" t="s">
        <v>978</v>
      </c>
      <c r="Q723" s="2">
        <v>22.335999999999999</v>
      </c>
      <c r="R723" s="2">
        <v>4</v>
      </c>
      <c r="S723" s="2">
        <v>7.8175999999999997</v>
      </c>
      <c r="T723" s="2" t="s">
        <v>83</v>
      </c>
      <c r="U723" s="2" t="s">
        <v>113</v>
      </c>
    </row>
    <row r="724" spans="1:21" ht="14.25" customHeight="1" x14ac:dyDescent="0.3">
      <c r="A724" s="2" t="s">
        <v>2441</v>
      </c>
      <c r="B724" s="5">
        <v>42253</v>
      </c>
      <c r="C724" s="2" t="str">
        <f>TEXT(data[[#This Row],[Order Date]],"YYYY")</f>
        <v>2015</v>
      </c>
      <c r="D724" s="2">
        <v>42260</v>
      </c>
      <c r="E724" s="2" t="s">
        <v>39</v>
      </c>
      <c r="F724" s="2" t="s">
        <v>882</v>
      </c>
      <c r="G724" s="2" t="s">
        <v>883</v>
      </c>
      <c r="H724" s="2" t="s">
        <v>100</v>
      </c>
      <c r="I724" s="2" t="s">
        <v>25</v>
      </c>
      <c r="J724" s="2" t="s">
        <v>173</v>
      </c>
      <c r="K724" s="2" t="s">
        <v>120</v>
      </c>
      <c r="L724" s="2" t="s">
        <v>67</v>
      </c>
      <c r="M724" s="2" t="s">
        <v>855</v>
      </c>
      <c r="N724" s="2" t="s">
        <v>30</v>
      </c>
      <c r="O724" s="2" t="s">
        <v>36</v>
      </c>
      <c r="P724" s="2" t="s">
        <v>856</v>
      </c>
      <c r="Q724" s="2">
        <v>271.76400000000001</v>
      </c>
      <c r="R724" s="2">
        <v>2</v>
      </c>
      <c r="S724" s="2">
        <v>60.392000000000003</v>
      </c>
      <c r="T724" s="2" t="s">
        <v>47</v>
      </c>
      <c r="U724" s="2" t="s">
        <v>77</v>
      </c>
    </row>
    <row r="725" spans="1:21" ht="14.25" customHeight="1" x14ac:dyDescent="0.3">
      <c r="A725" s="2" t="s">
        <v>2442</v>
      </c>
      <c r="B725" s="5">
        <v>42271</v>
      </c>
      <c r="C725" s="2" t="str">
        <f>TEXT(data[[#This Row],[Order Date]],"YYYY")</f>
        <v>2015</v>
      </c>
      <c r="D725" s="2">
        <v>42275</v>
      </c>
      <c r="E725" s="2" t="s">
        <v>39</v>
      </c>
      <c r="F725" s="2" t="s">
        <v>2443</v>
      </c>
      <c r="G725" s="2" t="s">
        <v>2444</v>
      </c>
      <c r="H725" s="2" t="s">
        <v>100</v>
      </c>
      <c r="I725" s="2" t="s">
        <v>25</v>
      </c>
      <c r="J725" s="2" t="s">
        <v>2445</v>
      </c>
      <c r="K725" s="2" t="s">
        <v>801</v>
      </c>
      <c r="L725" s="2" t="s">
        <v>93</v>
      </c>
      <c r="M725" s="2" t="s">
        <v>1532</v>
      </c>
      <c r="N725" s="2" t="s">
        <v>30</v>
      </c>
      <c r="O725" s="2" t="s">
        <v>36</v>
      </c>
      <c r="P725" s="2" t="s">
        <v>1533</v>
      </c>
      <c r="Q725" s="2">
        <v>1408.1</v>
      </c>
      <c r="R725" s="2">
        <v>10</v>
      </c>
      <c r="S725" s="2">
        <v>394.26799999999997</v>
      </c>
      <c r="T725" s="2" t="s">
        <v>83</v>
      </c>
      <c r="U725" s="2" t="s">
        <v>77</v>
      </c>
    </row>
    <row r="726" spans="1:21" ht="14.25" customHeight="1" x14ac:dyDescent="0.3">
      <c r="A726" s="2" t="s">
        <v>2446</v>
      </c>
      <c r="B726" s="5">
        <v>42919</v>
      </c>
      <c r="C726" s="2" t="str">
        <f>TEXT(data[[#This Row],[Order Date]],"YYYY")</f>
        <v>2017</v>
      </c>
      <c r="D726" s="2">
        <v>42922</v>
      </c>
      <c r="E726" s="2" t="s">
        <v>21</v>
      </c>
      <c r="F726" s="2" t="s">
        <v>1224</v>
      </c>
      <c r="G726" s="2" t="s">
        <v>1225</v>
      </c>
      <c r="H726" s="2" t="s">
        <v>100</v>
      </c>
      <c r="I726" s="2" t="s">
        <v>25</v>
      </c>
      <c r="J726" s="2" t="s">
        <v>815</v>
      </c>
      <c r="K726" s="2" t="s">
        <v>231</v>
      </c>
      <c r="L726" s="2" t="s">
        <v>67</v>
      </c>
      <c r="M726" s="2" t="s">
        <v>454</v>
      </c>
      <c r="N726" s="2" t="s">
        <v>30</v>
      </c>
      <c r="O726" s="2" t="s">
        <v>45</v>
      </c>
      <c r="P726" s="2" t="s">
        <v>455</v>
      </c>
      <c r="Q726" s="2">
        <v>215.148</v>
      </c>
      <c r="R726" s="2">
        <v>2</v>
      </c>
      <c r="S726" s="2">
        <v>-103.98820000000001</v>
      </c>
      <c r="T726" s="2" t="s">
        <v>33</v>
      </c>
      <c r="U726" s="2" t="s">
        <v>71</v>
      </c>
    </row>
    <row r="727" spans="1:21" ht="14.25" customHeight="1" x14ac:dyDescent="0.3">
      <c r="A727" s="2" t="s">
        <v>2447</v>
      </c>
      <c r="B727" s="5">
        <v>43077</v>
      </c>
      <c r="C727" s="2" t="str">
        <f>TEXT(data[[#This Row],[Order Date]],"YYYY")</f>
        <v>2017</v>
      </c>
      <c r="D727" s="2">
        <v>43078</v>
      </c>
      <c r="E727" s="2" t="s">
        <v>87</v>
      </c>
      <c r="F727" s="2" t="s">
        <v>1574</v>
      </c>
      <c r="G727" s="2" t="s">
        <v>1575</v>
      </c>
      <c r="H727" s="2" t="s">
        <v>24</v>
      </c>
      <c r="I727" s="2" t="s">
        <v>25</v>
      </c>
      <c r="J727" s="2" t="s">
        <v>2448</v>
      </c>
      <c r="K727" s="2" t="s">
        <v>53</v>
      </c>
      <c r="L727" s="2" t="s">
        <v>54</v>
      </c>
      <c r="M727" s="2" t="s">
        <v>2449</v>
      </c>
      <c r="N727" s="2" t="s">
        <v>30</v>
      </c>
      <c r="O727" s="2" t="s">
        <v>56</v>
      </c>
      <c r="P727" s="2" t="s">
        <v>2450</v>
      </c>
      <c r="Q727" s="2">
        <v>128.9</v>
      </c>
      <c r="R727" s="2">
        <v>2</v>
      </c>
      <c r="S727" s="2">
        <v>15.468</v>
      </c>
      <c r="T727" s="2" t="s">
        <v>123</v>
      </c>
      <c r="U727" s="2" t="s">
        <v>96</v>
      </c>
    </row>
    <row r="728" spans="1:21" ht="14.25" customHeight="1" x14ac:dyDescent="0.3">
      <c r="A728" s="2" t="s">
        <v>2451</v>
      </c>
      <c r="B728" s="5">
        <v>42274</v>
      </c>
      <c r="C728" s="2" t="str">
        <f>TEXT(data[[#This Row],[Order Date]],"YYYY")</f>
        <v>2015</v>
      </c>
      <c r="D728" s="2">
        <v>42276</v>
      </c>
      <c r="E728" s="2" t="s">
        <v>87</v>
      </c>
      <c r="F728" s="2" t="s">
        <v>1309</v>
      </c>
      <c r="G728" s="2" t="s">
        <v>1310</v>
      </c>
      <c r="H728" s="2" t="s">
        <v>24</v>
      </c>
      <c r="I728" s="2" t="s">
        <v>25</v>
      </c>
      <c r="J728" s="2" t="s">
        <v>133</v>
      </c>
      <c r="K728" s="2" t="s">
        <v>134</v>
      </c>
      <c r="L728" s="2" t="s">
        <v>93</v>
      </c>
      <c r="M728" s="2" t="s">
        <v>648</v>
      </c>
      <c r="N728" s="2" t="s">
        <v>30</v>
      </c>
      <c r="O728" s="2" t="s">
        <v>56</v>
      </c>
      <c r="P728" s="2" t="s">
        <v>649</v>
      </c>
      <c r="Q728" s="2">
        <v>24.288</v>
      </c>
      <c r="R728" s="2">
        <v>3</v>
      </c>
      <c r="S728" s="2">
        <v>-12.751200000000001</v>
      </c>
      <c r="T728" s="2" t="s">
        <v>70</v>
      </c>
      <c r="U728" s="2" t="s">
        <v>77</v>
      </c>
    </row>
    <row r="729" spans="1:21" ht="14.25" customHeight="1" x14ac:dyDescent="0.3">
      <c r="A729" s="2" t="s">
        <v>2452</v>
      </c>
      <c r="B729" s="5">
        <v>43038</v>
      </c>
      <c r="C729" s="2" t="str">
        <f>TEXT(data[[#This Row],[Order Date]],"YYYY")</f>
        <v>2017</v>
      </c>
      <c r="D729" s="2">
        <v>43038</v>
      </c>
      <c r="E729" s="2" t="s">
        <v>425</v>
      </c>
      <c r="F729" s="2" t="s">
        <v>1582</v>
      </c>
      <c r="G729" s="2" t="s">
        <v>1583</v>
      </c>
      <c r="H729" s="2" t="s">
        <v>24</v>
      </c>
      <c r="I729" s="2" t="s">
        <v>25</v>
      </c>
      <c r="J729" s="2" t="s">
        <v>1739</v>
      </c>
      <c r="K729" s="2" t="s">
        <v>92</v>
      </c>
      <c r="L729" s="2" t="s">
        <v>93</v>
      </c>
      <c r="M729" s="2" t="s">
        <v>648</v>
      </c>
      <c r="N729" s="2" t="s">
        <v>30</v>
      </c>
      <c r="O729" s="2" t="s">
        <v>56</v>
      </c>
      <c r="P729" s="2" t="s">
        <v>649</v>
      </c>
      <c r="Q729" s="2">
        <v>16.192</v>
      </c>
      <c r="R729" s="2">
        <v>2</v>
      </c>
      <c r="S729" s="2">
        <v>-8.5007999999999999</v>
      </c>
      <c r="T729" s="2" t="s">
        <v>430</v>
      </c>
      <c r="U729" s="2" t="s">
        <v>48</v>
      </c>
    </row>
    <row r="730" spans="1:21" ht="14.25" customHeight="1" x14ac:dyDescent="0.3">
      <c r="A730" s="2" t="s">
        <v>2452</v>
      </c>
      <c r="B730" s="5">
        <v>43038</v>
      </c>
      <c r="C730" s="2" t="str">
        <f>TEXT(data[[#This Row],[Order Date]],"YYYY")</f>
        <v>2017</v>
      </c>
      <c r="D730" s="2">
        <v>43038</v>
      </c>
      <c r="E730" s="2" t="s">
        <v>425</v>
      </c>
      <c r="F730" s="2" t="s">
        <v>1582</v>
      </c>
      <c r="G730" s="2" t="s">
        <v>1583</v>
      </c>
      <c r="H730" s="2" t="s">
        <v>24</v>
      </c>
      <c r="I730" s="2" t="s">
        <v>25</v>
      </c>
      <c r="J730" s="2" t="s">
        <v>1739</v>
      </c>
      <c r="K730" s="2" t="s">
        <v>92</v>
      </c>
      <c r="L730" s="2" t="s">
        <v>93</v>
      </c>
      <c r="M730" s="2" t="s">
        <v>454</v>
      </c>
      <c r="N730" s="2" t="s">
        <v>30</v>
      </c>
      <c r="O730" s="2" t="s">
        <v>45</v>
      </c>
      <c r="P730" s="2" t="s">
        <v>455</v>
      </c>
      <c r="Q730" s="2">
        <v>251.006</v>
      </c>
      <c r="R730" s="2">
        <v>2</v>
      </c>
      <c r="S730" s="2">
        <v>-68.130200000000002</v>
      </c>
      <c r="T730" s="2" t="s">
        <v>430</v>
      </c>
      <c r="U730" s="2" t="s">
        <v>48</v>
      </c>
    </row>
    <row r="731" spans="1:21" ht="14.25" customHeight="1" x14ac:dyDescent="0.3">
      <c r="A731" s="2" t="s">
        <v>2453</v>
      </c>
      <c r="B731" s="5">
        <v>42994</v>
      </c>
      <c r="C731" s="2" t="str">
        <f>TEXT(data[[#This Row],[Order Date]],"YYYY")</f>
        <v>2017</v>
      </c>
      <c r="D731" s="2">
        <v>42996</v>
      </c>
      <c r="E731" s="2" t="s">
        <v>87</v>
      </c>
      <c r="F731" s="2" t="s">
        <v>1625</v>
      </c>
      <c r="G731" s="2" t="s">
        <v>1626</v>
      </c>
      <c r="H731" s="2" t="s">
        <v>24</v>
      </c>
      <c r="I731" s="2" t="s">
        <v>25</v>
      </c>
      <c r="J731" s="2" t="s">
        <v>65</v>
      </c>
      <c r="K731" s="2" t="s">
        <v>66</v>
      </c>
      <c r="L731" s="2" t="s">
        <v>67</v>
      </c>
      <c r="M731" s="2" t="s">
        <v>2126</v>
      </c>
      <c r="N731" s="2" t="s">
        <v>30</v>
      </c>
      <c r="O731" s="2" t="s">
        <v>56</v>
      </c>
      <c r="P731" s="2" t="s">
        <v>2127</v>
      </c>
      <c r="Q731" s="2">
        <v>22.512</v>
      </c>
      <c r="R731" s="2">
        <v>3</v>
      </c>
      <c r="S731" s="2">
        <v>2.2511999999999999</v>
      </c>
      <c r="T731" s="2" t="s">
        <v>70</v>
      </c>
      <c r="U731" s="2" t="s">
        <v>77</v>
      </c>
    </row>
    <row r="732" spans="1:21" ht="14.25" customHeight="1" x14ac:dyDescent="0.3">
      <c r="A732" s="2" t="s">
        <v>2454</v>
      </c>
      <c r="B732" s="5">
        <v>42257</v>
      </c>
      <c r="C732" s="2" t="str">
        <f>TEXT(data[[#This Row],[Order Date]],"YYYY")</f>
        <v>2015</v>
      </c>
      <c r="D732" s="2">
        <v>42261</v>
      </c>
      <c r="E732" s="2" t="s">
        <v>39</v>
      </c>
      <c r="F732" s="2" t="s">
        <v>1598</v>
      </c>
      <c r="G732" s="2" t="s">
        <v>1599</v>
      </c>
      <c r="H732" s="2" t="s">
        <v>90</v>
      </c>
      <c r="I732" s="2" t="s">
        <v>25</v>
      </c>
      <c r="J732" s="2" t="s">
        <v>2455</v>
      </c>
      <c r="K732" s="2" t="s">
        <v>434</v>
      </c>
      <c r="L732" s="2" t="s">
        <v>67</v>
      </c>
      <c r="M732" s="2" t="s">
        <v>277</v>
      </c>
      <c r="N732" s="2" t="s">
        <v>30</v>
      </c>
      <c r="O732" s="2" t="s">
        <v>31</v>
      </c>
      <c r="P732" s="2" t="s">
        <v>278</v>
      </c>
      <c r="Q732" s="2">
        <v>361.96</v>
      </c>
      <c r="R732" s="2">
        <v>2</v>
      </c>
      <c r="S732" s="2">
        <v>83.250799999999998</v>
      </c>
      <c r="T732" s="2" t="s">
        <v>83</v>
      </c>
      <c r="U732" s="2" t="s">
        <v>77</v>
      </c>
    </row>
    <row r="733" spans="1:21" ht="14.25" customHeight="1" x14ac:dyDescent="0.3">
      <c r="A733" s="2" t="s">
        <v>2456</v>
      </c>
      <c r="B733" s="5">
        <v>42718</v>
      </c>
      <c r="C733" s="2" t="str">
        <f>TEXT(data[[#This Row],[Order Date]],"YYYY")</f>
        <v>2016</v>
      </c>
      <c r="D733" s="2">
        <v>42723</v>
      </c>
      <c r="E733" s="2" t="s">
        <v>39</v>
      </c>
      <c r="F733" s="2" t="s">
        <v>1337</v>
      </c>
      <c r="G733" s="2" t="s">
        <v>1338</v>
      </c>
      <c r="H733" s="2" t="s">
        <v>24</v>
      </c>
      <c r="I733" s="2" t="s">
        <v>25</v>
      </c>
      <c r="J733" s="2" t="s">
        <v>477</v>
      </c>
      <c r="K733" s="2" t="s">
        <v>478</v>
      </c>
      <c r="L733" s="2" t="s">
        <v>28</v>
      </c>
      <c r="M733" s="2" t="s">
        <v>1983</v>
      </c>
      <c r="N733" s="2" t="s">
        <v>30</v>
      </c>
      <c r="O733" s="2" t="s">
        <v>56</v>
      </c>
      <c r="P733" s="2" t="s">
        <v>1984</v>
      </c>
      <c r="Q733" s="2">
        <v>133.38</v>
      </c>
      <c r="R733" s="2">
        <v>6</v>
      </c>
      <c r="S733" s="2">
        <v>58.687199999999997</v>
      </c>
      <c r="T733" s="2" t="s">
        <v>58</v>
      </c>
      <c r="U733" s="2" t="s">
        <v>96</v>
      </c>
    </row>
    <row r="734" spans="1:21" ht="14.25" customHeight="1" x14ac:dyDescent="0.3">
      <c r="A734" s="2" t="s">
        <v>2457</v>
      </c>
      <c r="B734" s="5">
        <v>42705</v>
      </c>
      <c r="C734" s="2" t="str">
        <f>TEXT(data[[#This Row],[Order Date]],"YYYY")</f>
        <v>2016</v>
      </c>
      <c r="D734" s="2">
        <v>42709</v>
      </c>
      <c r="E734" s="2" t="s">
        <v>39</v>
      </c>
      <c r="F734" s="2" t="s">
        <v>1355</v>
      </c>
      <c r="G734" s="2" t="s">
        <v>1356</v>
      </c>
      <c r="H734" s="2" t="s">
        <v>24</v>
      </c>
      <c r="I734" s="2" t="s">
        <v>25</v>
      </c>
      <c r="J734" s="2" t="s">
        <v>328</v>
      </c>
      <c r="K734" s="2" t="s">
        <v>53</v>
      </c>
      <c r="L734" s="2" t="s">
        <v>54</v>
      </c>
      <c r="M734" s="2" t="s">
        <v>1147</v>
      </c>
      <c r="N734" s="2" t="s">
        <v>30</v>
      </c>
      <c r="O734" s="2" t="s">
        <v>56</v>
      </c>
      <c r="P734" s="2" t="s">
        <v>1148</v>
      </c>
      <c r="Q734" s="2">
        <v>16.739999999999998</v>
      </c>
      <c r="R734" s="2">
        <v>2</v>
      </c>
      <c r="S734" s="2">
        <v>4.3524000000000003</v>
      </c>
      <c r="T734" s="2" t="s">
        <v>83</v>
      </c>
      <c r="U734" s="2" t="s">
        <v>96</v>
      </c>
    </row>
    <row r="735" spans="1:21" ht="14.25" customHeight="1" x14ac:dyDescent="0.3">
      <c r="A735" s="2" t="s">
        <v>2458</v>
      </c>
      <c r="B735" s="5">
        <v>42797</v>
      </c>
      <c r="C735" s="2" t="str">
        <f>TEXT(data[[#This Row],[Order Date]],"YYYY")</f>
        <v>2017</v>
      </c>
      <c r="D735" s="2">
        <v>42804</v>
      </c>
      <c r="E735" s="2" t="s">
        <v>39</v>
      </c>
      <c r="F735" s="2" t="s">
        <v>2063</v>
      </c>
      <c r="G735" s="2" t="s">
        <v>2064</v>
      </c>
      <c r="H735" s="2" t="s">
        <v>24</v>
      </c>
      <c r="I735" s="2" t="s">
        <v>25</v>
      </c>
      <c r="J735" s="2" t="s">
        <v>2459</v>
      </c>
      <c r="K735" s="2" t="s">
        <v>289</v>
      </c>
      <c r="L735" s="2" t="s">
        <v>93</v>
      </c>
      <c r="M735" s="2" t="s">
        <v>420</v>
      </c>
      <c r="N735" s="2" t="s">
        <v>30</v>
      </c>
      <c r="O735" s="2" t="s">
        <v>36</v>
      </c>
      <c r="P735" s="2" t="s">
        <v>421</v>
      </c>
      <c r="Q735" s="2">
        <v>180.98</v>
      </c>
      <c r="R735" s="2">
        <v>1</v>
      </c>
      <c r="S735" s="2">
        <v>47.0548</v>
      </c>
      <c r="T735" s="2" t="s">
        <v>47</v>
      </c>
      <c r="U735" s="2" t="s">
        <v>195</v>
      </c>
    </row>
    <row r="736" spans="1:21" ht="14.25" customHeight="1" x14ac:dyDescent="0.3">
      <c r="A736" s="2" t="s">
        <v>2460</v>
      </c>
      <c r="B736" s="5">
        <v>42712</v>
      </c>
      <c r="C736" s="2" t="str">
        <f>TEXT(data[[#This Row],[Order Date]],"YYYY")</f>
        <v>2016</v>
      </c>
      <c r="D736" s="2">
        <v>42718</v>
      </c>
      <c r="E736" s="2" t="s">
        <v>39</v>
      </c>
      <c r="F736" s="2" t="s">
        <v>1111</v>
      </c>
      <c r="G736" s="2" t="s">
        <v>1112</v>
      </c>
      <c r="H736" s="2" t="s">
        <v>90</v>
      </c>
      <c r="I736" s="2" t="s">
        <v>25</v>
      </c>
      <c r="J736" s="2" t="s">
        <v>328</v>
      </c>
      <c r="K736" s="2" t="s">
        <v>53</v>
      </c>
      <c r="L736" s="2" t="s">
        <v>54</v>
      </c>
      <c r="M736" s="2" t="s">
        <v>1671</v>
      </c>
      <c r="N736" s="2" t="s">
        <v>30</v>
      </c>
      <c r="O736" s="2" t="s">
        <v>45</v>
      </c>
      <c r="P736" s="2" t="s">
        <v>1672</v>
      </c>
      <c r="Q736" s="2">
        <v>1421.664</v>
      </c>
      <c r="R736" s="2">
        <v>6</v>
      </c>
      <c r="S736" s="2">
        <v>-195.47880000000001</v>
      </c>
      <c r="T736" s="2" t="s">
        <v>129</v>
      </c>
      <c r="U736" s="2" t="s">
        <v>96</v>
      </c>
    </row>
    <row r="737" spans="1:21" ht="14.25" customHeight="1" x14ac:dyDescent="0.3">
      <c r="A737" s="2" t="s">
        <v>2461</v>
      </c>
      <c r="B737" s="5">
        <v>41736</v>
      </c>
      <c r="C737" s="2" t="str">
        <f>TEXT(data[[#This Row],[Order Date]],"YYYY")</f>
        <v>2014</v>
      </c>
      <c r="D737" s="2">
        <v>41739</v>
      </c>
      <c r="E737" s="2" t="s">
        <v>87</v>
      </c>
      <c r="F737" s="2" t="s">
        <v>847</v>
      </c>
      <c r="G737" s="2" t="s">
        <v>848</v>
      </c>
      <c r="H737" s="2" t="s">
        <v>24</v>
      </c>
      <c r="I737" s="2" t="s">
        <v>25</v>
      </c>
      <c r="J737" s="2" t="s">
        <v>2462</v>
      </c>
      <c r="K737" s="2" t="s">
        <v>1276</v>
      </c>
      <c r="L737" s="2" t="s">
        <v>28</v>
      </c>
      <c r="M737" s="2" t="s">
        <v>1408</v>
      </c>
      <c r="N737" s="2" t="s">
        <v>30</v>
      </c>
      <c r="O737" s="2" t="s">
        <v>56</v>
      </c>
      <c r="P737" s="2" t="s">
        <v>1409</v>
      </c>
      <c r="Q737" s="2">
        <v>8.9600000000000009</v>
      </c>
      <c r="R737" s="2">
        <v>2</v>
      </c>
      <c r="S737" s="2">
        <v>2.7776000000000001</v>
      </c>
      <c r="T737" s="2" t="s">
        <v>33</v>
      </c>
      <c r="U737" s="2" t="s">
        <v>113</v>
      </c>
    </row>
    <row r="738" spans="1:21" ht="14.25" customHeight="1" x14ac:dyDescent="0.3">
      <c r="A738" s="2" t="s">
        <v>2463</v>
      </c>
      <c r="B738" s="5">
        <v>41878</v>
      </c>
      <c r="C738" s="2" t="str">
        <f>TEXT(data[[#This Row],[Order Date]],"YYYY")</f>
        <v>2014</v>
      </c>
      <c r="D738" s="2">
        <v>41880</v>
      </c>
      <c r="E738" s="2" t="s">
        <v>87</v>
      </c>
      <c r="F738" s="2" t="s">
        <v>2464</v>
      </c>
      <c r="G738" s="2" t="s">
        <v>2465</v>
      </c>
      <c r="H738" s="2" t="s">
        <v>90</v>
      </c>
      <c r="I738" s="2" t="s">
        <v>25</v>
      </c>
      <c r="J738" s="2" t="s">
        <v>878</v>
      </c>
      <c r="K738" s="2" t="s">
        <v>716</v>
      </c>
      <c r="L738" s="2" t="s">
        <v>28</v>
      </c>
      <c r="M738" s="2" t="s">
        <v>1348</v>
      </c>
      <c r="N738" s="2" t="s">
        <v>30</v>
      </c>
      <c r="O738" s="2" t="s">
        <v>56</v>
      </c>
      <c r="P738" s="2" t="s">
        <v>1349</v>
      </c>
      <c r="Q738" s="2">
        <v>29.12</v>
      </c>
      <c r="R738" s="2">
        <v>4</v>
      </c>
      <c r="S738" s="2">
        <v>12.521599999999999</v>
      </c>
      <c r="T738" s="2" t="s">
        <v>70</v>
      </c>
      <c r="U738" s="2" t="s">
        <v>253</v>
      </c>
    </row>
    <row r="739" spans="1:21" ht="14.25" customHeight="1" x14ac:dyDescent="0.3">
      <c r="A739" s="2" t="s">
        <v>2463</v>
      </c>
      <c r="B739" s="5">
        <v>41878</v>
      </c>
      <c r="C739" s="2" t="str">
        <f>TEXT(data[[#This Row],[Order Date]],"YYYY")</f>
        <v>2014</v>
      </c>
      <c r="D739" s="2">
        <v>41880</v>
      </c>
      <c r="E739" s="2" t="s">
        <v>87</v>
      </c>
      <c r="F739" s="2" t="s">
        <v>2464</v>
      </c>
      <c r="G739" s="2" t="s">
        <v>2465</v>
      </c>
      <c r="H739" s="2" t="s">
        <v>90</v>
      </c>
      <c r="I739" s="2" t="s">
        <v>25</v>
      </c>
      <c r="J739" s="2" t="s">
        <v>878</v>
      </c>
      <c r="K739" s="2" t="s">
        <v>716</v>
      </c>
      <c r="L739" s="2" t="s">
        <v>28</v>
      </c>
      <c r="M739" s="2" t="s">
        <v>1991</v>
      </c>
      <c r="N739" s="2" t="s">
        <v>30</v>
      </c>
      <c r="O739" s="2" t="s">
        <v>45</v>
      </c>
      <c r="P739" s="2" t="s">
        <v>1992</v>
      </c>
      <c r="Q739" s="2">
        <v>1202.94</v>
      </c>
      <c r="R739" s="2">
        <v>3</v>
      </c>
      <c r="S739" s="2">
        <v>300.73500000000001</v>
      </c>
      <c r="T739" s="2" t="s">
        <v>70</v>
      </c>
      <c r="U739" s="2" t="s">
        <v>253</v>
      </c>
    </row>
    <row r="740" spans="1:21" ht="14.25" customHeight="1" x14ac:dyDescent="0.3">
      <c r="A740" s="2" t="s">
        <v>2466</v>
      </c>
      <c r="B740" s="5">
        <v>42187</v>
      </c>
      <c r="C740" s="2" t="str">
        <f>TEXT(data[[#This Row],[Order Date]],"YYYY")</f>
        <v>2015</v>
      </c>
      <c r="D740" s="2">
        <v>42191</v>
      </c>
      <c r="E740" s="2" t="s">
        <v>39</v>
      </c>
      <c r="F740" s="2" t="s">
        <v>2467</v>
      </c>
      <c r="G740" s="2" t="s">
        <v>2468</v>
      </c>
      <c r="H740" s="2" t="s">
        <v>24</v>
      </c>
      <c r="I740" s="2" t="s">
        <v>25</v>
      </c>
      <c r="J740" s="2" t="s">
        <v>2469</v>
      </c>
      <c r="K740" s="2" t="s">
        <v>134</v>
      </c>
      <c r="L740" s="2" t="s">
        <v>93</v>
      </c>
      <c r="M740" s="2" t="s">
        <v>381</v>
      </c>
      <c r="N740" s="2" t="s">
        <v>30</v>
      </c>
      <c r="O740" s="2" t="s">
        <v>36</v>
      </c>
      <c r="P740" s="2" t="s">
        <v>382</v>
      </c>
      <c r="Q740" s="2">
        <v>408.42200000000003</v>
      </c>
      <c r="R740" s="2">
        <v>2</v>
      </c>
      <c r="S740" s="2">
        <v>-5.8346</v>
      </c>
      <c r="T740" s="2" t="s">
        <v>83</v>
      </c>
      <c r="U740" s="2" t="s">
        <v>71</v>
      </c>
    </row>
    <row r="741" spans="1:21" ht="14.25" customHeight="1" x14ac:dyDescent="0.3">
      <c r="A741" s="2" t="s">
        <v>2466</v>
      </c>
      <c r="B741" s="5">
        <v>42187</v>
      </c>
      <c r="C741" s="2" t="str">
        <f>TEXT(data[[#This Row],[Order Date]],"YYYY")</f>
        <v>2015</v>
      </c>
      <c r="D741" s="2">
        <v>42191</v>
      </c>
      <c r="E741" s="2" t="s">
        <v>39</v>
      </c>
      <c r="F741" s="2" t="s">
        <v>2467</v>
      </c>
      <c r="G741" s="2" t="s">
        <v>2468</v>
      </c>
      <c r="H741" s="2" t="s">
        <v>24</v>
      </c>
      <c r="I741" s="2" t="s">
        <v>25</v>
      </c>
      <c r="J741" s="2" t="s">
        <v>2469</v>
      </c>
      <c r="K741" s="2" t="s">
        <v>134</v>
      </c>
      <c r="L741" s="2" t="s">
        <v>93</v>
      </c>
      <c r="M741" s="2" t="s">
        <v>1617</v>
      </c>
      <c r="N741" s="2" t="s">
        <v>30</v>
      </c>
      <c r="O741" s="2" t="s">
        <v>36</v>
      </c>
      <c r="P741" s="2" t="s">
        <v>1618</v>
      </c>
      <c r="Q741" s="2">
        <v>382.11599999999999</v>
      </c>
      <c r="R741" s="2">
        <v>6</v>
      </c>
      <c r="S741" s="2">
        <v>-92.799599999999998</v>
      </c>
      <c r="T741" s="2" t="s">
        <v>83</v>
      </c>
      <c r="U741" s="2" t="s">
        <v>71</v>
      </c>
    </row>
    <row r="742" spans="1:21" ht="14.25" customHeight="1" x14ac:dyDescent="0.3">
      <c r="A742" s="2" t="s">
        <v>2470</v>
      </c>
      <c r="B742" s="5">
        <v>43002</v>
      </c>
      <c r="C742" s="2" t="str">
        <f>TEXT(data[[#This Row],[Order Date]],"YYYY")</f>
        <v>2017</v>
      </c>
      <c r="D742" s="2">
        <v>43006</v>
      </c>
      <c r="E742" s="2" t="s">
        <v>39</v>
      </c>
      <c r="F742" s="2" t="s">
        <v>578</v>
      </c>
      <c r="G742" s="2" t="s">
        <v>579</v>
      </c>
      <c r="H742" s="2" t="s">
        <v>90</v>
      </c>
      <c r="I742" s="2" t="s">
        <v>25</v>
      </c>
      <c r="J742" s="2" t="s">
        <v>2471</v>
      </c>
      <c r="K742" s="2" t="s">
        <v>166</v>
      </c>
      <c r="L742" s="2" t="s">
        <v>93</v>
      </c>
      <c r="M742" s="2" t="s">
        <v>855</v>
      </c>
      <c r="N742" s="2" t="s">
        <v>30</v>
      </c>
      <c r="O742" s="2" t="s">
        <v>36</v>
      </c>
      <c r="P742" s="2" t="s">
        <v>856</v>
      </c>
      <c r="Q742" s="2">
        <v>603.91999999999996</v>
      </c>
      <c r="R742" s="2">
        <v>4</v>
      </c>
      <c r="S742" s="2">
        <v>181.17599999999999</v>
      </c>
      <c r="T742" s="2" t="s">
        <v>83</v>
      </c>
      <c r="U742" s="2" t="s">
        <v>77</v>
      </c>
    </row>
    <row r="743" spans="1:21" ht="14.25" customHeight="1" x14ac:dyDescent="0.3">
      <c r="A743" s="2" t="s">
        <v>2472</v>
      </c>
      <c r="B743" s="5">
        <v>42590</v>
      </c>
      <c r="C743" s="2" t="str">
        <f>TEXT(data[[#This Row],[Order Date]],"YYYY")</f>
        <v>2016</v>
      </c>
      <c r="D743" s="2">
        <v>42597</v>
      </c>
      <c r="E743" s="2" t="s">
        <v>39</v>
      </c>
      <c r="F743" s="2" t="s">
        <v>2473</v>
      </c>
      <c r="G743" s="2" t="s">
        <v>2474</v>
      </c>
      <c r="H743" s="2" t="s">
        <v>100</v>
      </c>
      <c r="I743" s="2" t="s">
        <v>25</v>
      </c>
      <c r="J743" s="2" t="s">
        <v>52</v>
      </c>
      <c r="K743" s="2" t="s">
        <v>53</v>
      </c>
      <c r="L743" s="2" t="s">
        <v>54</v>
      </c>
      <c r="M743" s="2" t="s">
        <v>1077</v>
      </c>
      <c r="N743" s="2" t="s">
        <v>30</v>
      </c>
      <c r="O743" s="2" t="s">
        <v>45</v>
      </c>
      <c r="P743" s="2" t="s">
        <v>1078</v>
      </c>
      <c r="Q743" s="2">
        <v>513.024</v>
      </c>
      <c r="R743" s="2">
        <v>2</v>
      </c>
      <c r="S743" s="2">
        <v>12.8256</v>
      </c>
      <c r="T743" s="2" t="s">
        <v>47</v>
      </c>
      <c r="U743" s="2" t="s">
        <v>253</v>
      </c>
    </row>
    <row r="744" spans="1:21" ht="14.25" customHeight="1" x14ac:dyDescent="0.3">
      <c r="A744" s="2" t="s">
        <v>2475</v>
      </c>
      <c r="B744" s="5">
        <v>41810</v>
      </c>
      <c r="C744" s="2" t="str">
        <f>TEXT(data[[#This Row],[Order Date]],"YYYY")</f>
        <v>2014</v>
      </c>
      <c r="D744" s="2">
        <v>41814</v>
      </c>
      <c r="E744" s="2" t="s">
        <v>39</v>
      </c>
      <c r="F744" s="2" t="s">
        <v>2476</v>
      </c>
      <c r="G744" s="2" t="s">
        <v>2477</v>
      </c>
      <c r="H744" s="2" t="s">
        <v>24</v>
      </c>
      <c r="I744" s="2" t="s">
        <v>25</v>
      </c>
      <c r="J744" s="2" t="s">
        <v>2478</v>
      </c>
      <c r="K744" s="2" t="s">
        <v>92</v>
      </c>
      <c r="L744" s="2" t="s">
        <v>93</v>
      </c>
      <c r="M744" s="2" t="s">
        <v>2479</v>
      </c>
      <c r="N744" s="2" t="s">
        <v>30</v>
      </c>
      <c r="O744" s="2" t="s">
        <v>31</v>
      </c>
      <c r="P744" s="2" t="s">
        <v>2480</v>
      </c>
      <c r="Q744" s="2">
        <v>193.06559999999999</v>
      </c>
      <c r="R744" s="2">
        <v>4</v>
      </c>
      <c r="S744" s="2">
        <v>-19.874400000000001</v>
      </c>
      <c r="T744" s="2" t="s">
        <v>83</v>
      </c>
      <c r="U744" s="2" t="s">
        <v>59</v>
      </c>
    </row>
    <row r="745" spans="1:21" ht="14.25" customHeight="1" x14ac:dyDescent="0.3">
      <c r="A745" s="2" t="s">
        <v>2481</v>
      </c>
      <c r="B745" s="5">
        <v>42982</v>
      </c>
      <c r="C745" s="2" t="str">
        <f>TEXT(data[[#This Row],[Order Date]],"YYYY")</f>
        <v>2017</v>
      </c>
      <c r="D745" s="2">
        <v>42984</v>
      </c>
      <c r="E745" s="2" t="s">
        <v>87</v>
      </c>
      <c r="F745" s="2" t="s">
        <v>828</v>
      </c>
      <c r="G745" s="2" t="s">
        <v>829</v>
      </c>
      <c r="H745" s="2" t="s">
        <v>90</v>
      </c>
      <c r="I745" s="2" t="s">
        <v>25</v>
      </c>
      <c r="J745" s="2" t="s">
        <v>133</v>
      </c>
      <c r="K745" s="2" t="s">
        <v>134</v>
      </c>
      <c r="L745" s="2" t="s">
        <v>93</v>
      </c>
      <c r="M745" s="2" t="s">
        <v>2482</v>
      </c>
      <c r="N745" s="2" t="s">
        <v>30</v>
      </c>
      <c r="O745" s="2" t="s">
        <v>31</v>
      </c>
      <c r="P745" s="2" t="s">
        <v>2483</v>
      </c>
      <c r="Q745" s="2">
        <v>825.17399999999998</v>
      </c>
      <c r="R745" s="2">
        <v>9</v>
      </c>
      <c r="S745" s="2">
        <v>-117.88200000000001</v>
      </c>
      <c r="T745" s="2" t="s">
        <v>70</v>
      </c>
      <c r="U745" s="2" t="s">
        <v>77</v>
      </c>
    </row>
    <row r="746" spans="1:21" ht="14.25" customHeight="1" x14ac:dyDescent="0.3">
      <c r="A746" s="2" t="s">
        <v>2484</v>
      </c>
      <c r="B746" s="5">
        <v>42177</v>
      </c>
      <c r="C746" s="2" t="str">
        <f>TEXT(data[[#This Row],[Order Date]],"YYYY")</f>
        <v>2015</v>
      </c>
      <c r="D746" s="2">
        <v>42180</v>
      </c>
      <c r="E746" s="2" t="s">
        <v>87</v>
      </c>
      <c r="F746" s="2" t="s">
        <v>2485</v>
      </c>
      <c r="G746" s="2" t="s">
        <v>2486</v>
      </c>
      <c r="H746" s="2" t="s">
        <v>100</v>
      </c>
      <c r="I746" s="2" t="s">
        <v>25</v>
      </c>
      <c r="J746" s="2" t="s">
        <v>179</v>
      </c>
      <c r="K746" s="2" t="s">
        <v>134</v>
      </c>
      <c r="L746" s="2" t="s">
        <v>93</v>
      </c>
      <c r="M746" s="2" t="s">
        <v>1883</v>
      </c>
      <c r="N746" s="2" t="s">
        <v>30</v>
      </c>
      <c r="O746" s="2" t="s">
        <v>45</v>
      </c>
      <c r="P746" s="2" t="s">
        <v>1884</v>
      </c>
      <c r="Q746" s="2">
        <v>796.42499999999995</v>
      </c>
      <c r="R746" s="2">
        <v>7</v>
      </c>
      <c r="S746" s="2">
        <v>-525.64049999999997</v>
      </c>
      <c r="T746" s="2" t="s">
        <v>33</v>
      </c>
      <c r="U746" s="2" t="s">
        <v>59</v>
      </c>
    </row>
    <row r="747" spans="1:21" ht="14.25" customHeight="1" x14ac:dyDescent="0.3">
      <c r="A747" s="2" t="s">
        <v>2487</v>
      </c>
      <c r="B747" s="5">
        <v>42631</v>
      </c>
      <c r="C747" s="2" t="str">
        <f>TEXT(data[[#This Row],[Order Date]],"YYYY")</f>
        <v>2016</v>
      </c>
      <c r="D747" s="2">
        <v>42633</v>
      </c>
      <c r="E747" s="2" t="s">
        <v>87</v>
      </c>
      <c r="F747" s="2" t="s">
        <v>739</v>
      </c>
      <c r="G747" s="2" t="s">
        <v>740</v>
      </c>
      <c r="H747" s="2" t="s">
        <v>24</v>
      </c>
      <c r="I747" s="2" t="s">
        <v>25</v>
      </c>
      <c r="J747" s="2" t="s">
        <v>347</v>
      </c>
      <c r="K747" s="2" t="s">
        <v>231</v>
      </c>
      <c r="L747" s="2" t="s">
        <v>67</v>
      </c>
      <c r="M747" s="2" t="s">
        <v>1912</v>
      </c>
      <c r="N747" s="2" t="s">
        <v>30</v>
      </c>
      <c r="O747" s="2" t="s">
        <v>56</v>
      </c>
      <c r="P747" s="2" t="s">
        <v>1913</v>
      </c>
      <c r="Q747" s="2">
        <v>5.3520000000000003</v>
      </c>
      <c r="R747" s="2">
        <v>3</v>
      </c>
      <c r="S747" s="2">
        <v>1.6055999999999999</v>
      </c>
      <c r="T747" s="2" t="s">
        <v>70</v>
      </c>
      <c r="U747" s="2" t="s">
        <v>77</v>
      </c>
    </row>
    <row r="748" spans="1:21" ht="14.25" customHeight="1" x14ac:dyDescent="0.3">
      <c r="A748" s="2" t="s">
        <v>2487</v>
      </c>
      <c r="B748" s="5">
        <v>42631</v>
      </c>
      <c r="C748" s="2" t="str">
        <f>TEXT(data[[#This Row],[Order Date]],"YYYY")</f>
        <v>2016</v>
      </c>
      <c r="D748" s="2">
        <v>42633</v>
      </c>
      <c r="E748" s="2" t="s">
        <v>87</v>
      </c>
      <c r="F748" s="2" t="s">
        <v>739</v>
      </c>
      <c r="G748" s="2" t="s">
        <v>740</v>
      </c>
      <c r="H748" s="2" t="s">
        <v>24</v>
      </c>
      <c r="I748" s="2" t="s">
        <v>25</v>
      </c>
      <c r="J748" s="2" t="s">
        <v>347</v>
      </c>
      <c r="K748" s="2" t="s">
        <v>231</v>
      </c>
      <c r="L748" s="2" t="s">
        <v>67</v>
      </c>
      <c r="M748" s="2" t="s">
        <v>590</v>
      </c>
      <c r="N748" s="2" t="s">
        <v>30</v>
      </c>
      <c r="O748" s="2" t="s">
        <v>36</v>
      </c>
      <c r="P748" s="2" t="s">
        <v>591</v>
      </c>
      <c r="Q748" s="2">
        <v>99.372</v>
      </c>
      <c r="R748" s="2">
        <v>2</v>
      </c>
      <c r="S748" s="2">
        <v>-7.0979999999999999</v>
      </c>
      <c r="T748" s="2" t="s">
        <v>70</v>
      </c>
      <c r="U748" s="2" t="s">
        <v>77</v>
      </c>
    </row>
    <row r="749" spans="1:21" ht="14.25" customHeight="1" x14ac:dyDescent="0.3">
      <c r="A749" s="2" t="s">
        <v>2488</v>
      </c>
      <c r="B749" s="5">
        <v>43038</v>
      </c>
      <c r="C749" s="2" t="str">
        <f>TEXT(data[[#This Row],[Order Date]],"YYYY")</f>
        <v>2017</v>
      </c>
      <c r="D749" s="2">
        <v>43040</v>
      </c>
      <c r="E749" s="2" t="s">
        <v>87</v>
      </c>
      <c r="F749" s="2" t="s">
        <v>2489</v>
      </c>
      <c r="G749" s="2" t="s">
        <v>2490</v>
      </c>
      <c r="H749" s="2" t="s">
        <v>100</v>
      </c>
      <c r="I749" s="2" t="s">
        <v>25</v>
      </c>
      <c r="J749" s="2" t="s">
        <v>635</v>
      </c>
      <c r="K749" s="2" t="s">
        <v>27</v>
      </c>
      <c r="L749" s="2" t="s">
        <v>28</v>
      </c>
      <c r="M749" s="2" t="s">
        <v>1765</v>
      </c>
      <c r="N749" s="2" t="s">
        <v>30</v>
      </c>
      <c r="O749" s="2" t="s">
        <v>36</v>
      </c>
      <c r="P749" s="2" t="s">
        <v>1766</v>
      </c>
      <c r="Q749" s="2">
        <v>33.94</v>
      </c>
      <c r="R749" s="2">
        <v>1</v>
      </c>
      <c r="S749" s="2">
        <v>9.1638000000000002</v>
      </c>
      <c r="T749" s="2" t="s">
        <v>70</v>
      </c>
      <c r="U749" s="2" t="s">
        <v>48</v>
      </c>
    </row>
    <row r="750" spans="1:21" ht="14.25" customHeight="1" x14ac:dyDescent="0.3">
      <c r="A750" s="2" t="s">
        <v>2491</v>
      </c>
      <c r="B750" s="5">
        <v>42458</v>
      </c>
      <c r="C750" s="2" t="str">
        <f>TEXT(data[[#This Row],[Order Date]],"YYYY")</f>
        <v>2016</v>
      </c>
      <c r="D750" s="2">
        <v>42462</v>
      </c>
      <c r="E750" s="2" t="s">
        <v>21</v>
      </c>
      <c r="F750" s="2" t="s">
        <v>1282</v>
      </c>
      <c r="G750" s="2" t="s">
        <v>1283</v>
      </c>
      <c r="H750" s="2" t="s">
        <v>100</v>
      </c>
      <c r="I750" s="2" t="s">
        <v>25</v>
      </c>
      <c r="J750" s="2" t="s">
        <v>133</v>
      </c>
      <c r="K750" s="2" t="s">
        <v>134</v>
      </c>
      <c r="L750" s="2" t="s">
        <v>93</v>
      </c>
      <c r="M750" s="2" t="s">
        <v>329</v>
      </c>
      <c r="N750" s="2" t="s">
        <v>30</v>
      </c>
      <c r="O750" s="2" t="s">
        <v>36</v>
      </c>
      <c r="P750" s="2" t="s">
        <v>330</v>
      </c>
      <c r="Q750" s="2">
        <v>844.11599999999999</v>
      </c>
      <c r="R750" s="2">
        <v>6</v>
      </c>
      <c r="S750" s="2">
        <v>-36.176400000000001</v>
      </c>
      <c r="T750" s="2" t="s">
        <v>83</v>
      </c>
      <c r="U750" s="2" t="s">
        <v>195</v>
      </c>
    </row>
    <row r="751" spans="1:21" ht="14.25" customHeight="1" x14ac:dyDescent="0.3">
      <c r="A751" s="2" t="s">
        <v>2492</v>
      </c>
      <c r="B751" s="5">
        <v>42622</v>
      </c>
      <c r="C751" s="2" t="str">
        <f>TEXT(data[[#This Row],[Order Date]],"YYYY")</f>
        <v>2016</v>
      </c>
      <c r="D751" s="2">
        <v>42627</v>
      </c>
      <c r="E751" s="2" t="s">
        <v>21</v>
      </c>
      <c r="F751" s="2" t="s">
        <v>2301</v>
      </c>
      <c r="G751" s="2" t="s">
        <v>2302</v>
      </c>
      <c r="H751" s="2" t="s">
        <v>100</v>
      </c>
      <c r="I751" s="2" t="s">
        <v>25</v>
      </c>
      <c r="J751" s="2" t="s">
        <v>1739</v>
      </c>
      <c r="K751" s="2" t="s">
        <v>92</v>
      </c>
      <c r="L751" s="2" t="s">
        <v>93</v>
      </c>
      <c r="M751" s="2" t="s">
        <v>2126</v>
      </c>
      <c r="N751" s="2" t="s">
        <v>30</v>
      </c>
      <c r="O751" s="2" t="s">
        <v>56</v>
      </c>
      <c r="P751" s="2" t="s">
        <v>2127</v>
      </c>
      <c r="Q751" s="2">
        <v>15.007999999999999</v>
      </c>
      <c r="R751" s="2">
        <v>4</v>
      </c>
      <c r="S751" s="2">
        <v>-12.006399999999999</v>
      </c>
      <c r="T751" s="2" t="s">
        <v>58</v>
      </c>
      <c r="U751" s="2" t="s">
        <v>77</v>
      </c>
    </row>
    <row r="752" spans="1:21" ht="14.25" customHeight="1" x14ac:dyDescent="0.3">
      <c r="A752" s="2" t="s">
        <v>2493</v>
      </c>
      <c r="B752" s="5">
        <v>42576</v>
      </c>
      <c r="C752" s="2" t="str">
        <f>TEXT(data[[#This Row],[Order Date]],"YYYY")</f>
        <v>2016</v>
      </c>
      <c r="D752" s="2">
        <v>42580</v>
      </c>
      <c r="E752" s="2" t="s">
        <v>39</v>
      </c>
      <c r="F752" s="2" t="s">
        <v>2494</v>
      </c>
      <c r="G752" s="2" t="s">
        <v>2495</v>
      </c>
      <c r="H752" s="2" t="s">
        <v>24</v>
      </c>
      <c r="I752" s="2" t="s">
        <v>25</v>
      </c>
      <c r="J752" s="2" t="s">
        <v>477</v>
      </c>
      <c r="K752" s="2" t="s">
        <v>478</v>
      </c>
      <c r="L752" s="2" t="s">
        <v>28</v>
      </c>
      <c r="M752" s="2" t="s">
        <v>435</v>
      </c>
      <c r="N752" s="2" t="s">
        <v>30</v>
      </c>
      <c r="O752" s="2" t="s">
        <v>45</v>
      </c>
      <c r="P752" s="2" t="s">
        <v>436</v>
      </c>
      <c r="Q752" s="2">
        <v>2430.08</v>
      </c>
      <c r="R752" s="2">
        <v>8</v>
      </c>
      <c r="S752" s="2">
        <v>388.81279999999998</v>
      </c>
      <c r="T752" s="2" t="s">
        <v>83</v>
      </c>
      <c r="U752" s="2" t="s">
        <v>71</v>
      </c>
    </row>
    <row r="753" spans="1:21" ht="14.25" customHeight="1" x14ac:dyDescent="0.3">
      <c r="A753" s="2" t="s">
        <v>2496</v>
      </c>
      <c r="B753" s="5">
        <v>42348</v>
      </c>
      <c r="C753" s="2" t="str">
        <f>TEXT(data[[#This Row],[Order Date]],"YYYY")</f>
        <v>2015</v>
      </c>
      <c r="D753" s="2">
        <v>42354</v>
      </c>
      <c r="E753" s="2" t="s">
        <v>39</v>
      </c>
      <c r="F753" s="2" t="s">
        <v>2497</v>
      </c>
      <c r="G753" s="2" t="s">
        <v>2498</v>
      </c>
      <c r="H753" s="2" t="s">
        <v>90</v>
      </c>
      <c r="I753" s="2" t="s">
        <v>25</v>
      </c>
      <c r="J753" s="2" t="s">
        <v>477</v>
      </c>
      <c r="K753" s="2" t="s">
        <v>289</v>
      </c>
      <c r="L753" s="2" t="s">
        <v>93</v>
      </c>
      <c r="M753" s="2" t="s">
        <v>1991</v>
      </c>
      <c r="N753" s="2" t="s">
        <v>30</v>
      </c>
      <c r="O753" s="2" t="s">
        <v>45</v>
      </c>
      <c r="P753" s="2" t="s">
        <v>1992</v>
      </c>
      <c r="Q753" s="2">
        <v>801.96</v>
      </c>
      <c r="R753" s="2">
        <v>2</v>
      </c>
      <c r="S753" s="2">
        <v>200.49</v>
      </c>
      <c r="T753" s="2" t="s">
        <v>129</v>
      </c>
      <c r="U753" s="2" t="s">
        <v>96</v>
      </c>
    </row>
    <row r="754" spans="1:21" ht="14.25" customHeight="1" x14ac:dyDescent="0.3">
      <c r="A754" s="2" t="s">
        <v>2496</v>
      </c>
      <c r="B754" s="5">
        <v>42348</v>
      </c>
      <c r="C754" s="2" t="str">
        <f>TEXT(data[[#This Row],[Order Date]],"YYYY")</f>
        <v>2015</v>
      </c>
      <c r="D754" s="2">
        <v>42354</v>
      </c>
      <c r="E754" s="2" t="s">
        <v>39</v>
      </c>
      <c r="F754" s="2" t="s">
        <v>2497</v>
      </c>
      <c r="G754" s="2" t="s">
        <v>2498</v>
      </c>
      <c r="H754" s="2" t="s">
        <v>90</v>
      </c>
      <c r="I754" s="2" t="s">
        <v>25</v>
      </c>
      <c r="J754" s="2" t="s">
        <v>477</v>
      </c>
      <c r="K754" s="2" t="s">
        <v>289</v>
      </c>
      <c r="L754" s="2" t="s">
        <v>93</v>
      </c>
      <c r="M754" s="2" t="s">
        <v>1279</v>
      </c>
      <c r="N754" s="2" t="s">
        <v>30</v>
      </c>
      <c r="O754" s="2" t="s">
        <v>36</v>
      </c>
      <c r="P754" s="2" t="s">
        <v>1280</v>
      </c>
      <c r="Q754" s="2">
        <v>191.96</v>
      </c>
      <c r="R754" s="2">
        <v>2</v>
      </c>
      <c r="S754" s="2">
        <v>32.633200000000002</v>
      </c>
      <c r="T754" s="2" t="s">
        <v>129</v>
      </c>
      <c r="U754" s="2" t="s">
        <v>96</v>
      </c>
    </row>
    <row r="755" spans="1:21" ht="14.25" customHeight="1" x14ac:dyDescent="0.3">
      <c r="A755" s="2" t="s">
        <v>2499</v>
      </c>
      <c r="B755" s="5">
        <v>41891</v>
      </c>
      <c r="C755" s="2" t="str">
        <f>TEXT(data[[#This Row],[Order Date]],"YYYY")</f>
        <v>2014</v>
      </c>
      <c r="D755" s="2">
        <v>41896</v>
      </c>
      <c r="E755" s="2" t="s">
        <v>21</v>
      </c>
      <c r="F755" s="2" t="s">
        <v>1170</v>
      </c>
      <c r="G755" s="2" t="s">
        <v>1171</v>
      </c>
      <c r="H755" s="2" t="s">
        <v>24</v>
      </c>
      <c r="I755" s="2" t="s">
        <v>25</v>
      </c>
      <c r="J755" s="2" t="s">
        <v>65</v>
      </c>
      <c r="K755" s="2" t="s">
        <v>66</v>
      </c>
      <c r="L755" s="2" t="s">
        <v>67</v>
      </c>
      <c r="M755" s="2" t="s">
        <v>1348</v>
      </c>
      <c r="N755" s="2" t="s">
        <v>30</v>
      </c>
      <c r="O755" s="2" t="s">
        <v>56</v>
      </c>
      <c r="P755" s="2" t="s">
        <v>1349</v>
      </c>
      <c r="Q755" s="2">
        <v>17.472000000000001</v>
      </c>
      <c r="R755" s="2">
        <v>3</v>
      </c>
      <c r="S755" s="2">
        <v>5.0232000000000001</v>
      </c>
      <c r="T755" s="2" t="s">
        <v>58</v>
      </c>
      <c r="U755" s="2" t="s">
        <v>77</v>
      </c>
    </row>
    <row r="756" spans="1:21" ht="14.25" customHeight="1" x14ac:dyDescent="0.3">
      <c r="A756" s="2" t="s">
        <v>2500</v>
      </c>
      <c r="B756" s="5">
        <v>41960</v>
      </c>
      <c r="C756" s="2" t="str">
        <f>TEXT(data[[#This Row],[Order Date]],"YYYY")</f>
        <v>2014</v>
      </c>
      <c r="D756" s="2">
        <v>41967</v>
      </c>
      <c r="E756" s="2" t="s">
        <v>39</v>
      </c>
      <c r="F756" s="2" t="s">
        <v>2501</v>
      </c>
      <c r="G756" s="2" t="s">
        <v>2502</v>
      </c>
      <c r="H756" s="2" t="s">
        <v>24</v>
      </c>
      <c r="I756" s="2" t="s">
        <v>25</v>
      </c>
      <c r="J756" s="2" t="s">
        <v>65</v>
      </c>
      <c r="K756" s="2" t="s">
        <v>66</v>
      </c>
      <c r="L756" s="2" t="s">
        <v>67</v>
      </c>
      <c r="M756" s="2" t="s">
        <v>625</v>
      </c>
      <c r="N756" s="2" t="s">
        <v>30</v>
      </c>
      <c r="O756" s="2" t="s">
        <v>36</v>
      </c>
      <c r="P756" s="2" t="s">
        <v>626</v>
      </c>
      <c r="Q756" s="2">
        <v>657.93</v>
      </c>
      <c r="R756" s="2">
        <v>5</v>
      </c>
      <c r="S756" s="2">
        <v>-93.99</v>
      </c>
      <c r="T756" s="2" t="s">
        <v>47</v>
      </c>
      <c r="U756" s="2" t="s">
        <v>34</v>
      </c>
    </row>
    <row r="757" spans="1:21" ht="14.25" customHeight="1" x14ac:dyDescent="0.3">
      <c r="A757" s="2" t="s">
        <v>2503</v>
      </c>
      <c r="B757" s="5">
        <v>42968</v>
      </c>
      <c r="C757" s="2" t="str">
        <f>TEXT(data[[#This Row],[Order Date]],"YYYY")</f>
        <v>2017</v>
      </c>
      <c r="D757" s="2">
        <v>42974</v>
      </c>
      <c r="E757" s="2" t="s">
        <v>39</v>
      </c>
      <c r="F757" s="2" t="s">
        <v>2387</v>
      </c>
      <c r="G757" s="2" t="s">
        <v>2388</v>
      </c>
      <c r="H757" s="2" t="s">
        <v>100</v>
      </c>
      <c r="I757" s="2" t="s">
        <v>25</v>
      </c>
      <c r="J757" s="2" t="s">
        <v>157</v>
      </c>
      <c r="K757" s="2" t="s">
        <v>1089</v>
      </c>
      <c r="L757" s="2" t="s">
        <v>67</v>
      </c>
      <c r="M757" s="2" t="s">
        <v>1268</v>
      </c>
      <c r="N757" s="2" t="s">
        <v>30</v>
      </c>
      <c r="O757" s="2" t="s">
        <v>56</v>
      </c>
      <c r="P757" s="2" t="s">
        <v>1269</v>
      </c>
      <c r="Q757" s="2">
        <v>25.16</v>
      </c>
      <c r="R757" s="2">
        <v>2</v>
      </c>
      <c r="S757" s="2">
        <v>8.5543999999999993</v>
      </c>
      <c r="T757" s="2" t="s">
        <v>129</v>
      </c>
      <c r="U757" s="2" t="s">
        <v>253</v>
      </c>
    </row>
    <row r="758" spans="1:21" ht="14.25" customHeight="1" x14ac:dyDescent="0.3">
      <c r="A758" s="2" t="s">
        <v>2503</v>
      </c>
      <c r="B758" s="5">
        <v>42968</v>
      </c>
      <c r="C758" s="2" t="str">
        <f>TEXT(data[[#This Row],[Order Date]],"YYYY")</f>
        <v>2017</v>
      </c>
      <c r="D758" s="2">
        <v>42974</v>
      </c>
      <c r="E758" s="2" t="s">
        <v>39</v>
      </c>
      <c r="F758" s="2" t="s">
        <v>2387</v>
      </c>
      <c r="G758" s="2" t="s">
        <v>2388</v>
      </c>
      <c r="H758" s="2" t="s">
        <v>100</v>
      </c>
      <c r="I758" s="2" t="s">
        <v>25</v>
      </c>
      <c r="J758" s="2" t="s">
        <v>157</v>
      </c>
      <c r="K758" s="2" t="s">
        <v>1089</v>
      </c>
      <c r="L758" s="2" t="s">
        <v>67</v>
      </c>
      <c r="M758" s="2" t="s">
        <v>1192</v>
      </c>
      <c r="N758" s="2" t="s">
        <v>30</v>
      </c>
      <c r="O758" s="2" t="s">
        <v>56</v>
      </c>
      <c r="P758" s="2" t="s">
        <v>1193</v>
      </c>
      <c r="Q758" s="2">
        <v>91.92</v>
      </c>
      <c r="R758" s="2">
        <v>4</v>
      </c>
      <c r="S758" s="2">
        <v>31.252800000000001</v>
      </c>
      <c r="T758" s="2" t="s">
        <v>129</v>
      </c>
      <c r="U758" s="2" t="s">
        <v>253</v>
      </c>
    </row>
    <row r="759" spans="1:21" ht="14.25" customHeight="1" x14ac:dyDescent="0.3">
      <c r="A759" s="2" t="s">
        <v>2504</v>
      </c>
      <c r="B759" s="5">
        <v>43058</v>
      </c>
      <c r="C759" s="2" t="str">
        <f>TEXT(data[[#This Row],[Order Date]],"YYYY")</f>
        <v>2017</v>
      </c>
      <c r="D759" s="2">
        <v>43060</v>
      </c>
      <c r="E759" s="2" t="s">
        <v>87</v>
      </c>
      <c r="F759" s="2" t="s">
        <v>2073</v>
      </c>
      <c r="G759" s="2" t="s">
        <v>2074</v>
      </c>
      <c r="H759" s="2" t="s">
        <v>90</v>
      </c>
      <c r="I759" s="2" t="s">
        <v>25</v>
      </c>
      <c r="J759" s="2" t="s">
        <v>245</v>
      </c>
      <c r="K759" s="2" t="s">
        <v>92</v>
      </c>
      <c r="L759" s="2" t="s">
        <v>93</v>
      </c>
      <c r="M759" s="2" t="s">
        <v>1254</v>
      </c>
      <c r="N759" s="2" t="s">
        <v>30</v>
      </c>
      <c r="O759" s="2" t="s">
        <v>45</v>
      </c>
      <c r="P759" s="2" t="s">
        <v>1255</v>
      </c>
      <c r="Q759" s="2">
        <v>718.11599999999999</v>
      </c>
      <c r="R759" s="2">
        <v>6</v>
      </c>
      <c r="S759" s="2">
        <v>-71.811599999999999</v>
      </c>
      <c r="T759" s="2" t="s">
        <v>70</v>
      </c>
      <c r="U759" s="2" t="s">
        <v>34</v>
      </c>
    </row>
    <row r="760" spans="1:21" ht="14.25" customHeight="1" x14ac:dyDescent="0.3">
      <c r="A760" s="2" t="s">
        <v>2505</v>
      </c>
      <c r="B760" s="5">
        <v>41896</v>
      </c>
      <c r="C760" s="2" t="str">
        <f>TEXT(data[[#This Row],[Order Date]],"YYYY")</f>
        <v>2014</v>
      </c>
      <c r="D760" s="2">
        <v>41901</v>
      </c>
      <c r="E760" s="2" t="s">
        <v>39</v>
      </c>
      <c r="F760" s="2" t="s">
        <v>2506</v>
      </c>
      <c r="G760" s="2" t="s">
        <v>2507</v>
      </c>
      <c r="H760" s="2" t="s">
        <v>24</v>
      </c>
      <c r="I760" s="2" t="s">
        <v>25</v>
      </c>
      <c r="J760" s="2" t="s">
        <v>2508</v>
      </c>
      <c r="K760" s="2" t="s">
        <v>667</v>
      </c>
      <c r="L760" s="2" t="s">
        <v>28</v>
      </c>
      <c r="M760" s="2" t="s">
        <v>1518</v>
      </c>
      <c r="N760" s="2" t="s">
        <v>30</v>
      </c>
      <c r="O760" s="2" t="s">
        <v>56</v>
      </c>
      <c r="P760" s="2" t="s">
        <v>1519</v>
      </c>
      <c r="Q760" s="2">
        <v>142.4</v>
      </c>
      <c r="R760" s="2">
        <v>5</v>
      </c>
      <c r="S760" s="2">
        <v>52.688000000000002</v>
      </c>
      <c r="T760" s="2" t="s">
        <v>58</v>
      </c>
      <c r="U760" s="2" t="s">
        <v>77</v>
      </c>
    </row>
    <row r="761" spans="1:21" ht="14.25" customHeight="1" x14ac:dyDescent="0.3">
      <c r="A761" s="2" t="s">
        <v>2509</v>
      </c>
      <c r="B761" s="5">
        <v>42874</v>
      </c>
      <c r="C761" s="2" t="str">
        <f>TEXT(data[[#This Row],[Order Date]],"YYYY")</f>
        <v>2017</v>
      </c>
      <c r="D761" s="2">
        <v>42876</v>
      </c>
      <c r="E761" s="2" t="s">
        <v>21</v>
      </c>
      <c r="F761" s="2" t="s">
        <v>1820</v>
      </c>
      <c r="G761" s="2" t="s">
        <v>1821</v>
      </c>
      <c r="H761" s="2" t="s">
        <v>100</v>
      </c>
      <c r="I761" s="2" t="s">
        <v>25</v>
      </c>
      <c r="J761" s="2" t="s">
        <v>328</v>
      </c>
      <c r="K761" s="2" t="s">
        <v>53</v>
      </c>
      <c r="L761" s="2" t="s">
        <v>54</v>
      </c>
      <c r="M761" s="2" t="s">
        <v>590</v>
      </c>
      <c r="N761" s="2" t="s">
        <v>30</v>
      </c>
      <c r="O761" s="2" t="s">
        <v>36</v>
      </c>
      <c r="P761" s="2" t="s">
        <v>591</v>
      </c>
      <c r="Q761" s="2">
        <v>681.40800000000002</v>
      </c>
      <c r="R761" s="2">
        <v>12</v>
      </c>
      <c r="S761" s="2">
        <v>42.588000000000001</v>
      </c>
      <c r="T761" s="2" t="s">
        <v>70</v>
      </c>
      <c r="U761" s="2" t="s">
        <v>161</v>
      </c>
    </row>
    <row r="762" spans="1:21" ht="14.25" customHeight="1" x14ac:dyDescent="0.3">
      <c r="A762" s="2" t="s">
        <v>2510</v>
      </c>
      <c r="B762" s="5">
        <v>42684</v>
      </c>
      <c r="C762" s="2" t="str">
        <f>TEXT(data[[#This Row],[Order Date]],"YYYY")</f>
        <v>2016</v>
      </c>
      <c r="D762" s="2">
        <v>42688</v>
      </c>
      <c r="E762" s="2" t="s">
        <v>39</v>
      </c>
      <c r="F762" s="2" t="s">
        <v>1240</v>
      </c>
      <c r="G762" s="2" t="s">
        <v>1241</v>
      </c>
      <c r="H762" s="2" t="s">
        <v>100</v>
      </c>
      <c r="I762" s="2" t="s">
        <v>25</v>
      </c>
      <c r="J762" s="2" t="s">
        <v>878</v>
      </c>
      <c r="K762" s="2" t="s">
        <v>231</v>
      </c>
      <c r="L762" s="2" t="s">
        <v>67</v>
      </c>
      <c r="M762" s="2" t="s">
        <v>1421</v>
      </c>
      <c r="N762" s="2" t="s">
        <v>30</v>
      </c>
      <c r="O762" s="2" t="s">
        <v>56</v>
      </c>
      <c r="P762" s="2" t="s">
        <v>1422</v>
      </c>
      <c r="Q762" s="2">
        <v>148.28800000000001</v>
      </c>
      <c r="R762" s="2">
        <v>7</v>
      </c>
      <c r="S762" s="2">
        <v>29.657599999999999</v>
      </c>
      <c r="T762" s="2" t="s">
        <v>83</v>
      </c>
      <c r="U762" s="2" t="s">
        <v>34</v>
      </c>
    </row>
    <row r="763" spans="1:21" ht="14.25" customHeight="1" x14ac:dyDescent="0.3">
      <c r="A763" s="2" t="s">
        <v>2511</v>
      </c>
      <c r="B763" s="5">
        <v>42075</v>
      </c>
      <c r="C763" s="2" t="str">
        <f>TEXT(data[[#This Row],[Order Date]],"YYYY")</f>
        <v>2015</v>
      </c>
      <c r="D763" s="2">
        <v>42080</v>
      </c>
      <c r="E763" s="2" t="s">
        <v>39</v>
      </c>
      <c r="F763" s="2" t="s">
        <v>2381</v>
      </c>
      <c r="G763" s="2" t="s">
        <v>2382</v>
      </c>
      <c r="H763" s="2" t="s">
        <v>90</v>
      </c>
      <c r="I763" s="2" t="s">
        <v>25</v>
      </c>
      <c r="J763" s="2" t="s">
        <v>2512</v>
      </c>
      <c r="K763" s="2" t="s">
        <v>43</v>
      </c>
      <c r="L763" s="2" t="s">
        <v>28</v>
      </c>
      <c r="M763" s="2" t="s">
        <v>152</v>
      </c>
      <c r="N763" s="2" t="s">
        <v>30</v>
      </c>
      <c r="O763" s="2" t="s">
        <v>56</v>
      </c>
      <c r="P763" s="2" t="s">
        <v>153</v>
      </c>
      <c r="Q763" s="2">
        <v>30.88</v>
      </c>
      <c r="R763" s="2">
        <v>4</v>
      </c>
      <c r="S763" s="2">
        <v>3.86</v>
      </c>
      <c r="T763" s="2" t="s">
        <v>58</v>
      </c>
      <c r="U763" s="2" t="s">
        <v>195</v>
      </c>
    </row>
    <row r="764" spans="1:21" ht="14.25" customHeight="1" x14ac:dyDescent="0.3">
      <c r="A764" s="2" t="s">
        <v>2511</v>
      </c>
      <c r="B764" s="5">
        <v>42075</v>
      </c>
      <c r="C764" s="2" t="str">
        <f>TEXT(data[[#This Row],[Order Date]],"YYYY")</f>
        <v>2015</v>
      </c>
      <c r="D764" s="2">
        <v>42080</v>
      </c>
      <c r="E764" s="2" t="s">
        <v>39</v>
      </c>
      <c r="F764" s="2" t="s">
        <v>2381</v>
      </c>
      <c r="G764" s="2" t="s">
        <v>2382</v>
      </c>
      <c r="H764" s="2" t="s">
        <v>90</v>
      </c>
      <c r="I764" s="2" t="s">
        <v>25</v>
      </c>
      <c r="J764" s="2" t="s">
        <v>2512</v>
      </c>
      <c r="K764" s="2" t="s">
        <v>43</v>
      </c>
      <c r="L764" s="2" t="s">
        <v>28</v>
      </c>
      <c r="M764" s="2" t="s">
        <v>2513</v>
      </c>
      <c r="N764" s="2" t="s">
        <v>30</v>
      </c>
      <c r="O764" s="2" t="s">
        <v>56</v>
      </c>
      <c r="P764" s="2" t="s">
        <v>2514</v>
      </c>
      <c r="Q764" s="2">
        <v>6.4080000000000004</v>
      </c>
      <c r="R764" s="2">
        <v>3</v>
      </c>
      <c r="S764" s="2">
        <v>1.4418</v>
      </c>
      <c r="T764" s="2" t="s">
        <v>58</v>
      </c>
      <c r="U764" s="2" t="s">
        <v>195</v>
      </c>
    </row>
    <row r="765" spans="1:21" ht="14.25" customHeight="1" x14ac:dyDescent="0.3">
      <c r="A765" s="2" t="s">
        <v>2515</v>
      </c>
      <c r="B765" s="5">
        <v>43045</v>
      </c>
      <c r="C765" s="2" t="str">
        <f>TEXT(data[[#This Row],[Order Date]],"YYYY")</f>
        <v>2017</v>
      </c>
      <c r="D765" s="2">
        <v>43050</v>
      </c>
      <c r="E765" s="2" t="s">
        <v>39</v>
      </c>
      <c r="F765" s="2" t="s">
        <v>2516</v>
      </c>
      <c r="G765" s="2" t="s">
        <v>2517</v>
      </c>
      <c r="H765" s="2" t="s">
        <v>24</v>
      </c>
      <c r="I765" s="2" t="s">
        <v>25</v>
      </c>
      <c r="J765" s="2" t="s">
        <v>65</v>
      </c>
      <c r="K765" s="2" t="s">
        <v>66</v>
      </c>
      <c r="L765" s="2" t="s">
        <v>67</v>
      </c>
      <c r="M765" s="2" t="s">
        <v>1617</v>
      </c>
      <c r="N765" s="2" t="s">
        <v>30</v>
      </c>
      <c r="O765" s="2" t="s">
        <v>36</v>
      </c>
      <c r="P765" s="2" t="s">
        <v>1618</v>
      </c>
      <c r="Q765" s="2">
        <v>127.372</v>
      </c>
      <c r="R765" s="2">
        <v>2</v>
      </c>
      <c r="S765" s="2">
        <v>-30.933199999999999</v>
      </c>
      <c r="T765" s="2" t="s">
        <v>58</v>
      </c>
      <c r="U765" s="2" t="s">
        <v>34</v>
      </c>
    </row>
    <row r="766" spans="1:21" ht="14.25" customHeight="1" x14ac:dyDescent="0.3">
      <c r="A766" s="2" t="s">
        <v>2518</v>
      </c>
      <c r="B766" s="5">
        <v>42343</v>
      </c>
      <c r="C766" s="2" t="str">
        <f>TEXT(data[[#This Row],[Order Date]],"YYYY")</f>
        <v>2015</v>
      </c>
      <c r="D766" s="2">
        <v>42347</v>
      </c>
      <c r="E766" s="2" t="s">
        <v>39</v>
      </c>
      <c r="F766" s="2" t="s">
        <v>2519</v>
      </c>
      <c r="G766" s="2" t="s">
        <v>2520</v>
      </c>
      <c r="H766" s="2" t="s">
        <v>90</v>
      </c>
      <c r="I766" s="2" t="s">
        <v>25</v>
      </c>
      <c r="J766" s="2" t="s">
        <v>639</v>
      </c>
      <c r="K766" s="2" t="s">
        <v>53</v>
      </c>
      <c r="L766" s="2" t="s">
        <v>54</v>
      </c>
      <c r="M766" s="2" t="s">
        <v>830</v>
      </c>
      <c r="N766" s="2" t="s">
        <v>30</v>
      </c>
      <c r="O766" s="2" t="s">
        <v>56</v>
      </c>
      <c r="P766" s="2" t="s">
        <v>831</v>
      </c>
      <c r="Q766" s="2">
        <v>44.46</v>
      </c>
      <c r="R766" s="2">
        <v>2</v>
      </c>
      <c r="S766" s="2">
        <v>14.671799999999999</v>
      </c>
      <c r="T766" s="2" t="s">
        <v>83</v>
      </c>
      <c r="U766" s="2" t="s">
        <v>96</v>
      </c>
    </row>
    <row r="767" spans="1:21" ht="14.25" customHeight="1" x14ac:dyDescent="0.3">
      <c r="A767" s="2" t="s">
        <v>2521</v>
      </c>
      <c r="B767" s="5">
        <v>42194</v>
      </c>
      <c r="C767" s="2" t="str">
        <f>TEXT(data[[#This Row],[Order Date]],"YYYY")</f>
        <v>2015</v>
      </c>
      <c r="D767" s="2">
        <v>42199</v>
      </c>
      <c r="E767" s="2" t="s">
        <v>39</v>
      </c>
      <c r="F767" s="2" t="s">
        <v>1502</v>
      </c>
      <c r="G767" s="2" t="s">
        <v>1503</v>
      </c>
      <c r="H767" s="2" t="s">
        <v>24</v>
      </c>
      <c r="I767" s="2" t="s">
        <v>25</v>
      </c>
      <c r="J767" s="2" t="s">
        <v>2522</v>
      </c>
      <c r="K767" s="2" t="s">
        <v>1089</v>
      </c>
      <c r="L767" s="2" t="s">
        <v>67</v>
      </c>
      <c r="M767" s="2" t="s">
        <v>358</v>
      </c>
      <c r="N767" s="2" t="s">
        <v>30</v>
      </c>
      <c r="O767" s="2" t="s">
        <v>56</v>
      </c>
      <c r="P767" s="2" t="s">
        <v>359</v>
      </c>
      <c r="Q767" s="2">
        <v>181.96</v>
      </c>
      <c r="R767" s="2">
        <v>2</v>
      </c>
      <c r="S767" s="2">
        <v>20.015599999999999</v>
      </c>
      <c r="T767" s="2" t="s">
        <v>58</v>
      </c>
      <c r="U767" s="2" t="s">
        <v>71</v>
      </c>
    </row>
    <row r="768" spans="1:21" ht="14.25" customHeight="1" x14ac:dyDescent="0.3">
      <c r="A768" s="2" t="s">
        <v>2523</v>
      </c>
      <c r="B768" s="5">
        <v>42307</v>
      </c>
      <c r="C768" s="2" t="str">
        <f>TEXT(data[[#This Row],[Order Date]],"YYYY")</f>
        <v>2015</v>
      </c>
      <c r="D768" s="2">
        <v>42310</v>
      </c>
      <c r="E768" s="2" t="s">
        <v>21</v>
      </c>
      <c r="F768" s="2" t="s">
        <v>1535</v>
      </c>
      <c r="G768" s="2" t="s">
        <v>1536</v>
      </c>
      <c r="H768" s="2" t="s">
        <v>90</v>
      </c>
      <c r="I768" s="2" t="s">
        <v>25</v>
      </c>
      <c r="J768" s="2" t="s">
        <v>265</v>
      </c>
      <c r="K768" s="2" t="s">
        <v>180</v>
      </c>
      <c r="L768" s="2" t="s">
        <v>54</v>
      </c>
      <c r="M768" s="2" t="s">
        <v>2524</v>
      </c>
      <c r="N768" s="2" t="s">
        <v>30</v>
      </c>
      <c r="O768" s="2" t="s">
        <v>56</v>
      </c>
      <c r="P768" s="2" t="s">
        <v>2525</v>
      </c>
      <c r="Q768" s="2">
        <v>15.488</v>
      </c>
      <c r="R768" s="2">
        <v>4</v>
      </c>
      <c r="S768" s="2">
        <v>3.6783999999999999</v>
      </c>
      <c r="T768" s="2" t="s">
        <v>33</v>
      </c>
      <c r="U768" s="2" t="s">
        <v>48</v>
      </c>
    </row>
    <row r="769" spans="1:21" ht="14.25" customHeight="1" x14ac:dyDescent="0.3">
      <c r="A769" s="2" t="s">
        <v>2526</v>
      </c>
      <c r="B769" s="5">
        <v>42327</v>
      </c>
      <c r="C769" s="2" t="str">
        <f>TEXT(data[[#This Row],[Order Date]],"YYYY")</f>
        <v>2015</v>
      </c>
      <c r="D769" s="2">
        <v>42329</v>
      </c>
      <c r="E769" s="2" t="s">
        <v>21</v>
      </c>
      <c r="F769" s="2" t="s">
        <v>2276</v>
      </c>
      <c r="G769" s="2" t="s">
        <v>2277</v>
      </c>
      <c r="H769" s="2" t="s">
        <v>100</v>
      </c>
      <c r="I769" s="2" t="s">
        <v>25</v>
      </c>
      <c r="J769" s="2" t="s">
        <v>191</v>
      </c>
      <c r="K769" s="2" t="s">
        <v>192</v>
      </c>
      <c r="L769" s="2" t="s">
        <v>54</v>
      </c>
      <c r="M769" s="2" t="s">
        <v>2196</v>
      </c>
      <c r="N769" s="2" t="s">
        <v>30</v>
      </c>
      <c r="O769" s="2" t="s">
        <v>56</v>
      </c>
      <c r="P769" s="2" t="s">
        <v>2197</v>
      </c>
      <c r="Q769" s="2">
        <v>141.96</v>
      </c>
      <c r="R769" s="2">
        <v>2</v>
      </c>
      <c r="S769" s="2">
        <v>22.7136</v>
      </c>
      <c r="T769" s="2" t="s">
        <v>70</v>
      </c>
      <c r="U769" s="2" t="s">
        <v>34</v>
      </c>
    </row>
    <row r="770" spans="1:21" ht="14.25" customHeight="1" x14ac:dyDescent="0.3">
      <c r="A770" s="2" t="s">
        <v>2527</v>
      </c>
      <c r="B770" s="5">
        <v>43093</v>
      </c>
      <c r="C770" s="2" t="str">
        <f>TEXT(data[[#This Row],[Order Date]],"YYYY")</f>
        <v>2017</v>
      </c>
      <c r="D770" s="2">
        <v>43098</v>
      </c>
      <c r="E770" s="2" t="s">
        <v>39</v>
      </c>
      <c r="F770" s="2" t="s">
        <v>1613</v>
      </c>
      <c r="G770" s="2" t="s">
        <v>1614</v>
      </c>
      <c r="H770" s="2" t="s">
        <v>90</v>
      </c>
      <c r="I770" s="2" t="s">
        <v>25</v>
      </c>
      <c r="J770" s="2" t="s">
        <v>894</v>
      </c>
      <c r="K770" s="2" t="s">
        <v>120</v>
      </c>
      <c r="L770" s="2" t="s">
        <v>67</v>
      </c>
      <c r="M770" s="2" t="s">
        <v>967</v>
      </c>
      <c r="N770" s="2" t="s">
        <v>30</v>
      </c>
      <c r="O770" s="2" t="s">
        <v>56</v>
      </c>
      <c r="P770" s="2" t="s">
        <v>968</v>
      </c>
      <c r="Q770" s="2">
        <v>37.93</v>
      </c>
      <c r="R770" s="2">
        <v>1</v>
      </c>
      <c r="S770" s="2">
        <v>6.8273999999999999</v>
      </c>
      <c r="T770" s="2" t="s">
        <v>58</v>
      </c>
      <c r="U770" s="2" t="s">
        <v>96</v>
      </c>
    </row>
    <row r="771" spans="1:21" ht="14.25" customHeight="1" x14ac:dyDescent="0.3">
      <c r="A771" s="2" t="s">
        <v>2528</v>
      </c>
      <c r="B771" s="5">
        <v>42378</v>
      </c>
      <c r="C771" s="2" t="str">
        <f>TEXT(data[[#This Row],[Order Date]],"YYYY")</f>
        <v>2016</v>
      </c>
      <c r="D771" s="2">
        <v>42382</v>
      </c>
      <c r="E771" s="2" t="s">
        <v>21</v>
      </c>
      <c r="F771" s="2" t="s">
        <v>2529</v>
      </c>
      <c r="G771" s="2" t="s">
        <v>2530</v>
      </c>
      <c r="H771" s="2" t="s">
        <v>90</v>
      </c>
      <c r="I771" s="2" t="s">
        <v>25</v>
      </c>
      <c r="J771" s="2" t="s">
        <v>2531</v>
      </c>
      <c r="K771" s="2" t="s">
        <v>231</v>
      </c>
      <c r="L771" s="2" t="s">
        <v>67</v>
      </c>
      <c r="M771" s="2" t="s">
        <v>2204</v>
      </c>
      <c r="N771" s="2" t="s">
        <v>30</v>
      </c>
      <c r="O771" s="2" t="s">
        <v>56</v>
      </c>
      <c r="P771" s="2" t="s">
        <v>2205</v>
      </c>
      <c r="Q771" s="2">
        <v>15.167999999999999</v>
      </c>
      <c r="R771" s="2">
        <v>2</v>
      </c>
      <c r="S771" s="2">
        <v>3.7919999999999998</v>
      </c>
      <c r="T771" s="2" t="s">
        <v>83</v>
      </c>
      <c r="U771" s="2" t="s">
        <v>169</v>
      </c>
    </row>
    <row r="772" spans="1:21" ht="14.25" customHeight="1" x14ac:dyDescent="0.3">
      <c r="A772" s="2" t="s">
        <v>2532</v>
      </c>
      <c r="B772" s="5">
        <v>41966</v>
      </c>
      <c r="C772" s="2" t="str">
        <f>TEXT(data[[#This Row],[Order Date]],"YYYY")</f>
        <v>2014</v>
      </c>
      <c r="D772" s="2">
        <v>41970</v>
      </c>
      <c r="E772" s="2" t="s">
        <v>39</v>
      </c>
      <c r="F772" s="2" t="s">
        <v>2087</v>
      </c>
      <c r="G772" s="2" t="s">
        <v>2088</v>
      </c>
      <c r="H772" s="2" t="s">
        <v>90</v>
      </c>
      <c r="I772" s="2" t="s">
        <v>25</v>
      </c>
      <c r="J772" s="2" t="s">
        <v>2533</v>
      </c>
      <c r="K772" s="2" t="s">
        <v>92</v>
      </c>
      <c r="L772" s="2" t="s">
        <v>93</v>
      </c>
      <c r="M772" s="2" t="s">
        <v>927</v>
      </c>
      <c r="N772" s="2" t="s">
        <v>30</v>
      </c>
      <c r="O772" s="2" t="s">
        <v>56</v>
      </c>
      <c r="P772" s="2" t="s">
        <v>316</v>
      </c>
      <c r="Q772" s="2">
        <v>6.3680000000000003</v>
      </c>
      <c r="R772" s="2">
        <v>2</v>
      </c>
      <c r="S772" s="2">
        <v>-2.5472000000000001</v>
      </c>
      <c r="T772" s="2" t="s">
        <v>83</v>
      </c>
      <c r="U772" s="2" t="s">
        <v>34</v>
      </c>
    </row>
    <row r="773" spans="1:21" ht="14.25" customHeight="1" x14ac:dyDescent="0.3">
      <c r="A773" s="2" t="s">
        <v>2534</v>
      </c>
      <c r="B773" s="5">
        <v>43023</v>
      </c>
      <c r="C773" s="2" t="str">
        <f>TEXT(data[[#This Row],[Order Date]],"YYYY")</f>
        <v>2017</v>
      </c>
      <c r="D773" s="2">
        <v>43025</v>
      </c>
      <c r="E773" s="2" t="s">
        <v>87</v>
      </c>
      <c r="F773" s="2" t="s">
        <v>2535</v>
      </c>
      <c r="G773" s="2" t="s">
        <v>2536</v>
      </c>
      <c r="H773" s="2" t="s">
        <v>90</v>
      </c>
      <c r="I773" s="2" t="s">
        <v>25</v>
      </c>
      <c r="J773" s="2" t="s">
        <v>52</v>
      </c>
      <c r="K773" s="2" t="s">
        <v>53</v>
      </c>
      <c r="L773" s="2" t="s">
        <v>54</v>
      </c>
      <c r="M773" s="2" t="s">
        <v>304</v>
      </c>
      <c r="N773" s="2" t="s">
        <v>30</v>
      </c>
      <c r="O773" s="2" t="s">
        <v>45</v>
      </c>
      <c r="P773" s="2" t="s">
        <v>305</v>
      </c>
      <c r="Q773" s="2">
        <v>510.24</v>
      </c>
      <c r="R773" s="2">
        <v>3</v>
      </c>
      <c r="S773" s="2">
        <v>6.3780000000000001</v>
      </c>
      <c r="T773" s="2" t="s">
        <v>70</v>
      </c>
      <c r="U773" s="2" t="s">
        <v>48</v>
      </c>
    </row>
    <row r="774" spans="1:21" ht="14.25" customHeight="1" x14ac:dyDescent="0.3">
      <c r="A774" s="2" t="s">
        <v>2537</v>
      </c>
      <c r="B774" s="5">
        <v>42846</v>
      </c>
      <c r="C774" s="2" t="str">
        <f>TEXT(data[[#This Row],[Order Date]],"YYYY")</f>
        <v>2017</v>
      </c>
      <c r="D774" s="2">
        <v>42849</v>
      </c>
      <c r="E774" s="2" t="s">
        <v>87</v>
      </c>
      <c r="F774" s="2" t="s">
        <v>1468</v>
      </c>
      <c r="G774" s="2" t="s">
        <v>1469</v>
      </c>
      <c r="H774" s="2" t="s">
        <v>24</v>
      </c>
      <c r="I774" s="2" t="s">
        <v>25</v>
      </c>
      <c r="J774" s="2" t="s">
        <v>191</v>
      </c>
      <c r="K774" s="2" t="s">
        <v>192</v>
      </c>
      <c r="L774" s="2" t="s">
        <v>54</v>
      </c>
      <c r="M774" s="2" t="s">
        <v>1017</v>
      </c>
      <c r="N774" s="2" t="s">
        <v>30</v>
      </c>
      <c r="O774" s="2" t="s">
        <v>56</v>
      </c>
      <c r="P774" s="2" t="s">
        <v>1018</v>
      </c>
      <c r="Q774" s="2">
        <v>162.6</v>
      </c>
      <c r="R774" s="2">
        <v>3</v>
      </c>
      <c r="S774" s="2">
        <v>34.146000000000001</v>
      </c>
      <c r="T774" s="2" t="s">
        <v>33</v>
      </c>
      <c r="U774" s="2" t="s">
        <v>113</v>
      </c>
    </row>
    <row r="775" spans="1:21" ht="14.25" customHeight="1" x14ac:dyDescent="0.3">
      <c r="A775" s="2" t="s">
        <v>2538</v>
      </c>
      <c r="B775" s="5">
        <v>41981</v>
      </c>
      <c r="C775" s="2" t="str">
        <f>TEXT(data[[#This Row],[Order Date]],"YYYY")</f>
        <v>2014</v>
      </c>
      <c r="D775" s="2">
        <v>41983</v>
      </c>
      <c r="E775" s="2" t="s">
        <v>21</v>
      </c>
      <c r="F775" s="2" t="s">
        <v>1806</v>
      </c>
      <c r="G775" s="2" t="s">
        <v>1807</v>
      </c>
      <c r="H775" s="2" t="s">
        <v>24</v>
      </c>
      <c r="I775" s="2" t="s">
        <v>25</v>
      </c>
      <c r="J775" s="2" t="s">
        <v>970</v>
      </c>
      <c r="K775" s="2" t="s">
        <v>192</v>
      </c>
      <c r="L775" s="2" t="s">
        <v>54</v>
      </c>
      <c r="M775" s="2" t="s">
        <v>394</v>
      </c>
      <c r="N775" s="2" t="s">
        <v>30</v>
      </c>
      <c r="O775" s="2" t="s">
        <v>36</v>
      </c>
      <c r="P775" s="2" t="s">
        <v>395</v>
      </c>
      <c r="Q775" s="2">
        <v>603.91999999999996</v>
      </c>
      <c r="R775" s="2">
        <v>5</v>
      </c>
      <c r="S775" s="2">
        <v>45.293999999999997</v>
      </c>
      <c r="T775" s="2" t="s">
        <v>70</v>
      </c>
      <c r="U775" s="2" t="s">
        <v>96</v>
      </c>
    </row>
    <row r="776" spans="1:21" ht="14.25" customHeight="1" x14ac:dyDescent="0.3">
      <c r="A776" s="2" t="s">
        <v>2539</v>
      </c>
      <c r="B776" s="5">
        <v>42724</v>
      </c>
      <c r="C776" s="2" t="str">
        <f>TEXT(data[[#This Row],[Order Date]],"YYYY")</f>
        <v>2016</v>
      </c>
      <c r="D776" s="2">
        <v>42728</v>
      </c>
      <c r="E776" s="2" t="s">
        <v>39</v>
      </c>
      <c r="F776" s="2" t="s">
        <v>2540</v>
      </c>
      <c r="G776" s="2" t="s">
        <v>2541</v>
      </c>
      <c r="H776" s="2" t="s">
        <v>100</v>
      </c>
      <c r="I776" s="2" t="s">
        <v>25</v>
      </c>
      <c r="J776" s="2" t="s">
        <v>477</v>
      </c>
      <c r="K776" s="2" t="s">
        <v>478</v>
      </c>
      <c r="L776" s="2" t="s">
        <v>28</v>
      </c>
      <c r="M776" s="2" t="s">
        <v>379</v>
      </c>
      <c r="N776" s="2" t="s">
        <v>30</v>
      </c>
      <c r="O776" s="2" t="s">
        <v>56</v>
      </c>
      <c r="P776" s="2" t="s">
        <v>380</v>
      </c>
      <c r="Q776" s="2">
        <v>18.920000000000002</v>
      </c>
      <c r="R776" s="2">
        <v>4</v>
      </c>
      <c r="S776" s="2">
        <v>7.3788</v>
      </c>
      <c r="T776" s="2" t="s">
        <v>83</v>
      </c>
      <c r="U776" s="2" t="s">
        <v>96</v>
      </c>
    </row>
    <row r="777" spans="1:21" ht="14.25" customHeight="1" x14ac:dyDescent="0.3">
      <c r="A777" s="2" t="s">
        <v>2542</v>
      </c>
      <c r="B777" s="5">
        <v>42800</v>
      </c>
      <c r="C777" s="2" t="str">
        <f>TEXT(data[[#This Row],[Order Date]],"YYYY")</f>
        <v>2017</v>
      </c>
      <c r="D777" s="2">
        <v>42805</v>
      </c>
      <c r="E777" s="2" t="s">
        <v>21</v>
      </c>
      <c r="F777" s="2" t="s">
        <v>2543</v>
      </c>
      <c r="G777" s="2" t="s">
        <v>2544</v>
      </c>
      <c r="H777" s="2" t="s">
        <v>24</v>
      </c>
      <c r="I777" s="2" t="s">
        <v>25</v>
      </c>
      <c r="J777" s="2" t="s">
        <v>173</v>
      </c>
      <c r="K777" s="2" t="s">
        <v>120</v>
      </c>
      <c r="L777" s="2" t="s">
        <v>67</v>
      </c>
      <c r="M777" s="2" t="s">
        <v>1180</v>
      </c>
      <c r="N777" s="2" t="s">
        <v>30</v>
      </c>
      <c r="O777" s="2" t="s">
        <v>56</v>
      </c>
      <c r="P777" s="2" t="s">
        <v>1181</v>
      </c>
      <c r="Q777" s="2">
        <v>71.97</v>
      </c>
      <c r="R777" s="2">
        <v>3</v>
      </c>
      <c r="S777" s="2">
        <v>16.553100000000001</v>
      </c>
      <c r="T777" s="2" t="s">
        <v>58</v>
      </c>
      <c r="U777" s="2" t="s">
        <v>195</v>
      </c>
    </row>
    <row r="778" spans="1:21" ht="14.25" customHeight="1" x14ac:dyDescent="0.3">
      <c r="A778" s="2" t="s">
        <v>2545</v>
      </c>
      <c r="B778" s="5">
        <v>42636</v>
      </c>
      <c r="C778" s="2" t="str">
        <f>TEXT(data[[#This Row],[Order Date]],"YYYY")</f>
        <v>2016</v>
      </c>
      <c r="D778" s="2">
        <v>42641</v>
      </c>
      <c r="E778" s="2" t="s">
        <v>21</v>
      </c>
      <c r="F778" s="2" t="s">
        <v>1049</v>
      </c>
      <c r="G778" s="2" t="s">
        <v>1050</v>
      </c>
      <c r="H778" s="2" t="s">
        <v>24</v>
      </c>
      <c r="I778" s="2" t="s">
        <v>25</v>
      </c>
      <c r="J778" s="2" t="s">
        <v>347</v>
      </c>
      <c r="K778" s="2" t="s">
        <v>667</v>
      </c>
      <c r="L778" s="2" t="s">
        <v>28</v>
      </c>
      <c r="M778" s="2" t="s">
        <v>1747</v>
      </c>
      <c r="N778" s="2" t="s">
        <v>30</v>
      </c>
      <c r="O778" s="2" t="s">
        <v>36</v>
      </c>
      <c r="P778" s="2" t="s">
        <v>1748</v>
      </c>
      <c r="Q778" s="2">
        <v>368.97</v>
      </c>
      <c r="R778" s="2">
        <v>3</v>
      </c>
      <c r="S778" s="2">
        <v>81.173400000000001</v>
      </c>
      <c r="T778" s="2" t="s">
        <v>58</v>
      </c>
      <c r="U778" s="2" t="s">
        <v>77</v>
      </c>
    </row>
    <row r="779" spans="1:21" ht="14.25" customHeight="1" x14ac:dyDescent="0.3">
      <c r="A779" s="2" t="s">
        <v>2546</v>
      </c>
      <c r="B779" s="5">
        <v>42974</v>
      </c>
      <c r="C779" s="2" t="str">
        <f>TEXT(data[[#This Row],[Order Date]],"YYYY")</f>
        <v>2017</v>
      </c>
      <c r="D779" s="2">
        <v>42976</v>
      </c>
      <c r="E779" s="2" t="s">
        <v>21</v>
      </c>
      <c r="F779" s="2" t="s">
        <v>332</v>
      </c>
      <c r="G779" s="2" t="s">
        <v>333</v>
      </c>
      <c r="H779" s="2" t="s">
        <v>90</v>
      </c>
      <c r="I779" s="2" t="s">
        <v>25</v>
      </c>
      <c r="J779" s="2" t="s">
        <v>2448</v>
      </c>
      <c r="K779" s="2" t="s">
        <v>53</v>
      </c>
      <c r="L779" s="2" t="s">
        <v>54</v>
      </c>
      <c r="M779" s="2" t="s">
        <v>1400</v>
      </c>
      <c r="N779" s="2" t="s">
        <v>30</v>
      </c>
      <c r="O779" s="2" t="s">
        <v>56</v>
      </c>
      <c r="P779" s="2" t="s">
        <v>1401</v>
      </c>
      <c r="Q779" s="2">
        <v>198.46</v>
      </c>
      <c r="R779" s="2">
        <v>2</v>
      </c>
      <c r="S779" s="2">
        <v>99.23</v>
      </c>
      <c r="T779" s="2" t="s">
        <v>70</v>
      </c>
      <c r="U779" s="2" t="s">
        <v>253</v>
      </c>
    </row>
    <row r="780" spans="1:21" ht="14.25" customHeight="1" x14ac:dyDescent="0.3">
      <c r="A780" s="2" t="s">
        <v>2546</v>
      </c>
      <c r="B780" s="5">
        <v>42974</v>
      </c>
      <c r="C780" s="2" t="str">
        <f>TEXT(data[[#This Row],[Order Date]],"YYYY")</f>
        <v>2017</v>
      </c>
      <c r="D780" s="2">
        <v>42976</v>
      </c>
      <c r="E780" s="2" t="s">
        <v>21</v>
      </c>
      <c r="F780" s="2" t="s">
        <v>332</v>
      </c>
      <c r="G780" s="2" t="s">
        <v>333</v>
      </c>
      <c r="H780" s="2" t="s">
        <v>90</v>
      </c>
      <c r="I780" s="2" t="s">
        <v>25</v>
      </c>
      <c r="J780" s="2" t="s">
        <v>2448</v>
      </c>
      <c r="K780" s="2" t="s">
        <v>53</v>
      </c>
      <c r="L780" s="2" t="s">
        <v>54</v>
      </c>
      <c r="M780" s="2" t="s">
        <v>466</v>
      </c>
      <c r="N780" s="2" t="s">
        <v>30</v>
      </c>
      <c r="O780" s="2" t="s">
        <v>36</v>
      </c>
      <c r="P780" s="2" t="s">
        <v>467</v>
      </c>
      <c r="Q780" s="2">
        <v>230.28</v>
      </c>
      <c r="R780" s="2">
        <v>3</v>
      </c>
      <c r="S780" s="2">
        <v>23.027999999999999</v>
      </c>
      <c r="T780" s="2" t="s">
        <v>70</v>
      </c>
      <c r="U780" s="2" t="s">
        <v>253</v>
      </c>
    </row>
    <row r="781" spans="1:21" ht="14.25" customHeight="1" x14ac:dyDescent="0.3">
      <c r="A781" s="2" t="s">
        <v>2547</v>
      </c>
      <c r="B781" s="5">
        <v>42432</v>
      </c>
      <c r="C781" s="2" t="str">
        <f>TEXT(data[[#This Row],[Order Date]],"YYYY")</f>
        <v>2016</v>
      </c>
      <c r="D781" s="2">
        <v>42435</v>
      </c>
      <c r="E781" s="2" t="s">
        <v>87</v>
      </c>
      <c r="F781" s="2" t="s">
        <v>2308</v>
      </c>
      <c r="G781" s="2" t="s">
        <v>2309</v>
      </c>
      <c r="H781" s="2" t="s">
        <v>90</v>
      </c>
      <c r="I781" s="2" t="s">
        <v>25</v>
      </c>
      <c r="J781" s="2" t="s">
        <v>2548</v>
      </c>
      <c r="K781" s="2" t="s">
        <v>92</v>
      </c>
      <c r="L781" s="2" t="s">
        <v>93</v>
      </c>
      <c r="M781" s="2" t="s">
        <v>2549</v>
      </c>
      <c r="N781" s="2" t="s">
        <v>30</v>
      </c>
      <c r="O781" s="2" t="s">
        <v>36</v>
      </c>
      <c r="P781" s="2" t="s">
        <v>2550</v>
      </c>
      <c r="Q781" s="2">
        <v>563.42999999999995</v>
      </c>
      <c r="R781" s="2">
        <v>5</v>
      </c>
      <c r="S781" s="2">
        <v>-56.343000000000004</v>
      </c>
      <c r="T781" s="2" t="s">
        <v>33</v>
      </c>
      <c r="U781" s="2" t="s">
        <v>195</v>
      </c>
    </row>
    <row r="782" spans="1:21" ht="14.25" customHeight="1" x14ac:dyDescent="0.3">
      <c r="A782" s="2" t="s">
        <v>2551</v>
      </c>
      <c r="B782" s="5">
        <v>42265</v>
      </c>
      <c r="C782" s="2" t="str">
        <f>TEXT(data[[#This Row],[Order Date]],"YYYY")</f>
        <v>2015</v>
      </c>
      <c r="D782" s="2">
        <v>42270</v>
      </c>
      <c r="E782" s="2" t="s">
        <v>39</v>
      </c>
      <c r="F782" s="2" t="s">
        <v>1080</v>
      </c>
      <c r="G782" s="2" t="s">
        <v>1081</v>
      </c>
      <c r="H782" s="2" t="s">
        <v>90</v>
      </c>
      <c r="I782" s="2" t="s">
        <v>25</v>
      </c>
      <c r="J782" s="2" t="s">
        <v>52</v>
      </c>
      <c r="K782" s="2" t="s">
        <v>53</v>
      </c>
      <c r="L782" s="2" t="s">
        <v>54</v>
      </c>
      <c r="M782" s="2" t="s">
        <v>1482</v>
      </c>
      <c r="N782" s="2" t="s">
        <v>30</v>
      </c>
      <c r="O782" s="2" t="s">
        <v>56</v>
      </c>
      <c r="P782" s="2" t="s">
        <v>1483</v>
      </c>
      <c r="Q782" s="2">
        <v>24.4</v>
      </c>
      <c r="R782" s="2">
        <v>2</v>
      </c>
      <c r="S782" s="2">
        <v>10.247999999999999</v>
      </c>
      <c r="T782" s="2" t="s">
        <v>58</v>
      </c>
      <c r="U782" s="2" t="s">
        <v>77</v>
      </c>
    </row>
    <row r="783" spans="1:21" ht="14.25" customHeight="1" x14ac:dyDescent="0.3">
      <c r="A783" s="2" t="s">
        <v>2552</v>
      </c>
      <c r="B783" s="5">
        <v>42595</v>
      </c>
      <c r="C783" s="2" t="str">
        <f>TEXT(data[[#This Row],[Order Date]],"YYYY")</f>
        <v>2016</v>
      </c>
      <c r="D783" s="2">
        <v>42600</v>
      </c>
      <c r="E783" s="2" t="s">
        <v>21</v>
      </c>
      <c r="F783" s="2" t="s">
        <v>1726</v>
      </c>
      <c r="G783" s="2" t="s">
        <v>1727</v>
      </c>
      <c r="H783" s="2" t="s">
        <v>90</v>
      </c>
      <c r="I783" s="2" t="s">
        <v>25</v>
      </c>
      <c r="J783" s="2" t="s">
        <v>2553</v>
      </c>
      <c r="K783" s="2" t="s">
        <v>238</v>
      </c>
      <c r="L783" s="2" t="s">
        <v>93</v>
      </c>
      <c r="M783" s="2" t="s">
        <v>542</v>
      </c>
      <c r="N783" s="2" t="s">
        <v>30</v>
      </c>
      <c r="O783" s="2" t="s">
        <v>31</v>
      </c>
      <c r="P783" s="2" t="s">
        <v>543</v>
      </c>
      <c r="Q783" s="2">
        <v>241.96</v>
      </c>
      <c r="R783" s="2">
        <v>2</v>
      </c>
      <c r="S783" s="2">
        <v>24.196000000000002</v>
      </c>
      <c r="T783" s="2" t="s">
        <v>58</v>
      </c>
      <c r="U783" s="2" t="s">
        <v>253</v>
      </c>
    </row>
    <row r="784" spans="1:21" ht="14.25" customHeight="1" x14ac:dyDescent="0.3">
      <c r="A784" s="2" t="s">
        <v>2554</v>
      </c>
      <c r="B784" s="5">
        <v>42450</v>
      </c>
      <c r="C784" s="2" t="str">
        <f>TEXT(data[[#This Row],[Order Date]],"YYYY")</f>
        <v>2016</v>
      </c>
      <c r="D784" s="2">
        <v>42454</v>
      </c>
      <c r="E784" s="2" t="s">
        <v>39</v>
      </c>
      <c r="F784" s="2" t="s">
        <v>2253</v>
      </c>
      <c r="G784" s="2" t="s">
        <v>2254</v>
      </c>
      <c r="H784" s="2" t="s">
        <v>90</v>
      </c>
      <c r="I784" s="2" t="s">
        <v>25</v>
      </c>
      <c r="J784" s="2" t="s">
        <v>101</v>
      </c>
      <c r="K784" s="2" t="s">
        <v>92</v>
      </c>
      <c r="L784" s="2" t="s">
        <v>93</v>
      </c>
      <c r="M784" s="2" t="s">
        <v>1567</v>
      </c>
      <c r="N784" s="2" t="s">
        <v>30</v>
      </c>
      <c r="O784" s="2" t="s">
        <v>45</v>
      </c>
      <c r="P784" s="2" t="s">
        <v>1568</v>
      </c>
      <c r="Q784" s="2">
        <v>99.372</v>
      </c>
      <c r="R784" s="2">
        <v>2</v>
      </c>
      <c r="S784" s="2">
        <v>-1.4196</v>
      </c>
      <c r="T784" s="2" t="s">
        <v>83</v>
      </c>
      <c r="U784" s="2" t="s">
        <v>195</v>
      </c>
    </row>
    <row r="785" spans="1:21" ht="14.25" customHeight="1" x14ac:dyDescent="0.3">
      <c r="A785" s="2" t="s">
        <v>2555</v>
      </c>
      <c r="B785" s="5">
        <v>41989</v>
      </c>
      <c r="C785" s="2" t="str">
        <f>TEXT(data[[#This Row],[Order Date]],"YYYY")</f>
        <v>2014</v>
      </c>
      <c r="D785" s="2">
        <v>41993</v>
      </c>
      <c r="E785" s="2" t="s">
        <v>21</v>
      </c>
      <c r="F785" s="2" t="s">
        <v>2556</v>
      </c>
      <c r="G785" s="2" t="s">
        <v>2557</v>
      </c>
      <c r="H785" s="2" t="s">
        <v>90</v>
      </c>
      <c r="I785" s="2" t="s">
        <v>25</v>
      </c>
      <c r="J785" s="2" t="s">
        <v>2050</v>
      </c>
      <c r="K785" s="2" t="s">
        <v>43</v>
      </c>
      <c r="L785" s="2" t="s">
        <v>28</v>
      </c>
      <c r="M785" s="2" t="s">
        <v>1532</v>
      </c>
      <c r="N785" s="2" t="s">
        <v>30</v>
      </c>
      <c r="O785" s="2" t="s">
        <v>36</v>
      </c>
      <c r="P785" s="2" t="s">
        <v>1533</v>
      </c>
      <c r="Q785" s="2">
        <v>1013.832</v>
      </c>
      <c r="R785" s="2">
        <v>9</v>
      </c>
      <c r="S785" s="2">
        <v>101.3832</v>
      </c>
      <c r="T785" s="2" t="s">
        <v>83</v>
      </c>
      <c r="U785" s="2" t="s">
        <v>96</v>
      </c>
    </row>
    <row r="786" spans="1:21" ht="14.25" customHeight="1" x14ac:dyDescent="0.3">
      <c r="A786" s="2" t="s">
        <v>2558</v>
      </c>
      <c r="B786" s="5">
        <v>42721</v>
      </c>
      <c r="C786" s="2" t="str">
        <f>TEXT(data[[#This Row],[Order Date]],"YYYY")</f>
        <v>2016</v>
      </c>
      <c r="D786" s="2">
        <v>42725</v>
      </c>
      <c r="E786" s="2" t="s">
        <v>39</v>
      </c>
      <c r="F786" s="2" t="s">
        <v>2559</v>
      </c>
      <c r="G786" s="2" t="s">
        <v>2560</v>
      </c>
      <c r="H786" s="2" t="s">
        <v>24</v>
      </c>
      <c r="I786" s="2" t="s">
        <v>25</v>
      </c>
      <c r="J786" s="2" t="s">
        <v>328</v>
      </c>
      <c r="K786" s="2" t="s">
        <v>53</v>
      </c>
      <c r="L786" s="2" t="s">
        <v>54</v>
      </c>
      <c r="M786" s="2" t="s">
        <v>612</v>
      </c>
      <c r="N786" s="2" t="s">
        <v>30</v>
      </c>
      <c r="O786" s="2" t="s">
        <v>45</v>
      </c>
      <c r="P786" s="2" t="s">
        <v>613</v>
      </c>
      <c r="Q786" s="2">
        <v>2003.52</v>
      </c>
      <c r="R786" s="2">
        <v>6</v>
      </c>
      <c r="S786" s="2">
        <v>-325.572</v>
      </c>
      <c r="T786" s="2" t="s">
        <v>83</v>
      </c>
      <c r="U786" s="2" t="s">
        <v>96</v>
      </c>
    </row>
    <row r="787" spans="1:21" ht="14.25" customHeight="1" x14ac:dyDescent="0.3">
      <c r="A787" s="2" t="s">
        <v>2561</v>
      </c>
      <c r="B787" s="5">
        <v>42127</v>
      </c>
      <c r="C787" s="2" t="str">
        <f>TEXT(data[[#This Row],[Order Date]],"YYYY")</f>
        <v>2015</v>
      </c>
      <c r="D787" s="2">
        <v>42132</v>
      </c>
      <c r="E787" s="2" t="s">
        <v>39</v>
      </c>
      <c r="F787" s="2" t="s">
        <v>2230</v>
      </c>
      <c r="G787" s="2" t="s">
        <v>2231</v>
      </c>
      <c r="H787" s="2" t="s">
        <v>100</v>
      </c>
      <c r="I787" s="2" t="s">
        <v>25</v>
      </c>
      <c r="J787" s="2" t="s">
        <v>2562</v>
      </c>
      <c r="K787" s="2" t="s">
        <v>53</v>
      </c>
      <c r="L787" s="2" t="s">
        <v>54</v>
      </c>
      <c r="M787" s="2" t="s">
        <v>1853</v>
      </c>
      <c r="N787" s="2" t="s">
        <v>30</v>
      </c>
      <c r="O787" s="2" t="s">
        <v>56</v>
      </c>
      <c r="P787" s="2" t="s">
        <v>1854</v>
      </c>
      <c r="Q787" s="2">
        <v>665.88</v>
      </c>
      <c r="R787" s="2">
        <v>6</v>
      </c>
      <c r="S787" s="2">
        <v>106.5408</v>
      </c>
      <c r="T787" s="2" t="s">
        <v>58</v>
      </c>
      <c r="U787" s="2" t="s">
        <v>161</v>
      </c>
    </row>
    <row r="788" spans="1:21" ht="14.25" customHeight="1" x14ac:dyDescent="0.3">
      <c r="A788" s="2" t="s">
        <v>2563</v>
      </c>
      <c r="B788" s="5">
        <v>41666</v>
      </c>
      <c r="C788" s="2" t="str">
        <f>TEXT(data[[#This Row],[Order Date]],"YYYY")</f>
        <v>2014</v>
      </c>
      <c r="D788" s="2">
        <v>41672</v>
      </c>
      <c r="E788" s="2" t="s">
        <v>39</v>
      </c>
      <c r="F788" s="2" t="s">
        <v>2564</v>
      </c>
      <c r="G788" s="2" t="s">
        <v>2565</v>
      </c>
      <c r="H788" s="2" t="s">
        <v>24</v>
      </c>
      <c r="I788" s="2" t="s">
        <v>25</v>
      </c>
      <c r="J788" s="2" t="s">
        <v>639</v>
      </c>
      <c r="K788" s="2" t="s">
        <v>53</v>
      </c>
      <c r="L788" s="2" t="s">
        <v>54</v>
      </c>
      <c r="M788" s="2" t="s">
        <v>2566</v>
      </c>
      <c r="N788" s="2" t="s">
        <v>30</v>
      </c>
      <c r="O788" s="2" t="s">
        <v>45</v>
      </c>
      <c r="P788" s="2" t="s">
        <v>2567</v>
      </c>
      <c r="Q788" s="2">
        <v>333</v>
      </c>
      <c r="R788" s="2">
        <v>3</v>
      </c>
      <c r="S788" s="2">
        <v>-16.649999999999999</v>
      </c>
      <c r="T788" s="2" t="s">
        <v>129</v>
      </c>
      <c r="U788" s="2" t="s">
        <v>169</v>
      </c>
    </row>
    <row r="789" spans="1:21" ht="14.25" customHeight="1" x14ac:dyDescent="0.3">
      <c r="A789" s="2" t="s">
        <v>2568</v>
      </c>
      <c r="B789" s="5">
        <v>43043</v>
      </c>
      <c r="C789" s="2" t="str">
        <f>TEXT(data[[#This Row],[Order Date]],"YYYY")</f>
        <v>2017</v>
      </c>
      <c r="D789" s="2">
        <v>43044</v>
      </c>
      <c r="E789" s="2" t="s">
        <v>87</v>
      </c>
      <c r="F789" s="2" t="s">
        <v>351</v>
      </c>
      <c r="G789" s="2" t="s">
        <v>352</v>
      </c>
      <c r="H789" s="2" t="s">
        <v>90</v>
      </c>
      <c r="I789" s="2" t="s">
        <v>25</v>
      </c>
      <c r="J789" s="2" t="s">
        <v>2569</v>
      </c>
      <c r="K789" s="2" t="s">
        <v>1036</v>
      </c>
      <c r="L789" s="2" t="s">
        <v>28</v>
      </c>
      <c r="M789" s="2" t="s">
        <v>410</v>
      </c>
      <c r="N789" s="2" t="s">
        <v>30</v>
      </c>
      <c r="O789" s="2" t="s">
        <v>45</v>
      </c>
      <c r="P789" s="2" t="s">
        <v>411</v>
      </c>
      <c r="Q789" s="2">
        <v>523.76400000000001</v>
      </c>
      <c r="R789" s="2">
        <v>3</v>
      </c>
      <c r="S789" s="2">
        <v>-192.04679999999999</v>
      </c>
      <c r="T789" s="2" t="s">
        <v>123</v>
      </c>
      <c r="U789" s="2" t="s">
        <v>34</v>
      </c>
    </row>
    <row r="790" spans="1:21" ht="14.25" customHeight="1" x14ac:dyDescent="0.3">
      <c r="A790" s="2" t="s">
        <v>2570</v>
      </c>
      <c r="B790" s="5">
        <v>42657</v>
      </c>
      <c r="C790" s="2" t="str">
        <f>TEXT(data[[#This Row],[Order Date]],"YYYY")</f>
        <v>2016</v>
      </c>
      <c r="D790" s="2">
        <v>42663</v>
      </c>
      <c r="E790" s="2" t="s">
        <v>39</v>
      </c>
      <c r="F790" s="2" t="s">
        <v>2571</v>
      </c>
      <c r="G790" s="2" t="s">
        <v>2572</v>
      </c>
      <c r="H790" s="2" t="s">
        <v>24</v>
      </c>
      <c r="I790" s="2" t="s">
        <v>25</v>
      </c>
      <c r="J790" s="2" t="s">
        <v>606</v>
      </c>
      <c r="K790" s="2" t="s">
        <v>1036</v>
      </c>
      <c r="L790" s="2" t="s">
        <v>28</v>
      </c>
      <c r="M790" s="2" t="s">
        <v>2573</v>
      </c>
      <c r="N790" s="2" t="s">
        <v>30</v>
      </c>
      <c r="O790" s="2" t="s">
        <v>36</v>
      </c>
      <c r="P790" s="2" t="s">
        <v>2574</v>
      </c>
      <c r="Q790" s="2">
        <v>102.592</v>
      </c>
      <c r="R790" s="2">
        <v>1</v>
      </c>
      <c r="S790" s="2">
        <v>10.2592</v>
      </c>
      <c r="T790" s="2" t="s">
        <v>129</v>
      </c>
      <c r="U790" s="2" t="s">
        <v>48</v>
      </c>
    </row>
    <row r="791" spans="1:21" ht="14.25" customHeight="1" x14ac:dyDescent="0.3">
      <c r="A791" s="2" t="s">
        <v>2575</v>
      </c>
      <c r="B791" s="5">
        <v>42320</v>
      </c>
      <c r="C791" s="2" t="str">
        <f>TEXT(data[[#This Row],[Order Date]],"YYYY")</f>
        <v>2015</v>
      </c>
      <c r="D791" s="2">
        <v>42327</v>
      </c>
      <c r="E791" s="2" t="s">
        <v>39</v>
      </c>
      <c r="F791" s="2" t="s">
        <v>2576</v>
      </c>
      <c r="G791" s="2" t="s">
        <v>2577</v>
      </c>
      <c r="H791" s="2" t="s">
        <v>90</v>
      </c>
      <c r="I791" s="2" t="s">
        <v>25</v>
      </c>
      <c r="J791" s="2" t="s">
        <v>2512</v>
      </c>
      <c r="K791" s="2" t="s">
        <v>43</v>
      </c>
      <c r="L791" s="2" t="s">
        <v>28</v>
      </c>
      <c r="M791" s="2" t="s">
        <v>2578</v>
      </c>
      <c r="N791" s="2" t="s">
        <v>30</v>
      </c>
      <c r="O791" s="2" t="s">
        <v>36</v>
      </c>
      <c r="P791" s="2" t="s">
        <v>2579</v>
      </c>
      <c r="Q791" s="2">
        <v>523.91999999999996</v>
      </c>
      <c r="R791" s="2">
        <v>5</v>
      </c>
      <c r="S791" s="2">
        <v>-72.039000000000001</v>
      </c>
      <c r="T791" s="2" t="s">
        <v>47</v>
      </c>
      <c r="U791" s="2" t="s">
        <v>34</v>
      </c>
    </row>
    <row r="792" spans="1:21" ht="14.25" customHeight="1" x14ac:dyDescent="0.3">
      <c r="A792" s="2" t="s">
        <v>2575</v>
      </c>
      <c r="B792" s="5">
        <v>42320</v>
      </c>
      <c r="C792" s="2" t="str">
        <f>TEXT(data[[#This Row],[Order Date]],"YYYY")</f>
        <v>2015</v>
      </c>
      <c r="D792" s="2">
        <v>42327</v>
      </c>
      <c r="E792" s="2" t="s">
        <v>39</v>
      </c>
      <c r="F792" s="2" t="s">
        <v>2576</v>
      </c>
      <c r="G792" s="2" t="s">
        <v>2577</v>
      </c>
      <c r="H792" s="2" t="s">
        <v>90</v>
      </c>
      <c r="I792" s="2" t="s">
        <v>25</v>
      </c>
      <c r="J792" s="2" t="s">
        <v>2512</v>
      </c>
      <c r="K792" s="2" t="s">
        <v>43</v>
      </c>
      <c r="L792" s="2" t="s">
        <v>28</v>
      </c>
      <c r="M792" s="2" t="s">
        <v>298</v>
      </c>
      <c r="N792" s="2" t="s">
        <v>30</v>
      </c>
      <c r="O792" s="2" t="s">
        <v>36</v>
      </c>
      <c r="P792" s="2" t="s">
        <v>299</v>
      </c>
      <c r="Q792" s="2">
        <v>146.136</v>
      </c>
      <c r="R792" s="2">
        <v>3</v>
      </c>
      <c r="S792" s="2">
        <v>16.440300000000001</v>
      </c>
      <c r="T792" s="2" t="s">
        <v>47</v>
      </c>
      <c r="U792" s="2" t="s">
        <v>34</v>
      </c>
    </row>
    <row r="793" spans="1:21" ht="14.25" customHeight="1" x14ac:dyDescent="0.3">
      <c r="A793" s="2" t="s">
        <v>2580</v>
      </c>
      <c r="B793" s="5">
        <v>42262</v>
      </c>
      <c r="C793" s="2" t="str">
        <f>TEXT(data[[#This Row],[Order Date]],"YYYY")</f>
        <v>2015</v>
      </c>
      <c r="D793" s="2">
        <v>42266</v>
      </c>
      <c r="E793" s="2" t="s">
        <v>39</v>
      </c>
      <c r="F793" s="2" t="s">
        <v>2235</v>
      </c>
      <c r="G793" s="2" t="s">
        <v>2236</v>
      </c>
      <c r="H793" s="2" t="s">
        <v>24</v>
      </c>
      <c r="I793" s="2" t="s">
        <v>25</v>
      </c>
      <c r="J793" s="2" t="s">
        <v>2462</v>
      </c>
      <c r="K793" s="2" t="s">
        <v>1276</v>
      </c>
      <c r="L793" s="2" t="s">
        <v>28</v>
      </c>
      <c r="M793" s="2" t="s">
        <v>1991</v>
      </c>
      <c r="N793" s="2" t="s">
        <v>30</v>
      </c>
      <c r="O793" s="2" t="s">
        <v>45</v>
      </c>
      <c r="P793" s="2" t="s">
        <v>1992</v>
      </c>
      <c r="Q793" s="2">
        <v>801.96</v>
      </c>
      <c r="R793" s="2">
        <v>2</v>
      </c>
      <c r="S793" s="2">
        <v>200.49</v>
      </c>
      <c r="T793" s="2" t="s">
        <v>83</v>
      </c>
      <c r="U793" s="2" t="s">
        <v>77</v>
      </c>
    </row>
    <row r="794" spans="1:21" ht="14.25" customHeight="1" x14ac:dyDescent="0.3">
      <c r="A794" s="2" t="s">
        <v>2580</v>
      </c>
      <c r="B794" s="5">
        <v>42262</v>
      </c>
      <c r="C794" s="2" t="str">
        <f>TEXT(data[[#This Row],[Order Date]],"YYYY")</f>
        <v>2015</v>
      </c>
      <c r="D794" s="2">
        <v>42266</v>
      </c>
      <c r="E794" s="2" t="s">
        <v>39</v>
      </c>
      <c r="F794" s="2" t="s">
        <v>2235</v>
      </c>
      <c r="G794" s="2" t="s">
        <v>2236</v>
      </c>
      <c r="H794" s="2" t="s">
        <v>24</v>
      </c>
      <c r="I794" s="2" t="s">
        <v>25</v>
      </c>
      <c r="J794" s="2" t="s">
        <v>2462</v>
      </c>
      <c r="K794" s="2" t="s">
        <v>1276</v>
      </c>
      <c r="L794" s="2" t="s">
        <v>28</v>
      </c>
      <c r="M794" s="2" t="s">
        <v>656</v>
      </c>
      <c r="N794" s="2" t="s">
        <v>30</v>
      </c>
      <c r="O794" s="2" t="s">
        <v>36</v>
      </c>
      <c r="P794" s="2" t="s">
        <v>657</v>
      </c>
      <c r="Q794" s="2">
        <v>1056.8599999999999</v>
      </c>
      <c r="R794" s="2">
        <v>7</v>
      </c>
      <c r="S794" s="2">
        <v>306.48939999999999</v>
      </c>
      <c r="T794" s="2" t="s">
        <v>83</v>
      </c>
      <c r="U794" s="2" t="s">
        <v>77</v>
      </c>
    </row>
    <row r="795" spans="1:21" ht="14.25" customHeight="1" x14ac:dyDescent="0.3">
      <c r="A795" s="2" t="s">
        <v>2581</v>
      </c>
      <c r="B795" s="5">
        <v>43017</v>
      </c>
      <c r="C795" s="2" t="str">
        <f>TEXT(data[[#This Row],[Order Date]],"YYYY")</f>
        <v>2017</v>
      </c>
      <c r="D795" s="2">
        <v>43022</v>
      </c>
      <c r="E795" s="2" t="s">
        <v>39</v>
      </c>
      <c r="F795" s="2" t="s">
        <v>2154</v>
      </c>
      <c r="G795" s="2" t="s">
        <v>2155</v>
      </c>
      <c r="H795" s="2" t="s">
        <v>24</v>
      </c>
      <c r="I795" s="2" t="s">
        <v>25</v>
      </c>
      <c r="J795" s="2" t="s">
        <v>173</v>
      </c>
      <c r="K795" s="2" t="s">
        <v>120</v>
      </c>
      <c r="L795" s="2" t="s">
        <v>67</v>
      </c>
      <c r="M795" s="2" t="s">
        <v>1636</v>
      </c>
      <c r="N795" s="2" t="s">
        <v>30</v>
      </c>
      <c r="O795" s="2" t="s">
        <v>31</v>
      </c>
      <c r="P795" s="2" t="s">
        <v>1637</v>
      </c>
      <c r="Q795" s="2">
        <v>314.35199999999998</v>
      </c>
      <c r="R795" s="2">
        <v>3</v>
      </c>
      <c r="S795" s="2">
        <v>-15.717599999999999</v>
      </c>
      <c r="T795" s="2" t="s">
        <v>58</v>
      </c>
      <c r="U795" s="2" t="s">
        <v>48</v>
      </c>
    </row>
    <row r="796" spans="1:21" ht="14.25" customHeight="1" x14ac:dyDescent="0.3">
      <c r="A796" s="2" t="s">
        <v>2582</v>
      </c>
      <c r="B796" s="5">
        <v>42862</v>
      </c>
      <c r="C796" s="2" t="str">
        <f>TEXT(data[[#This Row],[Order Date]],"YYYY")</f>
        <v>2017</v>
      </c>
      <c r="D796" s="2">
        <v>42866</v>
      </c>
      <c r="E796" s="2" t="s">
        <v>39</v>
      </c>
      <c r="F796" s="2" t="s">
        <v>1588</v>
      </c>
      <c r="G796" s="2" t="s">
        <v>1589</v>
      </c>
      <c r="H796" s="2" t="s">
        <v>90</v>
      </c>
      <c r="I796" s="2" t="s">
        <v>25</v>
      </c>
      <c r="J796" s="2" t="s">
        <v>288</v>
      </c>
      <c r="K796" s="2" t="s">
        <v>289</v>
      </c>
      <c r="L796" s="2" t="s">
        <v>93</v>
      </c>
      <c r="M796" s="2" t="s">
        <v>381</v>
      </c>
      <c r="N796" s="2" t="s">
        <v>30</v>
      </c>
      <c r="O796" s="2" t="s">
        <v>36</v>
      </c>
      <c r="P796" s="2" t="s">
        <v>382</v>
      </c>
      <c r="Q796" s="2">
        <v>1458.65</v>
      </c>
      <c r="R796" s="2">
        <v>5</v>
      </c>
      <c r="S796" s="2">
        <v>423.00850000000003</v>
      </c>
      <c r="T796" s="2" t="s">
        <v>83</v>
      </c>
      <c r="U796" s="2" t="s">
        <v>161</v>
      </c>
    </row>
    <row r="797" spans="1:21" ht="14.25" customHeight="1" x14ac:dyDescent="0.3">
      <c r="A797" s="2" t="s">
        <v>2582</v>
      </c>
      <c r="B797" s="5">
        <v>42862</v>
      </c>
      <c r="C797" s="2" t="str">
        <f>TEXT(data[[#This Row],[Order Date]],"YYYY")</f>
        <v>2017</v>
      </c>
      <c r="D797" s="2">
        <v>42866</v>
      </c>
      <c r="E797" s="2" t="s">
        <v>39</v>
      </c>
      <c r="F797" s="2" t="s">
        <v>1588</v>
      </c>
      <c r="G797" s="2" t="s">
        <v>1589</v>
      </c>
      <c r="H797" s="2" t="s">
        <v>90</v>
      </c>
      <c r="I797" s="2" t="s">
        <v>25</v>
      </c>
      <c r="J797" s="2" t="s">
        <v>288</v>
      </c>
      <c r="K797" s="2" t="s">
        <v>289</v>
      </c>
      <c r="L797" s="2" t="s">
        <v>93</v>
      </c>
      <c r="M797" s="2" t="s">
        <v>2008</v>
      </c>
      <c r="N797" s="2" t="s">
        <v>30</v>
      </c>
      <c r="O797" s="2" t="s">
        <v>36</v>
      </c>
      <c r="P797" s="2" t="s">
        <v>2009</v>
      </c>
      <c r="Q797" s="2">
        <v>26.64</v>
      </c>
      <c r="R797" s="2">
        <v>1</v>
      </c>
      <c r="S797" s="2">
        <v>7.4592000000000001</v>
      </c>
      <c r="T797" s="2" t="s">
        <v>83</v>
      </c>
      <c r="U797" s="2" t="s">
        <v>161</v>
      </c>
    </row>
    <row r="798" spans="1:21" ht="14.25" customHeight="1" x14ac:dyDescent="0.3">
      <c r="A798" s="2" t="s">
        <v>2582</v>
      </c>
      <c r="B798" s="5">
        <v>42862</v>
      </c>
      <c r="C798" s="2" t="str">
        <f>TEXT(data[[#This Row],[Order Date]],"YYYY")</f>
        <v>2017</v>
      </c>
      <c r="D798" s="2">
        <v>42866</v>
      </c>
      <c r="E798" s="2" t="s">
        <v>39</v>
      </c>
      <c r="F798" s="2" t="s">
        <v>1588</v>
      </c>
      <c r="G798" s="2" t="s">
        <v>1589</v>
      </c>
      <c r="H798" s="2" t="s">
        <v>90</v>
      </c>
      <c r="I798" s="2" t="s">
        <v>25</v>
      </c>
      <c r="J798" s="2" t="s">
        <v>288</v>
      </c>
      <c r="K798" s="2" t="s">
        <v>289</v>
      </c>
      <c r="L798" s="2" t="s">
        <v>93</v>
      </c>
      <c r="M798" s="2" t="s">
        <v>580</v>
      </c>
      <c r="N798" s="2" t="s">
        <v>30</v>
      </c>
      <c r="O798" s="2" t="s">
        <v>36</v>
      </c>
      <c r="P798" s="2" t="s">
        <v>581</v>
      </c>
      <c r="Q798" s="2">
        <v>476.8</v>
      </c>
      <c r="R798" s="2">
        <v>2</v>
      </c>
      <c r="S798" s="2">
        <v>119.2</v>
      </c>
      <c r="T798" s="2" t="s">
        <v>83</v>
      </c>
      <c r="U798" s="2" t="s">
        <v>161</v>
      </c>
    </row>
    <row r="799" spans="1:21" ht="14.25" customHeight="1" x14ac:dyDescent="0.3">
      <c r="A799" s="2" t="s">
        <v>2583</v>
      </c>
      <c r="B799" s="5">
        <v>42322</v>
      </c>
      <c r="C799" s="2" t="str">
        <f>TEXT(data[[#This Row],[Order Date]],"YYYY")</f>
        <v>2015</v>
      </c>
      <c r="D799" s="2">
        <v>42327</v>
      </c>
      <c r="E799" s="2" t="s">
        <v>39</v>
      </c>
      <c r="F799" s="2" t="s">
        <v>2584</v>
      </c>
      <c r="G799" s="2" t="s">
        <v>2585</v>
      </c>
      <c r="H799" s="2" t="s">
        <v>24</v>
      </c>
      <c r="I799" s="2" t="s">
        <v>25</v>
      </c>
      <c r="J799" s="2" t="s">
        <v>741</v>
      </c>
      <c r="K799" s="2" t="s">
        <v>200</v>
      </c>
      <c r="L799" s="2" t="s">
        <v>67</v>
      </c>
      <c r="M799" s="2" t="s">
        <v>308</v>
      </c>
      <c r="N799" s="2" t="s">
        <v>30</v>
      </c>
      <c r="O799" s="2" t="s">
        <v>56</v>
      </c>
      <c r="P799" s="2" t="s">
        <v>2586</v>
      </c>
      <c r="Q799" s="2">
        <v>76.14</v>
      </c>
      <c r="R799" s="2">
        <v>3</v>
      </c>
      <c r="S799" s="2">
        <v>26.649000000000001</v>
      </c>
      <c r="T799" s="2" t="s">
        <v>58</v>
      </c>
      <c r="U799" s="2" t="s">
        <v>34</v>
      </c>
    </row>
    <row r="800" spans="1:21" ht="14.25" customHeight="1" x14ac:dyDescent="0.3">
      <c r="A800" s="2" t="s">
        <v>2587</v>
      </c>
      <c r="B800" s="5">
        <v>41967</v>
      </c>
      <c r="C800" s="2" t="str">
        <f>TEXT(data[[#This Row],[Order Date]],"YYYY")</f>
        <v>2014</v>
      </c>
      <c r="D800" s="2">
        <v>41967</v>
      </c>
      <c r="E800" s="2" t="s">
        <v>425</v>
      </c>
      <c r="F800" s="2" t="s">
        <v>2588</v>
      </c>
      <c r="G800" s="2" t="s">
        <v>2589</v>
      </c>
      <c r="H800" s="2" t="s">
        <v>90</v>
      </c>
      <c r="I800" s="2" t="s">
        <v>25</v>
      </c>
      <c r="J800" s="2" t="s">
        <v>347</v>
      </c>
      <c r="K800" s="2" t="s">
        <v>231</v>
      </c>
      <c r="L800" s="2" t="s">
        <v>67</v>
      </c>
      <c r="M800" s="2" t="s">
        <v>1306</v>
      </c>
      <c r="N800" s="2" t="s">
        <v>30</v>
      </c>
      <c r="O800" s="2" t="s">
        <v>36</v>
      </c>
      <c r="P800" s="2" t="s">
        <v>1307</v>
      </c>
      <c r="Q800" s="2">
        <v>611.05799999999999</v>
      </c>
      <c r="R800" s="2">
        <v>3</v>
      </c>
      <c r="S800" s="2">
        <v>-34.9176</v>
      </c>
      <c r="T800" s="2" t="s">
        <v>430</v>
      </c>
      <c r="U800" s="2" t="s">
        <v>34</v>
      </c>
    </row>
    <row r="801" spans="1:21" ht="14.25" customHeight="1" x14ac:dyDescent="0.3">
      <c r="A801" s="2" t="s">
        <v>2590</v>
      </c>
      <c r="B801" s="5">
        <v>41846</v>
      </c>
      <c r="C801" s="2" t="str">
        <f>TEXT(data[[#This Row],[Order Date]],"YYYY")</f>
        <v>2014</v>
      </c>
      <c r="D801" s="2">
        <v>41853</v>
      </c>
      <c r="E801" s="2" t="s">
        <v>39</v>
      </c>
      <c r="F801" s="2" t="s">
        <v>125</v>
      </c>
      <c r="G801" s="2" t="s">
        <v>126</v>
      </c>
      <c r="H801" s="2" t="s">
        <v>24</v>
      </c>
      <c r="I801" s="2" t="s">
        <v>25</v>
      </c>
      <c r="J801" s="2" t="s">
        <v>1339</v>
      </c>
      <c r="K801" s="2" t="s">
        <v>1340</v>
      </c>
      <c r="L801" s="2" t="s">
        <v>54</v>
      </c>
      <c r="M801" s="2" t="s">
        <v>405</v>
      </c>
      <c r="N801" s="2" t="s">
        <v>30</v>
      </c>
      <c r="O801" s="2" t="s">
        <v>36</v>
      </c>
      <c r="P801" s="2" t="s">
        <v>406</v>
      </c>
      <c r="Q801" s="2">
        <v>674.35199999999998</v>
      </c>
      <c r="R801" s="2">
        <v>3</v>
      </c>
      <c r="S801" s="2">
        <v>-109.5822</v>
      </c>
      <c r="T801" s="2" t="s">
        <v>47</v>
      </c>
      <c r="U801" s="2" t="s">
        <v>71</v>
      </c>
    </row>
    <row r="802" spans="1:21" ht="14.25" customHeight="1" x14ac:dyDescent="0.3">
      <c r="A802" s="2" t="s">
        <v>2590</v>
      </c>
      <c r="B802" s="5">
        <v>41846</v>
      </c>
      <c r="C802" s="2" t="str">
        <f>TEXT(data[[#This Row],[Order Date]],"YYYY")</f>
        <v>2014</v>
      </c>
      <c r="D802" s="2">
        <v>41853</v>
      </c>
      <c r="E802" s="2" t="s">
        <v>39</v>
      </c>
      <c r="F802" s="2" t="s">
        <v>125</v>
      </c>
      <c r="G802" s="2" t="s">
        <v>126</v>
      </c>
      <c r="H802" s="2" t="s">
        <v>24</v>
      </c>
      <c r="I802" s="2" t="s">
        <v>25</v>
      </c>
      <c r="J802" s="2" t="s">
        <v>1339</v>
      </c>
      <c r="K802" s="2" t="s">
        <v>1340</v>
      </c>
      <c r="L802" s="2" t="s">
        <v>54</v>
      </c>
      <c r="M802" s="2" t="s">
        <v>1204</v>
      </c>
      <c r="N802" s="2" t="s">
        <v>30</v>
      </c>
      <c r="O802" s="2" t="s">
        <v>56</v>
      </c>
      <c r="P802" s="2" t="s">
        <v>1205</v>
      </c>
      <c r="Q802" s="2">
        <v>134.01</v>
      </c>
      <c r="R802" s="2">
        <v>9</v>
      </c>
      <c r="S802" s="2">
        <v>36.182699999999997</v>
      </c>
      <c r="T802" s="2" t="s">
        <v>47</v>
      </c>
      <c r="U802" s="2" t="s">
        <v>71</v>
      </c>
    </row>
    <row r="803" spans="1:21" ht="14.25" customHeight="1" x14ac:dyDescent="0.3">
      <c r="A803" s="2" t="s">
        <v>2591</v>
      </c>
      <c r="B803" s="5">
        <v>41798</v>
      </c>
      <c r="C803" s="2" t="str">
        <f>TEXT(data[[#This Row],[Order Date]],"YYYY")</f>
        <v>2014</v>
      </c>
      <c r="D803" s="2">
        <v>41802</v>
      </c>
      <c r="E803" s="2" t="s">
        <v>39</v>
      </c>
      <c r="F803" s="2" t="s">
        <v>2592</v>
      </c>
      <c r="G803" s="2" t="s">
        <v>2593</v>
      </c>
      <c r="H803" s="2" t="s">
        <v>90</v>
      </c>
      <c r="I803" s="2" t="s">
        <v>25</v>
      </c>
      <c r="J803" s="2" t="s">
        <v>2405</v>
      </c>
      <c r="K803" s="2" t="s">
        <v>141</v>
      </c>
      <c r="L803" s="2" t="s">
        <v>28</v>
      </c>
      <c r="M803" s="2" t="s">
        <v>590</v>
      </c>
      <c r="N803" s="2" t="s">
        <v>30</v>
      </c>
      <c r="O803" s="2" t="s">
        <v>36</v>
      </c>
      <c r="P803" s="2" t="s">
        <v>591</v>
      </c>
      <c r="Q803" s="2">
        <v>170.352</v>
      </c>
      <c r="R803" s="2">
        <v>3</v>
      </c>
      <c r="S803" s="2">
        <v>10.647</v>
      </c>
      <c r="T803" s="2" t="s">
        <v>83</v>
      </c>
      <c r="U803" s="2" t="s">
        <v>59</v>
      </c>
    </row>
    <row r="804" spans="1:21" ht="14.25" customHeight="1" x14ac:dyDescent="0.3">
      <c r="A804" s="2" t="s">
        <v>2594</v>
      </c>
      <c r="B804" s="5">
        <v>41940</v>
      </c>
      <c r="C804" s="2" t="str">
        <f>TEXT(data[[#This Row],[Order Date]],"YYYY")</f>
        <v>2014</v>
      </c>
      <c r="D804" s="2">
        <v>41943</v>
      </c>
      <c r="E804" s="2" t="s">
        <v>87</v>
      </c>
      <c r="F804" s="2" t="s">
        <v>1317</v>
      </c>
      <c r="G804" s="2" t="s">
        <v>1318</v>
      </c>
      <c r="H804" s="2" t="s">
        <v>90</v>
      </c>
      <c r="I804" s="2" t="s">
        <v>25</v>
      </c>
      <c r="J804" s="2" t="s">
        <v>52</v>
      </c>
      <c r="K804" s="2" t="s">
        <v>53</v>
      </c>
      <c r="L804" s="2" t="s">
        <v>54</v>
      </c>
      <c r="M804" s="2" t="s">
        <v>542</v>
      </c>
      <c r="N804" s="2" t="s">
        <v>30</v>
      </c>
      <c r="O804" s="2" t="s">
        <v>31</v>
      </c>
      <c r="P804" s="2" t="s">
        <v>543</v>
      </c>
      <c r="Q804" s="2">
        <v>616.99800000000005</v>
      </c>
      <c r="R804" s="2">
        <v>6</v>
      </c>
      <c r="S804" s="2">
        <v>-36.293999999999997</v>
      </c>
      <c r="T804" s="2" t="s">
        <v>33</v>
      </c>
      <c r="U804" s="2" t="s">
        <v>48</v>
      </c>
    </row>
    <row r="805" spans="1:21" ht="14.25" customHeight="1" x14ac:dyDescent="0.3">
      <c r="A805" s="2" t="s">
        <v>2595</v>
      </c>
      <c r="B805" s="5">
        <v>42268</v>
      </c>
      <c r="C805" s="2" t="str">
        <f>TEXT(data[[#This Row],[Order Date]],"YYYY")</f>
        <v>2015</v>
      </c>
      <c r="D805" s="2">
        <v>42268</v>
      </c>
      <c r="E805" s="2" t="s">
        <v>425</v>
      </c>
      <c r="F805" s="2" t="s">
        <v>2596</v>
      </c>
      <c r="G805" s="2" t="s">
        <v>2597</v>
      </c>
      <c r="H805" s="2" t="s">
        <v>100</v>
      </c>
      <c r="I805" s="2" t="s">
        <v>25</v>
      </c>
      <c r="J805" s="2" t="s">
        <v>2398</v>
      </c>
      <c r="K805" s="2" t="s">
        <v>434</v>
      </c>
      <c r="L805" s="2" t="s">
        <v>67</v>
      </c>
      <c r="M805" s="2" t="s">
        <v>181</v>
      </c>
      <c r="N805" s="2" t="s">
        <v>30</v>
      </c>
      <c r="O805" s="2" t="s">
        <v>56</v>
      </c>
      <c r="P805" s="2" t="s">
        <v>182</v>
      </c>
      <c r="Q805" s="2">
        <v>85.3</v>
      </c>
      <c r="R805" s="2">
        <v>2</v>
      </c>
      <c r="S805" s="2">
        <v>14.500999999999999</v>
      </c>
      <c r="T805" s="2" t="s">
        <v>430</v>
      </c>
      <c r="U805" s="2" t="s">
        <v>77</v>
      </c>
    </row>
    <row r="806" spans="1:21" ht="14.25" customHeight="1" x14ac:dyDescent="0.3">
      <c r="A806" s="2" t="s">
        <v>2598</v>
      </c>
      <c r="B806" s="5">
        <v>42892</v>
      </c>
      <c r="C806" s="2" t="str">
        <f>TEXT(data[[#This Row],[Order Date]],"YYYY")</f>
        <v>2017</v>
      </c>
      <c r="D806" s="2">
        <v>42896</v>
      </c>
      <c r="E806" s="2" t="s">
        <v>39</v>
      </c>
      <c r="F806" s="2" t="s">
        <v>2599</v>
      </c>
      <c r="G806" s="2" t="s">
        <v>2600</v>
      </c>
      <c r="H806" s="2" t="s">
        <v>100</v>
      </c>
      <c r="I806" s="2" t="s">
        <v>25</v>
      </c>
      <c r="J806" s="2" t="s">
        <v>328</v>
      </c>
      <c r="K806" s="2" t="s">
        <v>53</v>
      </c>
      <c r="L806" s="2" t="s">
        <v>54</v>
      </c>
      <c r="M806" s="2" t="s">
        <v>2601</v>
      </c>
      <c r="N806" s="2" t="s">
        <v>30</v>
      </c>
      <c r="O806" s="2" t="s">
        <v>56</v>
      </c>
      <c r="P806" s="2" t="s">
        <v>2602</v>
      </c>
      <c r="Q806" s="2">
        <v>4.95</v>
      </c>
      <c r="R806" s="2">
        <v>1</v>
      </c>
      <c r="S806" s="2">
        <v>2.1779999999999999</v>
      </c>
      <c r="T806" s="2" t="s">
        <v>83</v>
      </c>
      <c r="U806" s="2" t="s">
        <v>59</v>
      </c>
    </row>
    <row r="807" spans="1:21" ht="14.25" customHeight="1" x14ac:dyDescent="0.3">
      <c r="A807" s="2" t="s">
        <v>2603</v>
      </c>
      <c r="B807" s="5">
        <v>42783</v>
      </c>
      <c r="C807" s="2" t="str">
        <f>TEXT(data[[#This Row],[Order Date]],"YYYY")</f>
        <v>2017</v>
      </c>
      <c r="D807" s="2">
        <v>42788</v>
      </c>
      <c r="E807" s="2" t="s">
        <v>39</v>
      </c>
      <c r="F807" s="2" t="s">
        <v>1237</v>
      </c>
      <c r="G807" s="2" t="s">
        <v>1238</v>
      </c>
      <c r="H807" s="2" t="s">
        <v>100</v>
      </c>
      <c r="I807" s="2" t="s">
        <v>25</v>
      </c>
      <c r="J807" s="2" t="s">
        <v>133</v>
      </c>
      <c r="K807" s="2" t="s">
        <v>134</v>
      </c>
      <c r="L807" s="2" t="s">
        <v>93</v>
      </c>
      <c r="M807" s="2" t="s">
        <v>1077</v>
      </c>
      <c r="N807" s="2" t="s">
        <v>30</v>
      </c>
      <c r="O807" s="2" t="s">
        <v>45</v>
      </c>
      <c r="P807" s="2" t="s">
        <v>1078</v>
      </c>
      <c r="Q807" s="2">
        <v>480.96</v>
      </c>
      <c r="R807" s="2">
        <v>3</v>
      </c>
      <c r="S807" s="2">
        <v>-269.33760000000001</v>
      </c>
      <c r="T807" s="2" t="s">
        <v>58</v>
      </c>
      <c r="U807" s="2" t="s">
        <v>297</v>
      </c>
    </row>
    <row r="808" spans="1:21" ht="14.25" customHeight="1" x14ac:dyDescent="0.3">
      <c r="A808" s="2" t="s">
        <v>2604</v>
      </c>
      <c r="B808" s="5">
        <v>42336</v>
      </c>
      <c r="C808" s="2" t="str">
        <f>TEXT(data[[#This Row],[Order Date]],"YYYY")</f>
        <v>2015</v>
      </c>
      <c r="D808" s="2">
        <v>42341</v>
      </c>
      <c r="E808" s="2" t="s">
        <v>39</v>
      </c>
      <c r="F808" s="2" t="s">
        <v>221</v>
      </c>
      <c r="G808" s="2" t="s">
        <v>222</v>
      </c>
      <c r="H808" s="2" t="s">
        <v>24</v>
      </c>
      <c r="I808" s="2" t="s">
        <v>25</v>
      </c>
      <c r="J808" s="2" t="s">
        <v>2605</v>
      </c>
      <c r="K808" s="2" t="s">
        <v>134</v>
      </c>
      <c r="L808" s="2" t="s">
        <v>93</v>
      </c>
      <c r="M808" s="2" t="s">
        <v>2606</v>
      </c>
      <c r="N808" s="2" t="s">
        <v>30</v>
      </c>
      <c r="O808" s="2" t="s">
        <v>56</v>
      </c>
      <c r="P808" s="2" t="s">
        <v>2607</v>
      </c>
      <c r="Q808" s="2">
        <v>151.96</v>
      </c>
      <c r="R808" s="2">
        <v>5</v>
      </c>
      <c r="S808" s="2">
        <v>-182.352</v>
      </c>
      <c r="T808" s="2" t="s">
        <v>58</v>
      </c>
      <c r="U808" s="2" t="s">
        <v>34</v>
      </c>
    </row>
    <row r="809" spans="1:21" ht="14.25" customHeight="1" x14ac:dyDescent="0.3">
      <c r="A809" s="2" t="s">
        <v>2608</v>
      </c>
      <c r="B809" s="5">
        <v>42300</v>
      </c>
      <c r="C809" s="2" t="str">
        <f>TEXT(data[[#This Row],[Order Date]],"YYYY")</f>
        <v>2015</v>
      </c>
      <c r="D809" s="2">
        <v>42304</v>
      </c>
      <c r="E809" s="2" t="s">
        <v>21</v>
      </c>
      <c r="F809" s="2" t="s">
        <v>2609</v>
      </c>
      <c r="G809" s="2" t="s">
        <v>2610</v>
      </c>
      <c r="H809" s="2" t="s">
        <v>24</v>
      </c>
      <c r="I809" s="2" t="s">
        <v>25</v>
      </c>
      <c r="J809" s="2" t="s">
        <v>639</v>
      </c>
      <c r="K809" s="2" t="s">
        <v>53</v>
      </c>
      <c r="L809" s="2" t="s">
        <v>54</v>
      </c>
      <c r="M809" s="2" t="s">
        <v>2334</v>
      </c>
      <c r="N809" s="2" t="s">
        <v>30</v>
      </c>
      <c r="O809" s="2" t="s">
        <v>36</v>
      </c>
      <c r="P809" s="2" t="s">
        <v>2335</v>
      </c>
      <c r="Q809" s="2">
        <v>240.78399999999999</v>
      </c>
      <c r="R809" s="2">
        <v>1</v>
      </c>
      <c r="S809" s="2">
        <v>27.088200000000001</v>
      </c>
      <c r="T809" s="2" t="s">
        <v>83</v>
      </c>
      <c r="U809" s="2" t="s">
        <v>48</v>
      </c>
    </row>
    <row r="810" spans="1:21" ht="14.25" customHeight="1" x14ac:dyDescent="0.3">
      <c r="A810" s="2" t="s">
        <v>2608</v>
      </c>
      <c r="B810" s="5">
        <v>42300</v>
      </c>
      <c r="C810" s="2" t="str">
        <f>TEXT(data[[#This Row],[Order Date]],"YYYY")</f>
        <v>2015</v>
      </c>
      <c r="D810" s="2">
        <v>42304</v>
      </c>
      <c r="E810" s="2" t="s">
        <v>21</v>
      </c>
      <c r="F810" s="2" t="s">
        <v>2609</v>
      </c>
      <c r="G810" s="2" t="s">
        <v>2610</v>
      </c>
      <c r="H810" s="2" t="s">
        <v>24</v>
      </c>
      <c r="I810" s="2" t="s">
        <v>25</v>
      </c>
      <c r="J810" s="2" t="s">
        <v>639</v>
      </c>
      <c r="K810" s="2" t="s">
        <v>53</v>
      </c>
      <c r="L810" s="2" t="s">
        <v>54</v>
      </c>
      <c r="M810" s="2" t="s">
        <v>1102</v>
      </c>
      <c r="N810" s="2" t="s">
        <v>30</v>
      </c>
      <c r="O810" s="2" t="s">
        <v>36</v>
      </c>
      <c r="P810" s="2" t="s">
        <v>1103</v>
      </c>
      <c r="Q810" s="2">
        <v>191.96799999999999</v>
      </c>
      <c r="R810" s="2">
        <v>7</v>
      </c>
      <c r="S810" s="2">
        <v>16.7972</v>
      </c>
      <c r="T810" s="2" t="s">
        <v>83</v>
      </c>
      <c r="U810" s="2" t="s">
        <v>48</v>
      </c>
    </row>
    <row r="811" spans="1:21" ht="14.25" customHeight="1" x14ac:dyDescent="0.3">
      <c r="A811" s="2" t="s">
        <v>2608</v>
      </c>
      <c r="B811" s="5">
        <v>42300</v>
      </c>
      <c r="C811" s="2" t="str">
        <f>TEXT(data[[#This Row],[Order Date]],"YYYY")</f>
        <v>2015</v>
      </c>
      <c r="D811" s="2">
        <v>42304</v>
      </c>
      <c r="E811" s="2" t="s">
        <v>21</v>
      </c>
      <c r="F811" s="2" t="s">
        <v>2609</v>
      </c>
      <c r="G811" s="2" t="s">
        <v>2610</v>
      </c>
      <c r="H811" s="2" t="s">
        <v>24</v>
      </c>
      <c r="I811" s="2" t="s">
        <v>25</v>
      </c>
      <c r="J811" s="2" t="s">
        <v>639</v>
      </c>
      <c r="K811" s="2" t="s">
        <v>53</v>
      </c>
      <c r="L811" s="2" t="s">
        <v>54</v>
      </c>
      <c r="M811" s="2" t="s">
        <v>1486</v>
      </c>
      <c r="N811" s="2" t="s">
        <v>30</v>
      </c>
      <c r="O811" s="2" t="s">
        <v>36</v>
      </c>
      <c r="P811" s="2" t="s">
        <v>1487</v>
      </c>
      <c r="Q811" s="2">
        <v>842.35199999999998</v>
      </c>
      <c r="R811" s="2">
        <v>3</v>
      </c>
      <c r="S811" s="2">
        <v>42.117600000000003</v>
      </c>
      <c r="T811" s="2" t="s">
        <v>83</v>
      </c>
      <c r="U811" s="2" t="s">
        <v>48</v>
      </c>
    </row>
    <row r="812" spans="1:21" ht="14.25" customHeight="1" x14ac:dyDescent="0.3">
      <c r="A812" s="2" t="s">
        <v>2611</v>
      </c>
      <c r="B812" s="5">
        <v>42170</v>
      </c>
      <c r="C812" s="2" t="str">
        <f>TEXT(data[[#This Row],[Order Date]],"YYYY")</f>
        <v>2015</v>
      </c>
      <c r="D812" s="2">
        <v>42175</v>
      </c>
      <c r="E812" s="2" t="s">
        <v>39</v>
      </c>
      <c r="F812" s="2" t="s">
        <v>2612</v>
      </c>
      <c r="G812" s="2" t="s">
        <v>2613</v>
      </c>
      <c r="H812" s="2" t="s">
        <v>24</v>
      </c>
      <c r="I812" s="2" t="s">
        <v>25</v>
      </c>
      <c r="J812" s="2" t="s">
        <v>2033</v>
      </c>
      <c r="K812" s="2" t="s">
        <v>520</v>
      </c>
      <c r="L812" s="2" t="s">
        <v>54</v>
      </c>
      <c r="M812" s="2" t="s">
        <v>2606</v>
      </c>
      <c r="N812" s="2" t="s">
        <v>30</v>
      </c>
      <c r="O812" s="2" t="s">
        <v>56</v>
      </c>
      <c r="P812" s="2" t="s">
        <v>2607</v>
      </c>
      <c r="Q812" s="2">
        <v>364.70400000000001</v>
      </c>
      <c r="R812" s="2">
        <v>6</v>
      </c>
      <c r="S812" s="2">
        <v>-36.470399999999998</v>
      </c>
      <c r="T812" s="2" t="s">
        <v>58</v>
      </c>
      <c r="U812" s="2" t="s">
        <v>59</v>
      </c>
    </row>
    <row r="813" spans="1:21" ht="14.25" customHeight="1" x14ac:dyDescent="0.3">
      <c r="A813" s="2" t="s">
        <v>2611</v>
      </c>
      <c r="B813" s="5">
        <v>42170</v>
      </c>
      <c r="C813" s="2" t="str">
        <f>TEXT(data[[#This Row],[Order Date]],"YYYY")</f>
        <v>2015</v>
      </c>
      <c r="D813" s="2">
        <v>42175</v>
      </c>
      <c r="E813" s="2" t="s">
        <v>39</v>
      </c>
      <c r="F813" s="2" t="s">
        <v>2612</v>
      </c>
      <c r="G813" s="2" t="s">
        <v>2613</v>
      </c>
      <c r="H813" s="2" t="s">
        <v>24</v>
      </c>
      <c r="I813" s="2" t="s">
        <v>25</v>
      </c>
      <c r="J813" s="2" t="s">
        <v>2033</v>
      </c>
      <c r="K813" s="2" t="s">
        <v>520</v>
      </c>
      <c r="L813" s="2" t="s">
        <v>54</v>
      </c>
      <c r="M813" s="2" t="s">
        <v>2614</v>
      </c>
      <c r="N813" s="2" t="s">
        <v>30</v>
      </c>
      <c r="O813" s="2" t="s">
        <v>56</v>
      </c>
      <c r="P813" s="2" t="s">
        <v>2615</v>
      </c>
      <c r="Q813" s="2">
        <v>40.256</v>
      </c>
      <c r="R813" s="2">
        <v>4</v>
      </c>
      <c r="S813" s="2">
        <v>11.070399999999999</v>
      </c>
      <c r="T813" s="2" t="s">
        <v>58</v>
      </c>
      <c r="U813" s="2" t="s">
        <v>59</v>
      </c>
    </row>
    <row r="814" spans="1:21" ht="14.25" customHeight="1" x14ac:dyDescent="0.3">
      <c r="A814" s="2" t="s">
        <v>2616</v>
      </c>
      <c r="B814" s="5">
        <v>42698</v>
      </c>
      <c r="C814" s="2" t="str">
        <f>TEXT(data[[#This Row],[Order Date]],"YYYY")</f>
        <v>2016</v>
      </c>
      <c r="D814" s="2">
        <v>42704</v>
      </c>
      <c r="E814" s="2" t="s">
        <v>39</v>
      </c>
      <c r="F814" s="2" t="s">
        <v>2617</v>
      </c>
      <c r="G814" s="2" t="s">
        <v>2618</v>
      </c>
      <c r="H814" s="2" t="s">
        <v>90</v>
      </c>
      <c r="I814" s="2" t="s">
        <v>25</v>
      </c>
      <c r="J814" s="2" t="s">
        <v>52</v>
      </c>
      <c r="K814" s="2" t="s">
        <v>53</v>
      </c>
      <c r="L814" s="2" t="s">
        <v>54</v>
      </c>
      <c r="M814" s="2" t="s">
        <v>851</v>
      </c>
      <c r="N814" s="2" t="s">
        <v>30</v>
      </c>
      <c r="O814" s="2" t="s">
        <v>36</v>
      </c>
      <c r="P814" s="2" t="s">
        <v>852</v>
      </c>
      <c r="Q814" s="2">
        <v>1684.752</v>
      </c>
      <c r="R814" s="2">
        <v>6</v>
      </c>
      <c r="S814" s="2">
        <v>210.59399999999999</v>
      </c>
      <c r="T814" s="2" t="s">
        <v>129</v>
      </c>
      <c r="U814" s="2" t="s">
        <v>34</v>
      </c>
    </row>
    <row r="815" spans="1:21" ht="14.25" customHeight="1" x14ac:dyDescent="0.3">
      <c r="A815" s="2" t="s">
        <v>2619</v>
      </c>
      <c r="B815" s="5">
        <v>42099</v>
      </c>
      <c r="C815" s="2" t="str">
        <f>TEXT(data[[#This Row],[Order Date]],"YYYY")</f>
        <v>2015</v>
      </c>
      <c r="D815" s="2">
        <v>42104</v>
      </c>
      <c r="E815" s="2" t="s">
        <v>39</v>
      </c>
      <c r="F815" s="2" t="s">
        <v>2620</v>
      </c>
      <c r="G815" s="2" t="s">
        <v>2621</v>
      </c>
      <c r="H815" s="2" t="s">
        <v>100</v>
      </c>
      <c r="I815" s="2" t="s">
        <v>25</v>
      </c>
      <c r="J815" s="2" t="s">
        <v>65</v>
      </c>
      <c r="K815" s="2" t="s">
        <v>66</v>
      </c>
      <c r="L815" s="2" t="s">
        <v>67</v>
      </c>
      <c r="M815" s="2" t="s">
        <v>1831</v>
      </c>
      <c r="N815" s="2" t="s">
        <v>30</v>
      </c>
      <c r="O815" s="2" t="s">
        <v>56</v>
      </c>
      <c r="P815" s="2" t="s">
        <v>1832</v>
      </c>
      <c r="Q815" s="2">
        <v>547.13599999999997</v>
      </c>
      <c r="R815" s="2">
        <v>4</v>
      </c>
      <c r="S815" s="2">
        <v>-68.391999999999996</v>
      </c>
      <c r="T815" s="2" t="s">
        <v>58</v>
      </c>
      <c r="U815" s="2" t="s">
        <v>113</v>
      </c>
    </row>
    <row r="816" spans="1:21" ht="14.25" customHeight="1" x14ac:dyDescent="0.3">
      <c r="A816" s="2" t="s">
        <v>2619</v>
      </c>
      <c r="B816" s="5">
        <v>42099</v>
      </c>
      <c r="C816" s="2" t="str">
        <f>TEXT(data[[#This Row],[Order Date]],"YYYY")</f>
        <v>2015</v>
      </c>
      <c r="D816" s="2">
        <v>42104</v>
      </c>
      <c r="E816" s="2" t="s">
        <v>39</v>
      </c>
      <c r="F816" s="2" t="s">
        <v>2620</v>
      </c>
      <c r="G816" s="2" t="s">
        <v>2621</v>
      </c>
      <c r="H816" s="2" t="s">
        <v>100</v>
      </c>
      <c r="I816" s="2" t="s">
        <v>25</v>
      </c>
      <c r="J816" s="2" t="s">
        <v>65</v>
      </c>
      <c r="K816" s="2" t="s">
        <v>66</v>
      </c>
      <c r="L816" s="2" t="s">
        <v>67</v>
      </c>
      <c r="M816" s="2" t="s">
        <v>1595</v>
      </c>
      <c r="N816" s="2" t="s">
        <v>30</v>
      </c>
      <c r="O816" s="2" t="s">
        <v>56</v>
      </c>
      <c r="P816" s="2" t="s">
        <v>1596</v>
      </c>
      <c r="Q816" s="2">
        <v>7.5839999999999996</v>
      </c>
      <c r="R816" s="2">
        <v>1</v>
      </c>
      <c r="S816" s="2">
        <v>2.37</v>
      </c>
      <c r="T816" s="2" t="s">
        <v>58</v>
      </c>
      <c r="U816" s="2" t="s">
        <v>113</v>
      </c>
    </row>
    <row r="817" spans="1:21" ht="14.25" customHeight="1" x14ac:dyDescent="0.3">
      <c r="A817" s="2" t="s">
        <v>2619</v>
      </c>
      <c r="B817" s="5">
        <v>42099</v>
      </c>
      <c r="C817" s="2" t="str">
        <f>TEXT(data[[#This Row],[Order Date]],"YYYY")</f>
        <v>2015</v>
      </c>
      <c r="D817" s="2">
        <v>42104</v>
      </c>
      <c r="E817" s="2" t="s">
        <v>39</v>
      </c>
      <c r="F817" s="2" t="s">
        <v>2620</v>
      </c>
      <c r="G817" s="2" t="s">
        <v>2621</v>
      </c>
      <c r="H817" s="2" t="s">
        <v>100</v>
      </c>
      <c r="I817" s="2" t="s">
        <v>25</v>
      </c>
      <c r="J817" s="2" t="s">
        <v>65</v>
      </c>
      <c r="K817" s="2" t="s">
        <v>66</v>
      </c>
      <c r="L817" s="2" t="s">
        <v>67</v>
      </c>
      <c r="M817" s="2" t="s">
        <v>2622</v>
      </c>
      <c r="N817" s="2" t="s">
        <v>30</v>
      </c>
      <c r="O817" s="2" t="s">
        <v>31</v>
      </c>
      <c r="P817" s="2" t="s">
        <v>2623</v>
      </c>
      <c r="Q817" s="2">
        <v>352.45</v>
      </c>
      <c r="R817" s="2">
        <v>5</v>
      </c>
      <c r="S817" s="2">
        <v>-211.47</v>
      </c>
      <c r="T817" s="2" t="s">
        <v>58</v>
      </c>
      <c r="U817" s="2" t="s">
        <v>113</v>
      </c>
    </row>
    <row r="818" spans="1:21" ht="14.25" customHeight="1" x14ac:dyDescent="0.3">
      <c r="A818" s="2" t="s">
        <v>2624</v>
      </c>
      <c r="B818" s="5">
        <v>42996</v>
      </c>
      <c r="C818" s="2" t="str">
        <f>TEXT(data[[#This Row],[Order Date]],"YYYY")</f>
        <v>2017</v>
      </c>
      <c r="D818" s="2">
        <v>43003</v>
      </c>
      <c r="E818" s="2" t="s">
        <v>39</v>
      </c>
      <c r="F818" s="2" t="s">
        <v>2625</v>
      </c>
      <c r="G818" s="2" t="s">
        <v>2626</v>
      </c>
      <c r="H818" s="2" t="s">
        <v>90</v>
      </c>
      <c r="I818" s="2" t="s">
        <v>25</v>
      </c>
      <c r="J818" s="2" t="s">
        <v>173</v>
      </c>
      <c r="K818" s="2" t="s">
        <v>120</v>
      </c>
      <c r="L818" s="2" t="s">
        <v>67</v>
      </c>
      <c r="M818" s="2" t="s">
        <v>1099</v>
      </c>
      <c r="N818" s="2" t="s">
        <v>30</v>
      </c>
      <c r="O818" s="2" t="s">
        <v>56</v>
      </c>
      <c r="P818" s="2" t="s">
        <v>1100</v>
      </c>
      <c r="Q818" s="2">
        <v>9.82</v>
      </c>
      <c r="R818" s="2">
        <v>2</v>
      </c>
      <c r="S818" s="2">
        <v>3.2406000000000001</v>
      </c>
      <c r="T818" s="2" t="s">
        <v>47</v>
      </c>
      <c r="U818" s="2" t="s">
        <v>77</v>
      </c>
    </row>
    <row r="819" spans="1:21" ht="14.25" customHeight="1" x14ac:dyDescent="0.3">
      <c r="A819" s="2" t="s">
        <v>2627</v>
      </c>
      <c r="B819" s="5">
        <v>42934</v>
      </c>
      <c r="C819" s="2" t="str">
        <f>TEXT(data[[#This Row],[Order Date]],"YYYY")</f>
        <v>2017</v>
      </c>
      <c r="D819" s="2">
        <v>42939</v>
      </c>
      <c r="E819" s="2" t="s">
        <v>39</v>
      </c>
      <c r="F819" s="2" t="s">
        <v>2516</v>
      </c>
      <c r="G819" s="2" t="s">
        <v>2517</v>
      </c>
      <c r="H819" s="2" t="s">
        <v>24</v>
      </c>
      <c r="I819" s="2" t="s">
        <v>25</v>
      </c>
      <c r="J819" s="2" t="s">
        <v>519</v>
      </c>
      <c r="K819" s="2" t="s">
        <v>520</v>
      </c>
      <c r="L819" s="2" t="s">
        <v>54</v>
      </c>
      <c r="M819" s="2" t="s">
        <v>1077</v>
      </c>
      <c r="N819" s="2" t="s">
        <v>30</v>
      </c>
      <c r="O819" s="2" t="s">
        <v>45</v>
      </c>
      <c r="P819" s="2" t="s">
        <v>1078</v>
      </c>
      <c r="Q819" s="2">
        <v>801.6</v>
      </c>
      <c r="R819" s="2">
        <v>5</v>
      </c>
      <c r="S819" s="2">
        <v>-448.89600000000002</v>
      </c>
      <c r="T819" s="2" t="s">
        <v>58</v>
      </c>
      <c r="U819" s="2" t="s">
        <v>71</v>
      </c>
    </row>
    <row r="820" spans="1:21" ht="14.25" customHeight="1" x14ac:dyDescent="0.3">
      <c r="A820" s="2" t="s">
        <v>2627</v>
      </c>
      <c r="B820" s="5">
        <v>42934</v>
      </c>
      <c r="C820" s="2" t="str">
        <f>TEXT(data[[#This Row],[Order Date]],"YYYY")</f>
        <v>2017</v>
      </c>
      <c r="D820" s="2">
        <v>42939</v>
      </c>
      <c r="E820" s="2" t="s">
        <v>39</v>
      </c>
      <c r="F820" s="2" t="s">
        <v>2516</v>
      </c>
      <c r="G820" s="2" t="s">
        <v>2517</v>
      </c>
      <c r="H820" s="2" t="s">
        <v>24</v>
      </c>
      <c r="I820" s="2" t="s">
        <v>25</v>
      </c>
      <c r="J820" s="2" t="s">
        <v>519</v>
      </c>
      <c r="K820" s="2" t="s">
        <v>520</v>
      </c>
      <c r="L820" s="2" t="s">
        <v>54</v>
      </c>
      <c r="M820" s="2" t="s">
        <v>104</v>
      </c>
      <c r="N820" s="2" t="s">
        <v>30</v>
      </c>
      <c r="O820" s="2" t="s">
        <v>36</v>
      </c>
      <c r="P820" s="2" t="s">
        <v>105</v>
      </c>
      <c r="Q820" s="2">
        <v>161.56800000000001</v>
      </c>
      <c r="R820" s="2">
        <v>2</v>
      </c>
      <c r="S820" s="2">
        <v>10.098000000000001</v>
      </c>
      <c r="T820" s="2" t="s">
        <v>58</v>
      </c>
      <c r="U820" s="2" t="s">
        <v>71</v>
      </c>
    </row>
    <row r="821" spans="1:21" ht="14.25" customHeight="1" x14ac:dyDescent="0.3">
      <c r="A821" s="2" t="s">
        <v>2627</v>
      </c>
      <c r="B821" s="5">
        <v>42934</v>
      </c>
      <c r="C821" s="2" t="str">
        <f>TEXT(data[[#This Row],[Order Date]],"YYYY")</f>
        <v>2017</v>
      </c>
      <c r="D821" s="2">
        <v>42939</v>
      </c>
      <c r="E821" s="2" t="s">
        <v>39</v>
      </c>
      <c r="F821" s="2" t="s">
        <v>2516</v>
      </c>
      <c r="G821" s="2" t="s">
        <v>2517</v>
      </c>
      <c r="H821" s="2" t="s">
        <v>24</v>
      </c>
      <c r="I821" s="2" t="s">
        <v>25</v>
      </c>
      <c r="J821" s="2" t="s">
        <v>519</v>
      </c>
      <c r="K821" s="2" t="s">
        <v>520</v>
      </c>
      <c r="L821" s="2" t="s">
        <v>54</v>
      </c>
      <c r="M821" s="2" t="s">
        <v>142</v>
      </c>
      <c r="N821" s="2" t="s">
        <v>30</v>
      </c>
      <c r="O821" s="2" t="s">
        <v>36</v>
      </c>
      <c r="P821" s="2" t="s">
        <v>143</v>
      </c>
      <c r="Q821" s="2">
        <v>311.976</v>
      </c>
      <c r="R821" s="2">
        <v>3</v>
      </c>
      <c r="S821" s="2">
        <v>-42.896700000000003</v>
      </c>
      <c r="T821" s="2" t="s">
        <v>58</v>
      </c>
      <c r="U821" s="2" t="s">
        <v>71</v>
      </c>
    </row>
    <row r="822" spans="1:21" ht="14.25" customHeight="1" x14ac:dyDescent="0.3">
      <c r="A822" s="2" t="s">
        <v>2628</v>
      </c>
      <c r="B822" s="5">
        <v>41899</v>
      </c>
      <c r="C822" s="2" t="str">
        <f>TEXT(data[[#This Row],[Order Date]],"YYYY")</f>
        <v>2014</v>
      </c>
      <c r="D822" s="2">
        <v>41903</v>
      </c>
      <c r="E822" s="2" t="s">
        <v>39</v>
      </c>
      <c r="F822" s="2" t="s">
        <v>1449</v>
      </c>
      <c r="G822" s="2" t="s">
        <v>1450</v>
      </c>
      <c r="H822" s="2" t="s">
        <v>24</v>
      </c>
      <c r="I822" s="2" t="s">
        <v>25</v>
      </c>
      <c r="J822" s="2" t="s">
        <v>191</v>
      </c>
      <c r="K822" s="2" t="s">
        <v>192</v>
      </c>
      <c r="L822" s="2" t="s">
        <v>54</v>
      </c>
      <c r="M822" s="2" t="s">
        <v>1989</v>
      </c>
      <c r="N822" s="2" t="s">
        <v>30</v>
      </c>
      <c r="O822" s="2" t="s">
        <v>56</v>
      </c>
      <c r="P822" s="2" t="s">
        <v>1990</v>
      </c>
      <c r="Q822" s="2">
        <v>35.340000000000003</v>
      </c>
      <c r="R822" s="2">
        <v>2</v>
      </c>
      <c r="S822" s="2">
        <v>13.4292</v>
      </c>
      <c r="T822" s="2" t="s">
        <v>83</v>
      </c>
      <c r="U822" s="2" t="s">
        <v>77</v>
      </c>
    </row>
    <row r="823" spans="1:21" ht="14.25" customHeight="1" x14ac:dyDescent="0.3">
      <c r="A823" s="2" t="s">
        <v>2629</v>
      </c>
      <c r="B823" s="5">
        <v>42443</v>
      </c>
      <c r="C823" s="2" t="str">
        <f>TEXT(data[[#This Row],[Order Date]],"YYYY")</f>
        <v>2016</v>
      </c>
      <c r="D823" s="2">
        <v>42446</v>
      </c>
      <c r="E823" s="2" t="s">
        <v>87</v>
      </c>
      <c r="F823" s="2" t="s">
        <v>972</v>
      </c>
      <c r="G823" s="2" t="s">
        <v>973</v>
      </c>
      <c r="H823" s="2" t="s">
        <v>24</v>
      </c>
      <c r="I823" s="2" t="s">
        <v>25</v>
      </c>
      <c r="J823" s="2" t="s">
        <v>2630</v>
      </c>
      <c r="K823" s="2" t="s">
        <v>92</v>
      </c>
      <c r="L823" s="2" t="s">
        <v>93</v>
      </c>
      <c r="M823" s="2" t="s">
        <v>810</v>
      </c>
      <c r="N823" s="2" t="s">
        <v>30</v>
      </c>
      <c r="O823" s="2" t="s">
        <v>31</v>
      </c>
      <c r="P823" s="2" t="s">
        <v>811</v>
      </c>
      <c r="Q823" s="2">
        <v>241.33199999999999</v>
      </c>
      <c r="R823" s="2">
        <v>5</v>
      </c>
      <c r="S823" s="2">
        <v>-14.196</v>
      </c>
      <c r="T823" s="2" t="s">
        <v>33</v>
      </c>
      <c r="U823" s="2" t="s">
        <v>195</v>
      </c>
    </row>
    <row r="824" spans="1:21" ht="14.25" customHeight="1" x14ac:dyDescent="0.3">
      <c r="A824" s="2" t="s">
        <v>2631</v>
      </c>
      <c r="B824" s="5">
        <v>42171</v>
      </c>
      <c r="C824" s="2" t="str">
        <f>TEXT(data[[#This Row],[Order Date]],"YYYY")</f>
        <v>2015</v>
      </c>
      <c r="D824" s="2">
        <v>42175</v>
      </c>
      <c r="E824" s="2" t="s">
        <v>39</v>
      </c>
      <c r="F824" s="2" t="s">
        <v>2584</v>
      </c>
      <c r="G824" s="2" t="s">
        <v>2585</v>
      </c>
      <c r="H824" s="2" t="s">
        <v>24</v>
      </c>
      <c r="I824" s="2" t="s">
        <v>25</v>
      </c>
      <c r="J824" s="2" t="s">
        <v>1717</v>
      </c>
      <c r="K824" s="2" t="s">
        <v>92</v>
      </c>
      <c r="L824" s="2" t="s">
        <v>93</v>
      </c>
      <c r="M824" s="2" t="s">
        <v>1141</v>
      </c>
      <c r="N824" s="2" t="s">
        <v>30</v>
      </c>
      <c r="O824" s="2" t="s">
        <v>36</v>
      </c>
      <c r="P824" s="2" t="s">
        <v>1142</v>
      </c>
      <c r="Q824" s="2">
        <v>197.37200000000001</v>
      </c>
      <c r="R824" s="2">
        <v>2</v>
      </c>
      <c r="S824" s="2">
        <v>-25.3764</v>
      </c>
      <c r="T824" s="2" t="s">
        <v>83</v>
      </c>
      <c r="U824" s="2" t="s">
        <v>59</v>
      </c>
    </row>
    <row r="825" spans="1:21" ht="14.25" customHeight="1" x14ac:dyDescent="0.3">
      <c r="A825" s="2" t="s">
        <v>2632</v>
      </c>
      <c r="B825" s="5">
        <v>42714</v>
      </c>
      <c r="C825" s="2" t="str">
        <f>TEXT(data[[#This Row],[Order Date]],"YYYY")</f>
        <v>2016</v>
      </c>
      <c r="D825" s="2">
        <v>42714</v>
      </c>
      <c r="E825" s="2" t="s">
        <v>425</v>
      </c>
      <c r="F825" s="2" t="s">
        <v>2633</v>
      </c>
      <c r="G825" s="2" t="s">
        <v>2634</v>
      </c>
      <c r="H825" s="2" t="s">
        <v>24</v>
      </c>
      <c r="I825" s="2" t="s">
        <v>25</v>
      </c>
      <c r="J825" s="2" t="s">
        <v>2635</v>
      </c>
      <c r="K825" s="2" t="s">
        <v>110</v>
      </c>
      <c r="L825" s="2" t="s">
        <v>93</v>
      </c>
      <c r="M825" s="2" t="s">
        <v>575</v>
      </c>
      <c r="N825" s="2" t="s">
        <v>30</v>
      </c>
      <c r="O825" s="2" t="s">
        <v>36</v>
      </c>
      <c r="P825" s="2" t="s">
        <v>576</v>
      </c>
      <c r="Q825" s="2">
        <v>1424.9</v>
      </c>
      <c r="R825" s="2">
        <v>5</v>
      </c>
      <c r="S825" s="2">
        <v>356.22500000000002</v>
      </c>
      <c r="T825" s="2" t="s">
        <v>430</v>
      </c>
      <c r="U825" s="2" t="s">
        <v>96</v>
      </c>
    </row>
    <row r="826" spans="1:21" ht="14.25" customHeight="1" x14ac:dyDescent="0.3">
      <c r="A826" s="2" t="s">
        <v>2636</v>
      </c>
      <c r="B826" s="5">
        <v>42873</v>
      </c>
      <c r="C826" s="2" t="str">
        <f>TEXT(data[[#This Row],[Order Date]],"YYYY")</f>
        <v>2017</v>
      </c>
      <c r="D826" s="2">
        <v>42878</v>
      </c>
      <c r="E826" s="2" t="s">
        <v>39</v>
      </c>
      <c r="F826" s="2" t="s">
        <v>2637</v>
      </c>
      <c r="G826" s="2" t="s">
        <v>2638</v>
      </c>
      <c r="H826" s="2" t="s">
        <v>24</v>
      </c>
      <c r="I826" s="2" t="s">
        <v>25</v>
      </c>
      <c r="J826" s="2" t="s">
        <v>173</v>
      </c>
      <c r="K826" s="2" t="s">
        <v>120</v>
      </c>
      <c r="L826" s="2" t="s">
        <v>67</v>
      </c>
      <c r="M826" s="2" t="s">
        <v>1348</v>
      </c>
      <c r="N826" s="2" t="s">
        <v>30</v>
      </c>
      <c r="O826" s="2" t="s">
        <v>56</v>
      </c>
      <c r="P826" s="2" t="s">
        <v>1349</v>
      </c>
      <c r="Q826" s="2">
        <v>14.56</v>
      </c>
      <c r="R826" s="2">
        <v>2</v>
      </c>
      <c r="S826" s="2">
        <v>6.2607999999999997</v>
      </c>
      <c r="T826" s="2" t="s">
        <v>58</v>
      </c>
      <c r="U826" s="2" t="s">
        <v>161</v>
      </c>
    </row>
    <row r="827" spans="1:21" ht="14.25" customHeight="1" x14ac:dyDescent="0.3">
      <c r="A827" s="2" t="s">
        <v>2639</v>
      </c>
      <c r="B827" s="5">
        <v>42692</v>
      </c>
      <c r="C827" s="2" t="str">
        <f>TEXT(data[[#This Row],[Order Date]],"YYYY")</f>
        <v>2016</v>
      </c>
      <c r="D827" s="2">
        <v>42696</v>
      </c>
      <c r="E827" s="2" t="s">
        <v>39</v>
      </c>
      <c r="F827" s="2" t="s">
        <v>98</v>
      </c>
      <c r="G827" s="2" t="s">
        <v>99</v>
      </c>
      <c r="H827" s="2" t="s">
        <v>100</v>
      </c>
      <c r="I827" s="2" t="s">
        <v>25</v>
      </c>
      <c r="J827" s="2" t="s">
        <v>1185</v>
      </c>
      <c r="K827" s="2" t="s">
        <v>92</v>
      </c>
      <c r="L827" s="2" t="s">
        <v>93</v>
      </c>
      <c r="M827" s="2" t="s">
        <v>251</v>
      </c>
      <c r="N827" s="2" t="s">
        <v>30</v>
      </c>
      <c r="O827" s="2" t="s">
        <v>36</v>
      </c>
      <c r="P827" s="2" t="s">
        <v>252</v>
      </c>
      <c r="Q827" s="2">
        <v>255.108</v>
      </c>
      <c r="R827" s="2">
        <v>6</v>
      </c>
      <c r="S827" s="2">
        <v>-18.222000000000001</v>
      </c>
      <c r="T827" s="2" t="s">
        <v>83</v>
      </c>
      <c r="U827" s="2" t="s">
        <v>34</v>
      </c>
    </row>
    <row r="828" spans="1:21" ht="14.25" customHeight="1" x14ac:dyDescent="0.3">
      <c r="A828" s="2" t="s">
        <v>2640</v>
      </c>
      <c r="B828" s="5">
        <v>41733</v>
      </c>
      <c r="C828" s="2" t="str">
        <f>TEXT(data[[#This Row],[Order Date]],"YYYY")</f>
        <v>2014</v>
      </c>
      <c r="D828" s="2">
        <v>41738</v>
      </c>
      <c r="E828" s="2" t="s">
        <v>39</v>
      </c>
      <c r="F828" s="2" t="s">
        <v>1162</v>
      </c>
      <c r="G828" s="2" t="s">
        <v>1163</v>
      </c>
      <c r="H828" s="2" t="s">
        <v>24</v>
      </c>
      <c r="I828" s="2" t="s">
        <v>25</v>
      </c>
      <c r="J828" s="2" t="s">
        <v>288</v>
      </c>
      <c r="K828" s="2" t="s">
        <v>289</v>
      </c>
      <c r="L828" s="2" t="s">
        <v>93</v>
      </c>
      <c r="M828" s="2" t="s">
        <v>620</v>
      </c>
      <c r="N828" s="2" t="s">
        <v>30</v>
      </c>
      <c r="O828" s="2" t="s">
        <v>56</v>
      </c>
      <c r="P828" s="2" t="s">
        <v>621</v>
      </c>
      <c r="Q828" s="2">
        <v>5.47</v>
      </c>
      <c r="R828" s="2">
        <v>1</v>
      </c>
      <c r="S828" s="2">
        <v>2.3521000000000001</v>
      </c>
      <c r="T828" s="2" t="s">
        <v>58</v>
      </c>
      <c r="U828" s="2" t="s">
        <v>113</v>
      </c>
    </row>
    <row r="829" spans="1:21" ht="14.25" customHeight="1" x14ac:dyDescent="0.3">
      <c r="A829" s="2" t="s">
        <v>2641</v>
      </c>
      <c r="B829" s="5">
        <v>42547</v>
      </c>
      <c r="C829" s="2" t="str">
        <f>TEXT(data[[#This Row],[Order Date]],"YYYY")</f>
        <v>2016</v>
      </c>
      <c r="D829" s="2">
        <v>42554</v>
      </c>
      <c r="E829" s="2" t="s">
        <v>39</v>
      </c>
      <c r="F829" s="2" t="s">
        <v>2642</v>
      </c>
      <c r="G829" s="2" t="s">
        <v>2643</v>
      </c>
      <c r="H829" s="2" t="s">
        <v>24</v>
      </c>
      <c r="I829" s="2" t="s">
        <v>25</v>
      </c>
      <c r="J829" s="2" t="s">
        <v>328</v>
      </c>
      <c r="K829" s="2" t="s">
        <v>53</v>
      </c>
      <c r="L829" s="2" t="s">
        <v>54</v>
      </c>
      <c r="M829" s="2" t="s">
        <v>1718</v>
      </c>
      <c r="N829" s="2" t="s">
        <v>30</v>
      </c>
      <c r="O829" s="2" t="s">
        <v>56</v>
      </c>
      <c r="P829" s="2" t="s">
        <v>1719</v>
      </c>
      <c r="Q829" s="2">
        <v>22.14</v>
      </c>
      <c r="R829" s="2">
        <v>3</v>
      </c>
      <c r="S829" s="2">
        <v>6.4206000000000003</v>
      </c>
      <c r="T829" s="2" t="s">
        <v>47</v>
      </c>
      <c r="U829" s="2" t="s">
        <v>59</v>
      </c>
    </row>
    <row r="830" spans="1:21" ht="14.25" customHeight="1" x14ac:dyDescent="0.3">
      <c r="A830" s="2" t="s">
        <v>2644</v>
      </c>
      <c r="B830" s="5">
        <v>42519</v>
      </c>
      <c r="C830" s="2" t="str">
        <f>TEXT(data[[#This Row],[Order Date]],"YYYY")</f>
        <v>2016</v>
      </c>
      <c r="D830" s="2">
        <v>42523</v>
      </c>
      <c r="E830" s="2" t="s">
        <v>39</v>
      </c>
      <c r="F830" s="2" t="s">
        <v>2645</v>
      </c>
      <c r="G830" s="2" t="s">
        <v>2646</v>
      </c>
      <c r="H830" s="2" t="s">
        <v>24</v>
      </c>
      <c r="I830" s="2" t="s">
        <v>25</v>
      </c>
      <c r="J830" s="2" t="s">
        <v>2647</v>
      </c>
      <c r="K830" s="2" t="s">
        <v>141</v>
      </c>
      <c r="L830" s="2" t="s">
        <v>28</v>
      </c>
      <c r="M830" s="2" t="s">
        <v>2648</v>
      </c>
      <c r="N830" s="2" t="s">
        <v>30</v>
      </c>
      <c r="O830" s="2" t="s">
        <v>56</v>
      </c>
      <c r="P830" s="2" t="s">
        <v>2649</v>
      </c>
      <c r="Q830" s="2">
        <v>44.76</v>
      </c>
      <c r="R830" s="2">
        <v>3</v>
      </c>
      <c r="S830" s="2">
        <v>14.547000000000001</v>
      </c>
      <c r="T830" s="2" t="s">
        <v>83</v>
      </c>
      <c r="U830" s="2" t="s">
        <v>161</v>
      </c>
    </row>
    <row r="831" spans="1:21" ht="14.25" customHeight="1" x14ac:dyDescent="0.3">
      <c r="A831" s="2" t="s">
        <v>2650</v>
      </c>
      <c r="B831" s="5">
        <v>42785</v>
      </c>
      <c r="C831" s="2" t="str">
        <f>TEXT(data[[#This Row],[Order Date]],"YYYY")</f>
        <v>2017</v>
      </c>
      <c r="D831" s="2">
        <v>42786</v>
      </c>
      <c r="E831" s="2" t="s">
        <v>87</v>
      </c>
      <c r="F831" s="2" t="s">
        <v>2651</v>
      </c>
      <c r="G831" s="2" t="s">
        <v>2652</v>
      </c>
      <c r="H831" s="2" t="s">
        <v>100</v>
      </c>
      <c r="I831" s="2" t="s">
        <v>25</v>
      </c>
      <c r="J831" s="2" t="s">
        <v>52</v>
      </c>
      <c r="K831" s="2" t="s">
        <v>53</v>
      </c>
      <c r="L831" s="2" t="s">
        <v>54</v>
      </c>
      <c r="M831" s="2" t="s">
        <v>1204</v>
      </c>
      <c r="N831" s="2" t="s">
        <v>30</v>
      </c>
      <c r="O831" s="2" t="s">
        <v>56</v>
      </c>
      <c r="P831" s="2" t="s">
        <v>1205</v>
      </c>
      <c r="Q831" s="2">
        <v>44.67</v>
      </c>
      <c r="R831" s="2">
        <v>3</v>
      </c>
      <c r="S831" s="2">
        <v>12.0609</v>
      </c>
      <c r="T831" s="2" t="s">
        <v>123</v>
      </c>
      <c r="U831" s="2" t="s">
        <v>297</v>
      </c>
    </row>
    <row r="832" spans="1:21" ht="14.25" customHeight="1" x14ac:dyDescent="0.3">
      <c r="A832" s="2" t="s">
        <v>2653</v>
      </c>
      <c r="B832" s="5">
        <v>42458</v>
      </c>
      <c r="C832" s="2" t="str">
        <f>TEXT(data[[#This Row],[Order Date]],"YYYY")</f>
        <v>2016</v>
      </c>
      <c r="D832" s="2">
        <v>42462</v>
      </c>
      <c r="E832" s="2" t="s">
        <v>39</v>
      </c>
      <c r="F832" s="2" t="s">
        <v>2654</v>
      </c>
      <c r="G832" s="2" t="s">
        <v>2655</v>
      </c>
      <c r="H832" s="2" t="s">
        <v>24</v>
      </c>
      <c r="I832" s="2" t="s">
        <v>25</v>
      </c>
      <c r="J832" s="2" t="s">
        <v>173</v>
      </c>
      <c r="K832" s="2" t="s">
        <v>120</v>
      </c>
      <c r="L832" s="2" t="s">
        <v>67</v>
      </c>
      <c r="M832" s="2" t="s">
        <v>84</v>
      </c>
      <c r="N832" s="2" t="s">
        <v>30</v>
      </c>
      <c r="O832" s="2" t="s">
        <v>56</v>
      </c>
      <c r="P832" s="2" t="s">
        <v>85</v>
      </c>
      <c r="Q832" s="2">
        <v>414</v>
      </c>
      <c r="R832" s="2">
        <v>8</v>
      </c>
      <c r="S832" s="2">
        <v>124.2</v>
      </c>
      <c r="T832" s="2" t="s">
        <v>83</v>
      </c>
      <c r="U832" s="2" t="s">
        <v>195</v>
      </c>
    </row>
    <row r="833" spans="1:21" ht="14.25" customHeight="1" x14ac:dyDescent="0.3">
      <c r="A833" s="2" t="s">
        <v>2656</v>
      </c>
      <c r="B833" s="5">
        <v>42665</v>
      </c>
      <c r="C833" s="2" t="str">
        <f>TEXT(data[[#This Row],[Order Date]],"YYYY")</f>
        <v>2016</v>
      </c>
      <c r="D833" s="2">
        <v>42667</v>
      </c>
      <c r="E833" s="2" t="s">
        <v>87</v>
      </c>
      <c r="F833" s="2" t="s">
        <v>2657</v>
      </c>
      <c r="G833" s="2" t="s">
        <v>2658</v>
      </c>
      <c r="H833" s="2" t="s">
        <v>24</v>
      </c>
      <c r="I833" s="2" t="s">
        <v>25</v>
      </c>
      <c r="J833" s="2" t="s">
        <v>635</v>
      </c>
      <c r="K833" s="2" t="s">
        <v>716</v>
      </c>
      <c r="L833" s="2" t="s">
        <v>28</v>
      </c>
      <c r="M833" s="2" t="s">
        <v>2659</v>
      </c>
      <c r="N833" s="2" t="s">
        <v>30</v>
      </c>
      <c r="O833" s="2" t="s">
        <v>56</v>
      </c>
      <c r="P833" s="2" t="s">
        <v>2660</v>
      </c>
      <c r="Q833" s="2">
        <v>39.92</v>
      </c>
      <c r="R833" s="2">
        <v>4</v>
      </c>
      <c r="S833" s="2">
        <v>11.1776</v>
      </c>
      <c r="T833" s="2" t="s">
        <v>70</v>
      </c>
      <c r="U833" s="2" t="s">
        <v>48</v>
      </c>
    </row>
    <row r="834" spans="1:21" ht="14.25" customHeight="1" x14ac:dyDescent="0.3">
      <c r="A834" s="2" t="s">
        <v>2661</v>
      </c>
      <c r="B834" s="5">
        <v>41996</v>
      </c>
      <c r="C834" s="2" t="str">
        <f>TEXT(data[[#This Row],[Order Date]],"YYYY")</f>
        <v>2014</v>
      </c>
      <c r="D834" s="2">
        <v>42000</v>
      </c>
      <c r="E834" s="2" t="s">
        <v>39</v>
      </c>
      <c r="F834" s="2" t="s">
        <v>2662</v>
      </c>
      <c r="G834" s="2" t="s">
        <v>2663</v>
      </c>
      <c r="H834" s="2" t="s">
        <v>90</v>
      </c>
      <c r="I834" s="2" t="s">
        <v>25</v>
      </c>
      <c r="J834" s="2" t="s">
        <v>173</v>
      </c>
      <c r="K834" s="2" t="s">
        <v>120</v>
      </c>
      <c r="L834" s="2" t="s">
        <v>67</v>
      </c>
      <c r="M834" s="2" t="s">
        <v>1249</v>
      </c>
      <c r="N834" s="2" t="s">
        <v>30</v>
      </c>
      <c r="O834" s="2" t="s">
        <v>45</v>
      </c>
      <c r="P834" s="2" t="s">
        <v>1250</v>
      </c>
      <c r="Q834" s="2">
        <v>53.316000000000003</v>
      </c>
      <c r="R834" s="2">
        <v>2</v>
      </c>
      <c r="S834" s="2">
        <v>-19.549199999999999</v>
      </c>
      <c r="T834" s="2" t="s">
        <v>83</v>
      </c>
      <c r="U834" s="2" t="s">
        <v>96</v>
      </c>
    </row>
    <row r="835" spans="1:21" ht="14.25" customHeight="1" x14ac:dyDescent="0.3">
      <c r="A835" s="2" t="s">
        <v>2664</v>
      </c>
      <c r="B835" s="5">
        <v>43084</v>
      </c>
      <c r="C835" s="2" t="str">
        <f>TEXT(data[[#This Row],[Order Date]],"YYYY")</f>
        <v>2017</v>
      </c>
      <c r="D835" s="2">
        <v>43089</v>
      </c>
      <c r="E835" s="2" t="s">
        <v>39</v>
      </c>
      <c r="F835" s="2" t="s">
        <v>2665</v>
      </c>
      <c r="G835" s="2" t="s">
        <v>2666</v>
      </c>
      <c r="H835" s="2" t="s">
        <v>100</v>
      </c>
      <c r="I835" s="2" t="s">
        <v>25</v>
      </c>
      <c r="J835" s="2" t="s">
        <v>191</v>
      </c>
      <c r="K835" s="2" t="s">
        <v>192</v>
      </c>
      <c r="L835" s="2" t="s">
        <v>54</v>
      </c>
      <c r="M835" s="2" t="s">
        <v>694</v>
      </c>
      <c r="N835" s="2" t="s">
        <v>30</v>
      </c>
      <c r="O835" s="2" t="s">
        <v>56</v>
      </c>
      <c r="P835" s="2" t="s">
        <v>695</v>
      </c>
      <c r="Q835" s="2">
        <v>22.77</v>
      </c>
      <c r="R835" s="2">
        <v>3</v>
      </c>
      <c r="S835" s="2">
        <v>9.7911000000000001</v>
      </c>
      <c r="T835" s="2" t="s">
        <v>58</v>
      </c>
      <c r="U835" s="2" t="s">
        <v>96</v>
      </c>
    </row>
    <row r="836" spans="1:21" ht="14.25" customHeight="1" x14ac:dyDescent="0.3">
      <c r="A836" s="2" t="s">
        <v>2667</v>
      </c>
      <c r="B836" s="5">
        <v>42558</v>
      </c>
      <c r="C836" s="2" t="str">
        <f>TEXT(data[[#This Row],[Order Date]],"YYYY")</f>
        <v>2016</v>
      </c>
      <c r="D836" s="2">
        <v>42560</v>
      </c>
      <c r="E836" s="2" t="s">
        <v>21</v>
      </c>
      <c r="F836" s="2" t="s">
        <v>2133</v>
      </c>
      <c r="G836" s="2" t="s">
        <v>2134</v>
      </c>
      <c r="H836" s="2" t="s">
        <v>24</v>
      </c>
      <c r="I836" s="2" t="s">
        <v>25</v>
      </c>
      <c r="J836" s="2" t="s">
        <v>52</v>
      </c>
      <c r="K836" s="2" t="s">
        <v>53</v>
      </c>
      <c r="L836" s="2" t="s">
        <v>54</v>
      </c>
      <c r="M836" s="2" t="s">
        <v>114</v>
      </c>
      <c r="N836" s="2" t="s">
        <v>30</v>
      </c>
      <c r="O836" s="2" t="s">
        <v>36</v>
      </c>
      <c r="P836" s="2" t="s">
        <v>115</v>
      </c>
      <c r="Q836" s="2">
        <v>287.96800000000002</v>
      </c>
      <c r="R836" s="2">
        <v>4</v>
      </c>
      <c r="S836" s="2">
        <v>-3.5996000000000001</v>
      </c>
      <c r="T836" s="2" t="s">
        <v>70</v>
      </c>
      <c r="U836" s="2" t="s">
        <v>71</v>
      </c>
    </row>
    <row r="837" spans="1:21" ht="14.25" customHeight="1" x14ac:dyDescent="0.3">
      <c r="A837" s="2" t="s">
        <v>2668</v>
      </c>
      <c r="B837" s="5">
        <v>42477</v>
      </c>
      <c r="C837" s="2" t="str">
        <f>TEXT(data[[#This Row],[Order Date]],"YYYY")</f>
        <v>2016</v>
      </c>
      <c r="D837" s="2">
        <v>42481</v>
      </c>
      <c r="E837" s="2" t="s">
        <v>39</v>
      </c>
      <c r="F837" s="2" t="s">
        <v>1331</v>
      </c>
      <c r="G837" s="2" t="s">
        <v>1332</v>
      </c>
      <c r="H837" s="2" t="s">
        <v>24</v>
      </c>
      <c r="I837" s="2" t="s">
        <v>25</v>
      </c>
      <c r="J837" s="2" t="s">
        <v>2060</v>
      </c>
      <c r="K837" s="2" t="s">
        <v>53</v>
      </c>
      <c r="L837" s="2" t="s">
        <v>54</v>
      </c>
      <c r="M837" s="2" t="s">
        <v>898</v>
      </c>
      <c r="N837" s="2" t="s">
        <v>30</v>
      </c>
      <c r="O837" s="2" t="s">
        <v>31</v>
      </c>
      <c r="P837" s="2" t="s">
        <v>899</v>
      </c>
      <c r="Q837" s="2">
        <v>257.49900000000002</v>
      </c>
      <c r="R837" s="2">
        <v>3</v>
      </c>
      <c r="S837" s="2">
        <v>24.235199999999999</v>
      </c>
      <c r="T837" s="2" t="s">
        <v>83</v>
      </c>
      <c r="U837" s="2" t="s">
        <v>113</v>
      </c>
    </row>
    <row r="838" spans="1:21" ht="14.25" customHeight="1" x14ac:dyDescent="0.3">
      <c r="A838" s="2" t="s">
        <v>2669</v>
      </c>
      <c r="B838" s="5">
        <v>42477</v>
      </c>
      <c r="C838" s="2" t="str">
        <f>TEXT(data[[#This Row],[Order Date]],"YYYY")</f>
        <v>2016</v>
      </c>
      <c r="D838" s="2">
        <v>42482</v>
      </c>
      <c r="E838" s="2" t="s">
        <v>39</v>
      </c>
      <c r="F838" s="2" t="s">
        <v>2670</v>
      </c>
      <c r="G838" s="2" t="s">
        <v>2671</v>
      </c>
      <c r="H838" s="2" t="s">
        <v>90</v>
      </c>
      <c r="I838" s="2" t="s">
        <v>25</v>
      </c>
      <c r="J838" s="2" t="s">
        <v>157</v>
      </c>
      <c r="K838" s="2" t="s">
        <v>141</v>
      </c>
      <c r="L838" s="2" t="s">
        <v>28</v>
      </c>
      <c r="M838" s="2" t="s">
        <v>2672</v>
      </c>
      <c r="N838" s="2" t="s">
        <v>30</v>
      </c>
      <c r="O838" s="2" t="s">
        <v>56</v>
      </c>
      <c r="P838" s="2" t="s">
        <v>2673</v>
      </c>
      <c r="Q838" s="2">
        <v>79.12</v>
      </c>
      <c r="R838" s="2">
        <v>5</v>
      </c>
      <c r="S838" s="2">
        <v>13.846</v>
      </c>
      <c r="T838" s="2" t="s">
        <v>58</v>
      </c>
      <c r="U838" s="2" t="s">
        <v>113</v>
      </c>
    </row>
    <row r="839" spans="1:21" ht="14.25" customHeight="1" x14ac:dyDescent="0.3">
      <c r="A839" s="2" t="s">
        <v>2674</v>
      </c>
      <c r="B839" s="5">
        <v>41968</v>
      </c>
      <c r="C839" s="2" t="str">
        <f>TEXT(data[[#This Row],[Order Date]],"YYYY")</f>
        <v>2014</v>
      </c>
      <c r="D839" s="2">
        <v>41970</v>
      </c>
      <c r="E839" s="2" t="s">
        <v>21</v>
      </c>
      <c r="F839" s="2" t="s">
        <v>2675</v>
      </c>
      <c r="G839" s="2" t="s">
        <v>2676</v>
      </c>
      <c r="H839" s="2" t="s">
        <v>24</v>
      </c>
      <c r="I839" s="2" t="s">
        <v>25</v>
      </c>
      <c r="J839" s="2" t="s">
        <v>2677</v>
      </c>
      <c r="K839" s="2" t="s">
        <v>1645</v>
      </c>
      <c r="L839" s="2" t="s">
        <v>67</v>
      </c>
      <c r="M839" s="2" t="s">
        <v>943</v>
      </c>
      <c r="N839" s="2" t="s">
        <v>30</v>
      </c>
      <c r="O839" s="2" t="s">
        <v>56</v>
      </c>
      <c r="P839" s="2" t="s">
        <v>944</v>
      </c>
      <c r="Q839" s="2">
        <v>52.96</v>
      </c>
      <c r="R839" s="2">
        <v>2</v>
      </c>
      <c r="S839" s="2">
        <v>20.1248</v>
      </c>
      <c r="T839" s="2" t="s">
        <v>70</v>
      </c>
      <c r="U839" s="2" t="s">
        <v>34</v>
      </c>
    </row>
    <row r="840" spans="1:21" ht="14.25" customHeight="1" x14ac:dyDescent="0.3">
      <c r="A840" s="2" t="s">
        <v>2678</v>
      </c>
      <c r="B840" s="5">
        <v>42125</v>
      </c>
      <c r="C840" s="2" t="str">
        <f>TEXT(data[[#This Row],[Order Date]],"YYYY")</f>
        <v>2015</v>
      </c>
      <c r="D840" s="2">
        <v>42129</v>
      </c>
      <c r="E840" s="2" t="s">
        <v>39</v>
      </c>
      <c r="F840" s="2" t="s">
        <v>2679</v>
      </c>
      <c r="G840" s="2" t="s">
        <v>2680</v>
      </c>
      <c r="H840" s="2" t="s">
        <v>90</v>
      </c>
      <c r="I840" s="2" t="s">
        <v>25</v>
      </c>
      <c r="J840" s="2" t="s">
        <v>303</v>
      </c>
      <c r="K840" s="2" t="s">
        <v>43</v>
      </c>
      <c r="L840" s="2" t="s">
        <v>28</v>
      </c>
      <c r="M840" s="2" t="s">
        <v>943</v>
      </c>
      <c r="N840" s="2" t="s">
        <v>30</v>
      </c>
      <c r="O840" s="2" t="s">
        <v>56</v>
      </c>
      <c r="P840" s="2" t="s">
        <v>944</v>
      </c>
      <c r="Q840" s="2">
        <v>63.552</v>
      </c>
      <c r="R840" s="2">
        <v>3</v>
      </c>
      <c r="S840" s="2">
        <v>14.299200000000001</v>
      </c>
      <c r="T840" s="2" t="s">
        <v>83</v>
      </c>
      <c r="U840" s="2" t="s">
        <v>161</v>
      </c>
    </row>
    <row r="841" spans="1:21" ht="14.25" customHeight="1" x14ac:dyDescent="0.3">
      <c r="A841" s="2" t="s">
        <v>2681</v>
      </c>
      <c r="B841" s="5">
        <v>42071</v>
      </c>
      <c r="C841" s="2" t="str">
        <f>TEXT(data[[#This Row],[Order Date]],"YYYY")</f>
        <v>2015</v>
      </c>
      <c r="D841" s="2">
        <v>42075</v>
      </c>
      <c r="E841" s="2" t="s">
        <v>39</v>
      </c>
      <c r="F841" s="2" t="s">
        <v>2682</v>
      </c>
      <c r="G841" s="2" t="s">
        <v>2683</v>
      </c>
      <c r="H841" s="2" t="s">
        <v>24</v>
      </c>
      <c r="I841" s="2" t="s">
        <v>25</v>
      </c>
      <c r="J841" s="2" t="s">
        <v>2684</v>
      </c>
      <c r="K841" s="2" t="s">
        <v>238</v>
      </c>
      <c r="L841" s="2" t="s">
        <v>93</v>
      </c>
      <c r="M841" s="2" t="s">
        <v>2400</v>
      </c>
      <c r="N841" s="2" t="s">
        <v>30</v>
      </c>
      <c r="O841" s="2" t="s">
        <v>31</v>
      </c>
      <c r="P841" s="2" t="s">
        <v>2401</v>
      </c>
      <c r="Q841" s="2">
        <v>512.94000000000005</v>
      </c>
      <c r="R841" s="2">
        <v>3</v>
      </c>
      <c r="S841" s="2">
        <v>97.458600000000004</v>
      </c>
      <c r="T841" s="2" t="s">
        <v>83</v>
      </c>
      <c r="U841" s="2" t="s">
        <v>195</v>
      </c>
    </row>
    <row r="842" spans="1:21" ht="14.25" customHeight="1" x14ac:dyDescent="0.3">
      <c r="A842" s="2" t="s">
        <v>2681</v>
      </c>
      <c r="B842" s="5">
        <v>42071</v>
      </c>
      <c r="C842" s="2" t="str">
        <f>TEXT(data[[#This Row],[Order Date]],"YYYY")</f>
        <v>2015</v>
      </c>
      <c r="D842" s="2">
        <v>42075</v>
      </c>
      <c r="E842" s="2" t="s">
        <v>39</v>
      </c>
      <c r="F842" s="2" t="s">
        <v>2682</v>
      </c>
      <c r="G842" s="2" t="s">
        <v>2683</v>
      </c>
      <c r="H842" s="2" t="s">
        <v>24</v>
      </c>
      <c r="I842" s="2" t="s">
        <v>25</v>
      </c>
      <c r="J842" s="2" t="s">
        <v>2684</v>
      </c>
      <c r="K842" s="2" t="s">
        <v>238</v>
      </c>
      <c r="L842" s="2" t="s">
        <v>93</v>
      </c>
      <c r="M842" s="2" t="s">
        <v>1747</v>
      </c>
      <c r="N842" s="2" t="s">
        <v>30</v>
      </c>
      <c r="O842" s="2" t="s">
        <v>36</v>
      </c>
      <c r="P842" s="2" t="s">
        <v>1748</v>
      </c>
      <c r="Q842" s="2">
        <v>860.93</v>
      </c>
      <c r="R842" s="2">
        <v>7</v>
      </c>
      <c r="S842" s="2">
        <v>189.40459999999999</v>
      </c>
      <c r="T842" s="2" t="s">
        <v>83</v>
      </c>
      <c r="U842" s="2" t="s">
        <v>195</v>
      </c>
    </row>
    <row r="843" spans="1:21" ht="14.25" customHeight="1" x14ac:dyDescent="0.3">
      <c r="A843" s="2" t="s">
        <v>2681</v>
      </c>
      <c r="B843" s="5">
        <v>42071</v>
      </c>
      <c r="C843" s="2" t="str">
        <f>TEXT(data[[#This Row],[Order Date]],"YYYY")</f>
        <v>2015</v>
      </c>
      <c r="D843" s="2">
        <v>42075</v>
      </c>
      <c r="E843" s="2" t="s">
        <v>39</v>
      </c>
      <c r="F843" s="2" t="s">
        <v>2682</v>
      </c>
      <c r="G843" s="2" t="s">
        <v>2683</v>
      </c>
      <c r="H843" s="2" t="s">
        <v>24</v>
      </c>
      <c r="I843" s="2" t="s">
        <v>25</v>
      </c>
      <c r="J843" s="2" t="s">
        <v>2684</v>
      </c>
      <c r="K843" s="2" t="s">
        <v>238</v>
      </c>
      <c r="L843" s="2" t="s">
        <v>93</v>
      </c>
      <c r="M843" s="2" t="s">
        <v>1796</v>
      </c>
      <c r="N843" s="2" t="s">
        <v>30</v>
      </c>
      <c r="O843" s="2" t="s">
        <v>56</v>
      </c>
      <c r="P843" s="2" t="s">
        <v>1797</v>
      </c>
      <c r="Q843" s="2">
        <v>373.08</v>
      </c>
      <c r="R843" s="2">
        <v>6</v>
      </c>
      <c r="S843" s="2">
        <v>82.077600000000004</v>
      </c>
      <c r="T843" s="2" t="s">
        <v>83</v>
      </c>
      <c r="U843" s="2" t="s">
        <v>195</v>
      </c>
    </row>
    <row r="844" spans="1:21" ht="14.25" customHeight="1" x14ac:dyDescent="0.3">
      <c r="A844" s="2" t="s">
        <v>2685</v>
      </c>
      <c r="B844" s="5">
        <v>42202</v>
      </c>
      <c r="C844" s="2" t="str">
        <f>TEXT(data[[#This Row],[Order Date]],"YYYY")</f>
        <v>2015</v>
      </c>
      <c r="D844" s="2">
        <v>42205</v>
      </c>
      <c r="E844" s="2" t="s">
        <v>21</v>
      </c>
      <c r="F844" s="2" t="s">
        <v>469</v>
      </c>
      <c r="G844" s="2" t="s">
        <v>470</v>
      </c>
      <c r="H844" s="2" t="s">
        <v>90</v>
      </c>
      <c r="I844" s="2" t="s">
        <v>25</v>
      </c>
      <c r="J844" s="2" t="s">
        <v>2686</v>
      </c>
      <c r="K844" s="2" t="s">
        <v>43</v>
      </c>
      <c r="L844" s="2" t="s">
        <v>28</v>
      </c>
      <c r="M844" s="2" t="s">
        <v>348</v>
      </c>
      <c r="N844" s="2" t="s">
        <v>30</v>
      </c>
      <c r="O844" s="2" t="s">
        <v>31</v>
      </c>
      <c r="P844" s="2" t="s">
        <v>349</v>
      </c>
      <c r="Q844" s="2">
        <v>231.92</v>
      </c>
      <c r="R844" s="2">
        <v>5</v>
      </c>
      <c r="S844" s="2">
        <v>5.798</v>
      </c>
      <c r="T844" s="2" t="s">
        <v>33</v>
      </c>
      <c r="U844" s="2" t="s">
        <v>71</v>
      </c>
    </row>
    <row r="845" spans="1:21" ht="14.25" customHeight="1" x14ac:dyDescent="0.3">
      <c r="A845" s="2" t="s">
        <v>2687</v>
      </c>
      <c r="B845" s="5">
        <v>41923</v>
      </c>
      <c r="C845" s="2" t="str">
        <f>TEXT(data[[#This Row],[Order Date]],"YYYY")</f>
        <v>2014</v>
      </c>
      <c r="D845" s="2">
        <v>41928</v>
      </c>
      <c r="E845" s="2" t="s">
        <v>39</v>
      </c>
      <c r="F845" s="2" t="s">
        <v>2431</v>
      </c>
      <c r="G845" s="2" t="s">
        <v>2432</v>
      </c>
      <c r="H845" s="2" t="s">
        <v>100</v>
      </c>
      <c r="I845" s="2" t="s">
        <v>25</v>
      </c>
      <c r="J845" s="2" t="s">
        <v>191</v>
      </c>
      <c r="K845" s="2" t="s">
        <v>192</v>
      </c>
      <c r="L845" s="2" t="s">
        <v>54</v>
      </c>
      <c r="M845" s="2" t="s">
        <v>1496</v>
      </c>
      <c r="N845" s="2" t="s">
        <v>30</v>
      </c>
      <c r="O845" s="2" t="s">
        <v>56</v>
      </c>
      <c r="P845" s="2" t="s">
        <v>1497</v>
      </c>
      <c r="Q845" s="2">
        <v>63.47</v>
      </c>
      <c r="R845" s="2">
        <v>11</v>
      </c>
      <c r="S845" s="2">
        <v>19.041</v>
      </c>
      <c r="T845" s="2" t="s">
        <v>58</v>
      </c>
      <c r="U845" s="2" t="s">
        <v>48</v>
      </c>
    </row>
    <row r="846" spans="1:21" ht="14.25" customHeight="1" x14ac:dyDescent="0.3">
      <c r="A846" s="2" t="s">
        <v>2688</v>
      </c>
      <c r="B846" s="5">
        <v>42432</v>
      </c>
      <c r="C846" s="2" t="str">
        <f>TEXT(data[[#This Row],[Order Date]],"YYYY")</f>
        <v>2016</v>
      </c>
      <c r="D846" s="2">
        <v>42437</v>
      </c>
      <c r="E846" s="2" t="s">
        <v>39</v>
      </c>
      <c r="F846" s="2" t="s">
        <v>1152</v>
      </c>
      <c r="G846" s="2" t="s">
        <v>1153</v>
      </c>
      <c r="H846" s="2" t="s">
        <v>24</v>
      </c>
      <c r="I846" s="2" t="s">
        <v>25</v>
      </c>
      <c r="J846" s="2" t="s">
        <v>245</v>
      </c>
      <c r="K846" s="2" t="s">
        <v>92</v>
      </c>
      <c r="L846" s="2" t="s">
        <v>93</v>
      </c>
      <c r="M846" s="2" t="s">
        <v>435</v>
      </c>
      <c r="N846" s="2" t="s">
        <v>30</v>
      </c>
      <c r="O846" s="2" t="s">
        <v>45</v>
      </c>
      <c r="P846" s="2" t="s">
        <v>436</v>
      </c>
      <c r="Q846" s="2">
        <v>637.89599999999996</v>
      </c>
      <c r="R846" s="2">
        <v>3</v>
      </c>
      <c r="S846" s="2">
        <v>-127.5792</v>
      </c>
      <c r="T846" s="2" t="s">
        <v>58</v>
      </c>
      <c r="U846" s="2" t="s">
        <v>195</v>
      </c>
    </row>
    <row r="847" spans="1:21" ht="14.25" customHeight="1" x14ac:dyDescent="0.3">
      <c r="A847" s="2" t="s">
        <v>2689</v>
      </c>
      <c r="B847" s="5">
        <v>42736</v>
      </c>
      <c r="C847" s="2" t="str">
        <f>TEXT(data[[#This Row],[Order Date]],"YYYY")</f>
        <v>2017</v>
      </c>
      <c r="D847" s="2">
        <v>42740</v>
      </c>
      <c r="E847" s="2" t="s">
        <v>39</v>
      </c>
      <c r="F847" s="2" t="s">
        <v>197</v>
      </c>
      <c r="G847" s="2" t="s">
        <v>198</v>
      </c>
      <c r="H847" s="2" t="s">
        <v>24</v>
      </c>
      <c r="I847" s="2" t="s">
        <v>25</v>
      </c>
      <c r="J847" s="2" t="s">
        <v>52</v>
      </c>
      <c r="K847" s="2" t="s">
        <v>53</v>
      </c>
      <c r="L847" s="2" t="s">
        <v>54</v>
      </c>
      <c r="M847" s="2" t="s">
        <v>2690</v>
      </c>
      <c r="N847" s="2" t="s">
        <v>30</v>
      </c>
      <c r="O847" s="2" t="s">
        <v>56</v>
      </c>
      <c r="P847" s="2" t="s">
        <v>2691</v>
      </c>
      <c r="Q847" s="2">
        <v>474.43</v>
      </c>
      <c r="R847" s="2">
        <v>11</v>
      </c>
      <c r="S847" s="2">
        <v>199.26060000000001</v>
      </c>
      <c r="T847" s="2" t="s">
        <v>83</v>
      </c>
      <c r="U847" s="2" t="s">
        <v>169</v>
      </c>
    </row>
    <row r="848" spans="1:21" ht="14.25" customHeight="1" x14ac:dyDescent="0.3">
      <c r="A848" s="2" t="s">
        <v>2692</v>
      </c>
      <c r="B848" s="5">
        <v>41812</v>
      </c>
      <c r="C848" s="2" t="str">
        <f>TEXT(data[[#This Row],[Order Date]],"YYYY")</f>
        <v>2014</v>
      </c>
      <c r="D848" s="2">
        <v>41817</v>
      </c>
      <c r="E848" s="2" t="s">
        <v>39</v>
      </c>
      <c r="F848" s="2" t="s">
        <v>2693</v>
      </c>
      <c r="G848" s="2" t="s">
        <v>2694</v>
      </c>
      <c r="H848" s="2" t="s">
        <v>24</v>
      </c>
      <c r="I848" s="2" t="s">
        <v>25</v>
      </c>
      <c r="J848" s="2" t="s">
        <v>1146</v>
      </c>
      <c r="K848" s="2" t="s">
        <v>66</v>
      </c>
      <c r="L848" s="2" t="s">
        <v>67</v>
      </c>
      <c r="M848" s="2" t="s">
        <v>255</v>
      </c>
      <c r="N848" s="2" t="s">
        <v>30</v>
      </c>
      <c r="O848" s="2" t="s">
        <v>36</v>
      </c>
      <c r="P848" s="2" t="s">
        <v>256</v>
      </c>
      <c r="Q848" s="2">
        <v>170.05799999999999</v>
      </c>
      <c r="R848" s="2">
        <v>3</v>
      </c>
      <c r="S848" s="2">
        <v>-4.8587999999999996</v>
      </c>
      <c r="T848" s="2" t="s">
        <v>58</v>
      </c>
      <c r="U848" s="2" t="s">
        <v>59</v>
      </c>
    </row>
    <row r="849" spans="1:21" ht="14.25" customHeight="1" x14ac:dyDescent="0.3">
      <c r="A849" s="2" t="s">
        <v>2692</v>
      </c>
      <c r="B849" s="5">
        <v>41812</v>
      </c>
      <c r="C849" s="2" t="str">
        <f>TEXT(data[[#This Row],[Order Date]],"YYYY")</f>
        <v>2014</v>
      </c>
      <c r="D849" s="2">
        <v>41817</v>
      </c>
      <c r="E849" s="2" t="s">
        <v>39</v>
      </c>
      <c r="F849" s="2" t="s">
        <v>2693</v>
      </c>
      <c r="G849" s="2" t="s">
        <v>2694</v>
      </c>
      <c r="H849" s="2" t="s">
        <v>24</v>
      </c>
      <c r="I849" s="2" t="s">
        <v>25</v>
      </c>
      <c r="J849" s="2" t="s">
        <v>1146</v>
      </c>
      <c r="K849" s="2" t="s">
        <v>66</v>
      </c>
      <c r="L849" s="2" t="s">
        <v>67</v>
      </c>
      <c r="M849" s="2" t="s">
        <v>35</v>
      </c>
      <c r="N849" s="2" t="s">
        <v>30</v>
      </c>
      <c r="O849" s="2" t="s">
        <v>36</v>
      </c>
      <c r="P849" s="2" t="s">
        <v>37</v>
      </c>
      <c r="Q849" s="2">
        <v>853.93</v>
      </c>
      <c r="R849" s="2">
        <v>5</v>
      </c>
      <c r="S849" s="2">
        <v>0</v>
      </c>
      <c r="T849" s="2" t="s">
        <v>58</v>
      </c>
      <c r="U849" s="2" t="s">
        <v>59</v>
      </c>
    </row>
    <row r="850" spans="1:21" ht="14.25" customHeight="1" x14ac:dyDescent="0.3">
      <c r="A850" s="2" t="s">
        <v>2695</v>
      </c>
      <c r="B850" s="5">
        <v>43035</v>
      </c>
      <c r="C850" s="2" t="str">
        <f>TEXT(data[[#This Row],[Order Date]],"YYYY")</f>
        <v>2017</v>
      </c>
      <c r="D850" s="2">
        <v>43036</v>
      </c>
      <c r="E850" s="2" t="s">
        <v>87</v>
      </c>
      <c r="F850" s="2" t="s">
        <v>2696</v>
      </c>
      <c r="G850" s="2" t="s">
        <v>2697</v>
      </c>
      <c r="H850" s="2" t="s">
        <v>90</v>
      </c>
      <c r="I850" s="2" t="s">
        <v>25</v>
      </c>
      <c r="J850" s="2" t="s">
        <v>328</v>
      </c>
      <c r="K850" s="2" t="s">
        <v>53</v>
      </c>
      <c r="L850" s="2" t="s">
        <v>54</v>
      </c>
      <c r="M850" s="2" t="s">
        <v>1636</v>
      </c>
      <c r="N850" s="2" t="s">
        <v>30</v>
      </c>
      <c r="O850" s="2" t="s">
        <v>31</v>
      </c>
      <c r="P850" s="2" t="s">
        <v>1637</v>
      </c>
      <c r="Q850" s="2">
        <v>556.66499999999996</v>
      </c>
      <c r="R850" s="2">
        <v>5</v>
      </c>
      <c r="S850" s="2">
        <v>6.5490000000000004</v>
      </c>
      <c r="T850" s="2" t="s">
        <v>123</v>
      </c>
      <c r="U850" s="2" t="s">
        <v>48</v>
      </c>
    </row>
    <row r="851" spans="1:21" ht="14.25" customHeight="1" x14ac:dyDescent="0.3">
      <c r="A851" s="2" t="s">
        <v>2698</v>
      </c>
      <c r="B851" s="5">
        <v>43093</v>
      </c>
      <c r="C851" s="2" t="str">
        <f>TEXT(data[[#This Row],[Order Date]],"YYYY")</f>
        <v>2017</v>
      </c>
      <c r="D851" s="2">
        <v>43097</v>
      </c>
      <c r="E851" s="2" t="s">
        <v>39</v>
      </c>
      <c r="F851" s="2" t="s">
        <v>2305</v>
      </c>
      <c r="G851" s="2" t="s">
        <v>2306</v>
      </c>
      <c r="H851" s="2" t="s">
        <v>24</v>
      </c>
      <c r="I851" s="2" t="s">
        <v>25</v>
      </c>
      <c r="J851" s="2" t="s">
        <v>1405</v>
      </c>
      <c r="K851" s="2" t="s">
        <v>1406</v>
      </c>
      <c r="L851" s="2" t="s">
        <v>28</v>
      </c>
      <c r="M851" s="2" t="s">
        <v>1892</v>
      </c>
      <c r="N851" s="2" t="s">
        <v>30</v>
      </c>
      <c r="O851" s="2" t="s">
        <v>36</v>
      </c>
      <c r="P851" s="2" t="s">
        <v>1893</v>
      </c>
      <c r="Q851" s="2">
        <v>232.88</v>
      </c>
      <c r="R851" s="2">
        <v>4</v>
      </c>
      <c r="S851" s="2">
        <v>60.5488</v>
      </c>
      <c r="T851" s="2" t="s">
        <v>83</v>
      </c>
      <c r="U851" s="2" t="s">
        <v>96</v>
      </c>
    </row>
    <row r="852" spans="1:21" ht="14.25" customHeight="1" x14ac:dyDescent="0.3">
      <c r="A852" s="2" t="s">
        <v>2699</v>
      </c>
      <c r="B852" s="5">
        <v>42002</v>
      </c>
      <c r="C852" s="2" t="str">
        <f>TEXT(data[[#This Row],[Order Date]],"YYYY")</f>
        <v>2014</v>
      </c>
      <c r="D852" s="2">
        <v>42006</v>
      </c>
      <c r="E852" s="2" t="s">
        <v>39</v>
      </c>
      <c r="F852" s="2" t="s">
        <v>787</v>
      </c>
      <c r="G852" s="2" t="s">
        <v>788</v>
      </c>
      <c r="H852" s="2" t="s">
        <v>90</v>
      </c>
      <c r="I852" s="2" t="s">
        <v>25</v>
      </c>
      <c r="J852" s="2" t="s">
        <v>328</v>
      </c>
      <c r="K852" s="2" t="s">
        <v>53</v>
      </c>
      <c r="L852" s="2" t="s">
        <v>54</v>
      </c>
      <c r="M852" s="2" t="s">
        <v>2237</v>
      </c>
      <c r="N852" s="2" t="s">
        <v>30</v>
      </c>
      <c r="O852" s="2" t="s">
        <v>56</v>
      </c>
      <c r="P852" s="2" t="s">
        <v>2238</v>
      </c>
      <c r="Q852" s="2">
        <v>24.9</v>
      </c>
      <c r="R852" s="2">
        <v>5</v>
      </c>
      <c r="S852" s="2">
        <v>8.2170000000000005</v>
      </c>
      <c r="T852" s="2" t="s">
        <v>83</v>
      </c>
      <c r="U852" s="2" t="s">
        <v>96</v>
      </c>
    </row>
    <row r="853" spans="1:21" ht="14.25" customHeight="1" x14ac:dyDescent="0.3">
      <c r="A853" s="2" t="s">
        <v>2699</v>
      </c>
      <c r="B853" s="5">
        <v>42002</v>
      </c>
      <c r="C853" s="2" t="str">
        <f>TEXT(data[[#This Row],[Order Date]],"YYYY")</f>
        <v>2014</v>
      </c>
      <c r="D853" s="2">
        <v>42006</v>
      </c>
      <c r="E853" s="2" t="s">
        <v>39</v>
      </c>
      <c r="F853" s="2" t="s">
        <v>787</v>
      </c>
      <c r="G853" s="2" t="s">
        <v>788</v>
      </c>
      <c r="H853" s="2" t="s">
        <v>90</v>
      </c>
      <c r="I853" s="2" t="s">
        <v>25</v>
      </c>
      <c r="J853" s="2" t="s">
        <v>328</v>
      </c>
      <c r="K853" s="2" t="s">
        <v>53</v>
      </c>
      <c r="L853" s="2" t="s">
        <v>54</v>
      </c>
      <c r="M853" s="2" t="s">
        <v>2409</v>
      </c>
      <c r="N853" s="2" t="s">
        <v>30</v>
      </c>
      <c r="O853" s="2" t="s">
        <v>56</v>
      </c>
      <c r="P853" s="2" t="s">
        <v>2410</v>
      </c>
      <c r="Q853" s="2">
        <v>70.56</v>
      </c>
      <c r="R853" s="2">
        <v>6</v>
      </c>
      <c r="S853" s="2">
        <v>23.990400000000001</v>
      </c>
      <c r="T853" s="2" t="s">
        <v>83</v>
      </c>
      <c r="U853" s="2" t="s">
        <v>96</v>
      </c>
    </row>
    <row r="854" spans="1:21" ht="14.25" customHeight="1" x14ac:dyDescent="0.3">
      <c r="A854" s="2" t="s">
        <v>2700</v>
      </c>
      <c r="B854" s="5">
        <v>42180</v>
      </c>
      <c r="C854" s="2" t="str">
        <f>TEXT(data[[#This Row],[Order Date]],"YYYY")</f>
        <v>2015</v>
      </c>
      <c r="D854" s="2">
        <v>42185</v>
      </c>
      <c r="E854" s="2" t="s">
        <v>39</v>
      </c>
      <c r="F854" s="2" t="s">
        <v>2211</v>
      </c>
      <c r="G854" s="2" t="s">
        <v>2212</v>
      </c>
      <c r="H854" s="2" t="s">
        <v>24</v>
      </c>
      <c r="I854" s="2" t="s">
        <v>25</v>
      </c>
      <c r="J854" s="2" t="s">
        <v>328</v>
      </c>
      <c r="K854" s="2" t="s">
        <v>53</v>
      </c>
      <c r="L854" s="2" t="s">
        <v>54</v>
      </c>
      <c r="M854" s="2" t="s">
        <v>640</v>
      </c>
      <c r="N854" s="2" t="s">
        <v>30</v>
      </c>
      <c r="O854" s="2" t="s">
        <v>56</v>
      </c>
      <c r="P854" s="2" t="s">
        <v>641</v>
      </c>
      <c r="Q854" s="2">
        <v>204.85</v>
      </c>
      <c r="R854" s="2">
        <v>5</v>
      </c>
      <c r="S854" s="2">
        <v>57.357999999999997</v>
      </c>
      <c r="T854" s="2" t="s">
        <v>58</v>
      </c>
      <c r="U854" s="2" t="s">
        <v>59</v>
      </c>
    </row>
    <row r="855" spans="1:21" ht="14.25" customHeight="1" x14ac:dyDescent="0.3">
      <c r="A855" s="2" t="s">
        <v>2701</v>
      </c>
      <c r="B855" s="5">
        <v>42910</v>
      </c>
      <c r="C855" s="2" t="str">
        <f>TEXT(data[[#This Row],[Order Date]],"YYYY")</f>
        <v>2017</v>
      </c>
      <c r="D855" s="2">
        <v>42912</v>
      </c>
      <c r="E855" s="2" t="s">
        <v>21</v>
      </c>
      <c r="F855" s="2" t="s">
        <v>2702</v>
      </c>
      <c r="G855" s="2" t="s">
        <v>2703</v>
      </c>
      <c r="H855" s="2" t="s">
        <v>24</v>
      </c>
      <c r="I855" s="2" t="s">
        <v>25</v>
      </c>
      <c r="J855" s="2" t="s">
        <v>173</v>
      </c>
      <c r="K855" s="2" t="s">
        <v>120</v>
      </c>
      <c r="L855" s="2" t="s">
        <v>67</v>
      </c>
      <c r="M855" s="2" t="s">
        <v>920</v>
      </c>
      <c r="N855" s="2" t="s">
        <v>30</v>
      </c>
      <c r="O855" s="2" t="s">
        <v>56</v>
      </c>
      <c r="P855" s="2" t="s">
        <v>921</v>
      </c>
      <c r="Q855" s="2">
        <v>276.69</v>
      </c>
      <c r="R855" s="2">
        <v>3</v>
      </c>
      <c r="S855" s="2">
        <v>49.804200000000002</v>
      </c>
      <c r="T855" s="2" t="s">
        <v>70</v>
      </c>
      <c r="U855" s="2" t="s">
        <v>59</v>
      </c>
    </row>
    <row r="856" spans="1:21" ht="14.25" customHeight="1" x14ac:dyDescent="0.3">
      <c r="A856" s="2" t="s">
        <v>2701</v>
      </c>
      <c r="B856" s="5">
        <v>42910</v>
      </c>
      <c r="C856" s="2" t="str">
        <f>TEXT(data[[#This Row],[Order Date]],"YYYY")</f>
        <v>2017</v>
      </c>
      <c r="D856" s="2">
        <v>42912</v>
      </c>
      <c r="E856" s="2" t="s">
        <v>21</v>
      </c>
      <c r="F856" s="2" t="s">
        <v>2702</v>
      </c>
      <c r="G856" s="2" t="s">
        <v>2703</v>
      </c>
      <c r="H856" s="2" t="s">
        <v>24</v>
      </c>
      <c r="I856" s="2" t="s">
        <v>25</v>
      </c>
      <c r="J856" s="2" t="s">
        <v>173</v>
      </c>
      <c r="K856" s="2" t="s">
        <v>120</v>
      </c>
      <c r="L856" s="2" t="s">
        <v>67</v>
      </c>
      <c r="M856" s="2" t="s">
        <v>356</v>
      </c>
      <c r="N856" s="2" t="s">
        <v>30</v>
      </c>
      <c r="O856" s="2" t="s">
        <v>36</v>
      </c>
      <c r="P856" s="2" t="s">
        <v>357</v>
      </c>
      <c r="Q856" s="2">
        <v>172.76400000000001</v>
      </c>
      <c r="R856" s="2">
        <v>2</v>
      </c>
      <c r="S856" s="2">
        <v>32.633200000000002</v>
      </c>
      <c r="T856" s="2" t="s">
        <v>70</v>
      </c>
      <c r="U856" s="2" t="s">
        <v>59</v>
      </c>
    </row>
    <row r="857" spans="1:21" ht="14.25" customHeight="1" x14ac:dyDescent="0.3">
      <c r="A857" s="2" t="s">
        <v>2704</v>
      </c>
      <c r="B857" s="5">
        <v>41911</v>
      </c>
      <c r="C857" s="2" t="str">
        <f>TEXT(data[[#This Row],[Order Date]],"YYYY")</f>
        <v>2014</v>
      </c>
      <c r="D857" s="2">
        <v>41915</v>
      </c>
      <c r="E857" s="2" t="s">
        <v>39</v>
      </c>
      <c r="F857" s="2" t="s">
        <v>2345</v>
      </c>
      <c r="G857" s="2" t="s">
        <v>2346</v>
      </c>
      <c r="H857" s="2" t="s">
        <v>90</v>
      </c>
      <c r="I857" s="2" t="s">
        <v>25</v>
      </c>
      <c r="J857" s="2" t="s">
        <v>65</v>
      </c>
      <c r="K857" s="2" t="s">
        <v>66</v>
      </c>
      <c r="L857" s="2" t="s">
        <v>67</v>
      </c>
      <c r="M857" s="2" t="s">
        <v>1561</v>
      </c>
      <c r="N857" s="2" t="s">
        <v>30</v>
      </c>
      <c r="O857" s="2" t="s">
        <v>45</v>
      </c>
      <c r="P857" s="2" t="s">
        <v>1562</v>
      </c>
      <c r="Q857" s="2">
        <v>409.27199999999999</v>
      </c>
      <c r="R857" s="2">
        <v>2</v>
      </c>
      <c r="S857" s="2">
        <v>-81.854399999999998</v>
      </c>
      <c r="T857" s="2" t="s">
        <v>83</v>
      </c>
      <c r="U857" s="2" t="s">
        <v>77</v>
      </c>
    </row>
    <row r="858" spans="1:21" ht="14.25" customHeight="1" x14ac:dyDescent="0.3">
      <c r="A858" s="2" t="s">
        <v>2704</v>
      </c>
      <c r="B858" s="5">
        <v>41911</v>
      </c>
      <c r="C858" s="2" t="str">
        <f>TEXT(data[[#This Row],[Order Date]],"YYYY")</f>
        <v>2014</v>
      </c>
      <c r="D858" s="2">
        <v>41915</v>
      </c>
      <c r="E858" s="2" t="s">
        <v>39</v>
      </c>
      <c r="F858" s="2" t="s">
        <v>2345</v>
      </c>
      <c r="G858" s="2" t="s">
        <v>2346</v>
      </c>
      <c r="H858" s="2" t="s">
        <v>90</v>
      </c>
      <c r="I858" s="2" t="s">
        <v>25</v>
      </c>
      <c r="J858" s="2" t="s">
        <v>65</v>
      </c>
      <c r="K858" s="2" t="s">
        <v>66</v>
      </c>
      <c r="L858" s="2" t="s">
        <v>67</v>
      </c>
      <c r="M858" s="2" t="s">
        <v>1040</v>
      </c>
      <c r="N858" s="2" t="s">
        <v>30</v>
      </c>
      <c r="O858" s="2" t="s">
        <v>45</v>
      </c>
      <c r="P858" s="2" t="s">
        <v>1041</v>
      </c>
      <c r="Q858" s="2">
        <v>67.176000000000002</v>
      </c>
      <c r="R858" s="2">
        <v>1</v>
      </c>
      <c r="S858" s="2">
        <v>-20.152799999999999</v>
      </c>
      <c r="T858" s="2" t="s">
        <v>83</v>
      </c>
      <c r="U858" s="2" t="s">
        <v>77</v>
      </c>
    </row>
    <row r="859" spans="1:21" ht="14.25" customHeight="1" x14ac:dyDescent="0.3">
      <c r="A859" s="2" t="s">
        <v>2705</v>
      </c>
      <c r="B859" s="5">
        <v>42328</v>
      </c>
      <c r="C859" s="2" t="str">
        <f>TEXT(data[[#This Row],[Order Date]],"YYYY")</f>
        <v>2015</v>
      </c>
      <c r="D859" s="2">
        <v>42332</v>
      </c>
      <c r="E859" s="2" t="s">
        <v>39</v>
      </c>
      <c r="F859" s="2" t="s">
        <v>221</v>
      </c>
      <c r="G859" s="2" t="s">
        <v>222</v>
      </c>
      <c r="H859" s="2" t="s">
        <v>24</v>
      </c>
      <c r="I859" s="2" t="s">
        <v>25</v>
      </c>
      <c r="J859" s="2" t="s">
        <v>1470</v>
      </c>
      <c r="K859" s="2" t="s">
        <v>53</v>
      </c>
      <c r="L859" s="2" t="s">
        <v>54</v>
      </c>
      <c r="M859" s="2" t="s">
        <v>580</v>
      </c>
      <c r="N859" s="2" t="s">
        <v>30</v>
      </c>
      <c r="O859" s="2" t="s">
        <v>36</v>
      </c>
      <c r="P859" s="2" t="s">
        <v>581</v>
      </c>
      <c r="Q859" s="2">
        <v>572.16</v>
      </c>
      <c r="R859" s="2">
        <v>3</v>
      </c>
      <c r="S859" s="2">
        <v>35.76</v>
      </c>
      <c r="T859" s="2" t="s">
        <v>83</v>
      </c>
      <c r="U859" s="2" t="s">
        <v>34</v>
      </c>
    </row>
    <row r="860" spans="1:21" ht="14.25" customHeight="1" x14ac:dyDescent="0.3">
      <c r="A860" s="2" t="s">
        <v>2706</v>
      </c>
      <c r="B860" s="5">
        <v>42610</v>
      </c>
      <c r="C860" s="2" t="str">
        <f>TEXT(data[[#This Row],[Order Date]],"YYYY")</f>
        <v>2016</v>
      </c>
      <c r="D860" s="2">
        <v>42613</v>
      </c>
      <c r="E860" s="2" t="s">
        <v>87</v>
      </c>
      <c r="F860" s="2" t="s">
        <v>2298</v>
      </c>
      <c r="G860" s="2" t="s">
        <v>2299</v>
      </c>
      <c r="H860" s="2" t="s">
        <v>24</v>
      </c>
      <c r="I860" s="2" t="s">
        <v>25</v>
      </c>
      <c r="J860" s="2" t="s">
        <v>1739</v>
      </c>
      <c r="K860" s="2" t="s">
        <v>92</v>
      </c>
      <c r="L860" s="2" t="s">
        <v>93</v>
      </c>
      <c r="M860" s="2" t="s">
        <v>1476</v>
      </c>
      <c r="N860" s="2" t="s">
        <v>30</v>
      </c>
      <c r="O860" s="2" t="s">
        <v>31</v>
      </c>
      <c r="P860" s="2" t="s">
        <v>1477</v>
      </c>
      <c r="Q860" s="2">
        <v>156.37280000000001</v>
      </c>
      <c r="R860" s="2">
        <v>2</v>
      </c>
      <c r="S860" s="2">
        <v>-52.890799999999999</v>
      </c>
      <c r="T860" s="2" t="s">
        <v>33</v>
      </c>
      <c r="U860" s="2" t="s">
        <v>253</v>
      </c>
    </row>
    <row r="861" spans="1:21" ht="14.25" customHeight="1" x14ac:dyDescent="0.3">
      <c r="A861" s="2" t="s">
        <v>2707</v>
      </c>
      <c r="B861" s="5">
        <v>43054</v>
      </c>
      <c r="C861" s="2" t="str">
        <f>TEXT(data[[#This Row],[Order Date]],"YYYY")</f>
        <v>2017</v>
      </c>
      <c r="D861" s="2">
        <v>43059</v>
      </c>
      <c r="E861" s="2" t="s">
        <v>39</v>
      </c>
      <c r="F861" s="2" t="s">
        <v>2682</v>
      </c>
      <c r="G861" s="2" t="s">
        <v>2683</v>
      </c>
      <c r="H861" s="2" t="s">
        <v>24</v>
      </c>
      <c r="I861" s="2" t="s">
        <v>25</v>
      </c>
      <c r="J861" s="2" t="s">
        <v>2708</v>
      </c>
      <c r="K861" s="2" t="s">
        <v>43</v>
      </c>
      <c r="L861" s="2" t="s">
        <v>28</v>
      </c>
      <c r="M861" s="2" t="s">
        <v>705</v>
      </c>
      <c r="N861" s="2" t="s">
        <v>30</v>
      </c>
      <c r="O861" s="2" t="s">
        <v>56</v>
      </c>
      <c r="P861" s="2" t="s">
        <v>706</v>
      </c>
      <c r="Q861" s="2">
        <v>220.06399999999999</v>
      </c>
      <c r="R861" s="2">
        <v>4</v>
      </c>
      <c r="S861" s="2">
        <v>55.015999999999998</v>
      </c>
      <c r="T861" s="2" t="s">
        <v>58</v>
      </c>
      <c r="U861" s="2" t="s">
        <v>34</v>
      </c>
    </row>
    <row r="862" spans="1:21" ht="14.25" customHeight="1" x14ac:dyDescent="0.3">
      <c r="A862" s="2" t="s">
        <v>2707</v>
      </c>
      <c r="B862" s="5">
        <v>43054</v>
      </c>
      <c r="C862" s="2" t="str">
        <f>TEXT(data[[#This Row],[Order Date]],"YYYY")</f>
        <v>2017</v>
      </c>
      <c r="D862" s="2">
        <v>43059</v>
      </c>
      <c r="E862" s="2" t="s">
        <v>39</v>
      </c>
      <c r="F862" s="2" t="s">
        <v>2682</v>
      </c>
      <c r="G862" s="2" t="s">
        <v>2683</v>
      </c>
      <c r="H862" s="2" t="s">
        <v>24</v>
      </c>
      <c r="I862" s="2" t="s">
        <v>25</v>
      </c>
      <c r="J862" s="2" t="s">
        <v>2708</v>
      </c>
      <c r="K862" s="2" t="s">
        <v>43</v>
      </c>
      <c r="L862" s="2" t="s">
        <v>28</v>
      </c>
      <c r="M862" s="2" t="s">
        <v>1391</v>
      </c>
      <c r="N862" s="2" t="s">
        <v>30</v>
      </c>
      <c r="O862" s="2" t="s">
        <v>56</v>
      </c>
      <c r="P862" s="2" t="s">
        <v>1392</v>
      </c>
      <c r="Q862" s="2">
        <v>339.13600000000002</v>
      </c>
      <c r="R862" s="2">
        <v>4</v>
      </c>
      <c r="S862" s="2">
        <v>0</v>
      </c>
      <c r="T862" s="2" t="s">
        <v>58</v>
      </c>
      <c r="U862" s="2" t="s">
        <v>34</v>
      </c>
    </row>
    <row r="863" spans="1:21" ht="14.25" customHeight="1" x14ac:dyDescent="0.3">
      <c r="A863" s="2" t="s">
        <v>2709</v>
      </c>
      <c r="B863" s="5">
        <v>41870</v>
      </c>
      <c r="C863" s="2" t="str">
        <f>TEXT(data[[#This Row],[Order Date]],"YYYY")</f>
        <v>2014</v>
      </c>
      <c r="D863" s="2">
        <v>41877</v>
      </c>
      <c r="E863" s="2" t="s">
        <v>39</v>
      </c>
      <c r="F863" s="2" t="s">
        <v>2710</v>
      </c>
      <c r="G863" s="2" t="s">
        <v>2711</v>
      </c>
      <c r="H863" s="2" t="s">
        <v>24</v>
      </c>
      <c r="I863" s="2" t="s">
        <v>25</v>
      </c>
      <c r="J863" s="2" t="s">
        <v>1057</v>
      </c>
      <c r="K863" s="2" t="s">
        <v>1058</v>
      </c>
      <c r="L863" s="2" t="s">
        <v>28</v>
      </c>
      <c r="M863" s="2" t="s">
        <v>2712</v>
      </c>
      <c r="N863" s="2" t="s">
        <v>30</v>
      </c>
      <c r="O863" s="2" t="s">
        <v>31</v>
      </c>
      <c r="P863" s="2" t="s">
        <v>2713</v>
      </c>
      <c r="Q863" s="2">
        <v>638.82000000000005</v>
      </c>
      <c r="R863" s="2">
        <v>9</v>
      </c>
      <c r="S863" s="2">
        <v>172.48140000000001</v>
      </c>
      <c r="T863" s="2" t="s">
        <v>47</v>
      </c>
      <c r="U863" s="2" t="s">
        <v>253</v>
      </c>
    </row>
    <row r="864" spans="1:21" ht="14.25" customHeight="1" x14ac:dyDescent="0.3">
      <c r="A864" s="2" t="s">
        <v>2714</v>
      </c>
      <c r="B864" s="5">
        <v>43090</v>
      </c>
      <c r="C864" s="2" t="str">
        <f>TEXT(data[[#This Row],[Order Date]],"YYYY")</f>
        <v>2017</v>
      </c>
      <c r="D864" s="2">
        <v>43090</v>
      </c>
      <c r="E864" s="2" t="s">
        <v>425</v>
      </c>
      <c r="F864" s="2" t="s">
        <v>671</v>
      </c>
      <c r="G864" s="2" t="s">
        <v>672</v>
      </c>
      <c r="H864" s="2" t="s">
        <v>100</v>
      </c>
      <c r="I864" s="2" t="s">
        <v>25</v>
      </c>
      <c r="J864" s="2" t="s">
        <v>2715</v>
      </c>
      <c r="K864" s="2" t="s">
        <v>841</v>
      </c>
      <c r="L864" s="2" t="s">
        <v>93</v>
      </c>
      <c r="M864" s="2" t="s">
        <v>927</v>
      </c>
      <c r="N864" s="2" t="s">
        <v>30</v>
      </c>
      <c r="O864" s="2" t="s">
        <v>56</v>
      </c>
      <c r="P864" s="2" t="s">
        <v>316</v>
      </c>
      <c r="Q864" s="2">
        <v>15.92</v>
      </c>
      <c r="R864" s="2">
        <v>2</v>
      </c>
      <c r="S864" s="2">
        <v>7.0048000000000004</v>
      </c>
      <c r="T864" s="2" t="s">
        <v>430</v>
      </c>
      <c r="U864" s="2" t="s">
        <v>96</v>
      </c>
    </row>
    <row r="865" spans="1:21" ht="14.25" customHeight="1" x14ac:dyDescent="0.3">
      <c r="A865" s="2" t="s">
        <v>2716</v>
      </c>
      <c r="B865" s="5">
        <v>42254</v>
      </c>
      <c r="C865" s="2" t="str">
        <f>TEXT(data[[#This Row],[Order Date]],"YYYY")</f>
        <v>2015</v>
      </c>
      <c r="D865" s="2">
        <v>42254</v>
      </c>
      <c r="E865" s="2" t="s">
        <v>425</v>
      </c>
      <c r="F865" s="2" t="s">
        <v>1403</v>
      </c>
      <c r="G865" s="2" t="s">
        <v>1404</v>
      </c>
      <c r="H865" s="2" t="s">
        <v>24</v>
      </c>
      <c r="I865" s="2" t="s">
        <v>25</v>
      </c>
      <c r="J865" s="2" t="s">
        <v>173</v>
      </c>
      <c r="K865" s="2" t="s">
        <v>120</v>
      </c>
      <c r="L865" s="2" t="s">
        <v>67</v>
      </c>
      <c r="M865" s="2" t="s">
        <v>2286</v>
      </c>
      <c r="N865" s="2" t="s">
        <v>30</v>
      </c>
      <c r="O865" s="2" t="s">
        <v>45</v>
      </c>
      <c r="P865" s="2" t="s">
        <v>2287</v>
      </c>
      <c r="Q865" s="2">
        <v>27.414000000000001</v>
      </c>
      <c r="R865" s="2">
        <v>3</v>
      </c>
      <c r="S865" s="2">
        <v>-14.1639</v>
      </c>
      <c r="T865" s="2" t="s">
        <v>430</v>
      </c>
      <c r="U865" s="2" t="s">
        <v>77</v>
      </c>
    </row>
    <row r="866" spans="1:21" ht="14.25" customHeight="1" x14ac:dyDescent="0.3">
      <c r="A866" s="2" t="s">
        <v>2717</v>
      </c>
      <c r="B866" s="5">
        <v>42363</v>
      </c>
      <c r="C866" s="2" t="str">
        <f>TEXT(data[[#This Row],[Order Date]],"YYYY")</f>
        <v>2015</v>
      </c>
      <c r="D866" s="2">
        <v>42370</v>
      </c>
      <c r="E866" s="2" t="s">
        <v>39</v>
      </c>
      <c r="F866" s="2" t="s">
        <v>2718</v>
      </c>
      <c r="G866" s="2" t="s">
        <v>2719</v>
      </c>
      <c r="H866" s="2" t="s">
        <v>90</v>
      </c>
      <c r="I866" s="2" t="s">
        <v>25</v>
      </c>
      <c r="J866" s="2" t="s">
        <v>288</v>
      </c>
      <c r="K866" s="2" t="s">
        <v>289</v>
      </c>
      <c r="L866" s="2" t="s">
        <v>93</v>
      </c>
      <c r="M866" s="2" t="s">
        <v>2720</v>
      </c>
      <c r="N866" s="2" t="s">
        <v>30</v>
      </c>
      <c r="O866" s="2" t="s">
        <v>31</v>
      </c>
      <c r="P866" s="2" t="s">
        <v>2721</v>
      </c>
      <c r="Q866" s="2">
        <v>160.97999999999999</v>
      </c>
      <c r="R866" s="2">
        <v>1</v>
      </c>
      <c r="S866" s="2">
        <v>20.927399999999999</v>
      </c>
      <c r="T866" s="2" t="s">
        <v>47</v>
      </c>
      <c r="U866" s="2" t="s">
        <v>96</v>
      </c>
    </row>
    <row r="867" spans="1:21" ht="14.25" customHeight="1" x14ac:dyDescent="0.3">
      <c r="A867" s="2" t="s">
        <v>2722</v>
      </c>
      <c r="B867" s="5">
        <v>42943</v>
      </c>
      <c r="C867" s="2" t="str">
        <f>TEXT(data[[#This Row],[Order Date]],"YYYY")</f>
        <v>2017</v>
      </c>
      <c r="D867" s="2">
        <v>42947</v>
      </c>
      <c r="E867" s="2" t="s">
        <v>21</v>
      </c>
      <c r="F867" s="2" t="s">
        <v>2723</v>
      </c>
      <c r="G867" s="2" t="s">
        <v>2724</v>
      </c>
      <c r="H867" s="2" t="s">
        <v>24</v>
      </c>
      <c r="I867" s="2" t="s">
        <v>25</v>
      </c>
      <c r="J867" s="2" t="s">
        <v>606</v>
      </c>
      <c r="K867" s="2" t="s">
        <v>43</v>
      </c>
      <c r="L867" s="2" t="s">
        <v>28</v>
      </c>
      <c r="M867" s="2" t="s">
        <v>967</v>
      </c>
      <c r="N867" s="2" t="s">
        <v>30</v>
      </c>
      <c r="O867" s="2" t="s">
        <v>56</v>
      </c>
      <c r="P867" s="2" t="s">
        <v>968</v>
      </c>
      <c r="Q867" s="2">
        <v>91.031999999999996</v>
      </c>
      <c r="R867" s="2">
        <v>3</v>
      </c>
      <c r="S867" s="2">
        <v>-2.2757999999999998</v>
      </c>
      <c r="T867" s="2" t="s">
        <v>83</v>
      </c>
      <c r="U867" s="2" t="s">
        <v>71</v>
      </c>
    </row>
    <row r="868" spans="1:21" ht="14.25" customHeight="1" x14ac:dyDescent="0.3">
      <c r="A868" s="2" t="s">
        <v>2725</v>
      </c>
      <c r="B868" s="5">
        <v>43070</v>
      </c>
      <c r="C868" s="2" t="str">
        <f>TEXT(data[[#This Row],[Order Date]],"YYYY")</f>
        <v>2017</v>
      </c>
      <c r="D868" s="2">
        <v>43073</v>
      </c>
      <c r="E868" s="2" t="s">
        <v>87</v>
      </c>
      <c r="F868" s="2" t="s">
        <v>708</v>
      </c>
      <c r="G868" s="2" t="s">
        <v>709</v>
      </c>
      <c r="H868" s="2" t="s">
        <v>24</v>
      </c>
      <c r="I868" s="2" t="s">
        <v>25</v>
      </c>
      <c r="J868" s="2" t="s">
        <v>65</v>
      </c>
      <c r="K868" s="2" t="s">
        <v>66</v>
      </c>
      <c r="L868" s="2" t="s">
        <v>67</v>
      </c>
      <c r="M868" s="2" t="s">
        <v>2672</v>
      </c>
      <c r="N868" s="2" t="s">
        <v>30</v>
      </c>
      <c r="O868" s="2" t="s">
        <v>56</v>
      </c>
      <c r="P868" s="2" t="s">
        <v>2673</v>
      </c>
      <c r="Q868" s="2">
        <v>79.12</v>
      </c>
      <c r="R868" s="2">
        <v>5</v>
      </c>
      <c r="S868" s="2">
        <v>13.846</v>
      </c>
      <c r="T868" s="2" t="s">
        <v>33</v>
      </c>
      <c r="U868" s="2" t="s">
        <v>96</v>
      </c>
    </row>
    <row r="869" spans="1:21" ht="14.25" customHeight="1" x14ac:dyDescent="0.3">
      <c r="A869" s="2" t="s">
        <v>2726</v>
      </c>
      <c r="B869" s="5">
        <v>42765</v>
      </c>
      <c r="C869" s="2" t="str">
        <f>TEXT(data[[#This Row],[Order Date]],"YYYY")</f>
        <v>2017</v>
      </c>
      <c r="D869" s="2">
        <v>42772</v>
      </c>
      <c r="E869" s="2" t="s">
        <v>39</v>
      </c>
      <c r="F869" s="2" t="s">
        <v>684</v>
      </c>
      <c r="G869" s="2" t="s">
        <v>685</v>
      </c>
      <c r="H869" s="2" t="s">
        <v>100</v>
      </c>
      <c r="I869" s="2" t="s">
        <v>25</v>
      </c>
      <c r="J869" s="2" t="s">
        <v>328</v>
      </c>
      <c r="K869" s="2" t="s">
        <v>53</v>
      </c>
      <c r="L869" s="2" t="s">
        <v>54</v>
      </c>
      <c r="M869" s="2" t="s">
        <v>159</v>
      </c>
      <c r="N869" s="2" t="s">
        <v>30</v>
      </c>
      <c r="O869" s="2" t="s">
        <v>36</v>
      </c>
      <c r="P869" s="2" t="s">
        <v>160</v>
      </c>
      <c r="Q869" s="2">
        <v>120.78400000000001</v>
      </c>
      <c r="R869" s="2">
        <v>1</v>
      </c>
      <c r="S869" s="2">
        <v>-13.588200000000001</v>
      </c>
      <c r="T869" s="2" t="s">
        <v>47</v>
      </c>
      <c r="U869" s="2" t="s">
        <v>169</v>
      </c>
    </row>
    <row r="870" spans="1:21" ht="14.25" customHeight="1" x14ac:dyDescent="0.3">
      <c r="A870" s="2" t="s">
        <v>2727</v>
      </c>
      <c r="B870" s="5">
        <v>42336</v>
      </c>
      <c r="C870" s="2" t="str">
        <f>TEXT(data[[#This Row],[Order Date]],"YYYY")</f>
        <v>2015</v>
      </c>
      <c r="D870" s="2">
        <v>42342</v>
      </c>
      <c r="E870" s="2" t="s">
        <v>39</v>
      </c>
      <c r="F870" s="2" t="s">
        <v>2298</v>
      </c>
      <c r="G870" s="2" t="s">
        <v>2299</v>
      </c>
      <c r="H870" s="2" t="s">
        <v>24</v>
      </c>
      <c r="I870" s="2" t="s">
        <v>25</v>
      </c>
      <c r="J870" s="2" t="s">
        <v>2728</v>
      </c>
      <c r="K870" s="2" t="s">
        <v>120</v>
      </c>
      <c r="L870" s="2" t="s">
        <v>67</v>
      </c>
      <c r="M870" s="2" t="s">
        <v>308</v>
      </c>
      <c r="N870" s="2" t="s">
        <v>30</v>
      </c>
      <c r="O870" s="2" t="s">
        <v>56</v>
      </c>
      <c r="P870" s="2" t="s">
        <v>309</v>
      </c>
      <c r="Q870" s="2">
        <v>322.58999999999997</v>
      </c>
      <c r="R870" s="2">
        <v>3</v>
      </c>
      <c r="S870" s="2">
        <v>64.518000000000001</v>
      </c>
      <c r="T870" s="2" t="s">
        <v>129</v>
      </c>
      <c r="U870" s="2" t="s">
        <v>34</v>
      </c>
    </row>
    <row r="871" spans="1:21" ht="14.25" customHeight="1" x14ac:dyDescent="0.3">
      <c r="A871" s="2" t="s">
        <v>2729</v>
      </c>
      <c r="B871" s="5">
        <v>41923</v>
      </c>
      <c r="C871" s="2" t="str">
        <f>TEXT(data[[#This Row],[Order Date]],"YYYY")</f>
        <v>2014</v>
      </c>
      <c r="D871" s="2">
        <v>41925</v>
      </c>
      <c r="E871" s="2" t="s">
        <v>87</v>
      </c>
      <c r="F871" s="2" t="s">
        <v>335</v>
      </c>
      <c r="G871" s="2" t="s">
        <v>336</v>
      </c>
      <c r="H871" s="2" t="s">
        <v>24</v>
      </c>
      <c r="I871" s="2" t="s">
        <v>25</v>
      </c>
      <c r="J871" s="2" t="s">
        <v>1185</v>
      </c>
      <c r="K871" s="2" t="s">
        <v>53</v>
      </c>
      <c r="L871" s="2" t="s">
        <v>54</v>
      </c>
      <c r="M871" s="2" t="s">
        <v>2730</v>
      </c>
      <c r="N871" s="2" t="s">
        <v>30</v>
      </c>
      <c r="O871" s="2" t="s">
        <v>36</v>
      </c>
      <c r="P871" s="2" t="s">
        <v>2731</v>
      </c>
      <c r="Q871" s="2">
        <v>433.56799999999998</v>
      </c>
      <c r="R871" s="2">
        <v>2</v>
      </c>
      <c r="S871" s="2">
        <v>-65.035200000000003</v>
      </c>
      <c r="T871" s="2" t="s">
        <v>70</v>
      </c>
      <c r="U871" s="2" t="s">
        <v>48</v>
      </c>
    </row>
    <row r="872" spans="1:21" ht="14.25" customHeight="1" x14ac:dyDescent="0.3">
      <c r="A872" s="2" t="s">
        <v>2732</v>
      </c>
      <c r="B872" s="5">
        <v>42709</v>
      </c>
      <c r="C872" s="2" t="str">
        <f>TEXT(data[[#This Row],[Order Date]],"YYYY")</f>
        <v>2016</v>
      </c>
      <c r="D872" s="2">
        <v>42711</v>
      </c>
      <c r="E872" s="2" t="s">
        <v>87</v>
      </c>
      <c r="F872" s="2" t="s">
        <v>2003</v>
      </c>
      <c r="G872" s="2" t="s">
        <v>2004</v>
      </c>
      <c r="H872" s="2" t="s">
        <v>90</v>
      </c>
      <c r="I872" s="2" t="s">
        <v>25</v>
      </c>
      <c r="J872" s="2" t="s">
        <v>237</v>
      </c>
      <c r="K872" s="2" t="s">
        <v>434</v>
      </c>
      <c r="L872" s="2" t="s">
        <v>67</v>
      </c>
      <c r="M872" s="2" t="s">
        <v>2733</v>
      </c>
      <c r="N872" s="2" t="s">
        <v>30</v>
      </c>
      <c r="O872" s="2" t="s">
        <v>31</v>
      </c>
      <c r="P872" s="2" t="s">
        <v>2734</v>
      </c>
      <c r="Q872" s="2">
        <v>81.94</v>
      </c>
      <c r="R872" s="2">
        <v>1</v>
      </c>
      <c r="S872" s="2">
        <v>20.484999999999999</v>
      </c>
      <c r="T872" s="2" t="s">
        <v>70</v>
      </c>
      <c r="U872" s="2" t="s">
        <v>96</v>
      </c>
    </row>
    <row r="873" spans="1:21" ht="14.25" customHeight="1" x14ac:dyDescent="0.3">
      <c r="A873" s="2" t="s">
        <v>2735</v>
      </c>
      <c r="B873" s="5">
        <v>42324</v>
      </c>
      <c r="C873" s="2" t="str">
        <f>TEXT(data[[#This Row],[Order Date]],"YYYY")</f>
        <v>2015</v>
      </c>
      <c r="D873" s="2">
        <v>42328</v>
      </c>
      <c r="E873" s="2" t="s">
        <v>39</v>
      </c>
      <c r="F873" s="2" t="s">
        <v>269</v>
      </c>
      <c r="G873" s="2" t="s">
        <v>270</v>
      </c>
      <c r="H873" s="2" t="s">
        <v>90</v>
      </c>
      <c r="I873" s="2" t="s">
        <v>25</v>
      </c>
      <c r="J873" s="2" t="s">
        <v>2736</v>
      </c>
      <c r="K873" s="2" t="s">
        <v>2280</v>
      </c>
      <c r="L873" s="2" t="s">
        <v>54</v>
      </c>
      <c r="M873" s="2" t="s">
        <v>44</v>
      </c>
      <c r="N873" s="2" t="s">
        <v>30</v>
      </c>
      <c r="O873" s="2" t="s">
        <v>45</v>
      </c>
      <c r="P873" s="2" t="s">
        <v>46</v>
      </c>
      <c r="Q873" s="2">
        <v>696.42</v>
      </c>
      <c r="R873" s="2">
        <v>2</v>
      </c>
      <c r="S873" s="2">
        <v>160.17660000000001</v>
      </c>
      <c r="T873" s="2" t="s">
        <v>83</v>
      </c>
      <c r="U873" s="2" t="s">
        <v>34</v>
      </c>
    </row>
    <row r="874" spans="1:21" ht="14.25" customHeight="1" x14ac:dyDescent="0.3">
      <c r="A874" s="2" t="s">
        <v>2737</v>
      </c>
      <c r="B874" s="5">
        <v>42468</v>
      </c>
      <c r="C874" s="2" t="str">
        <f>TEXT(data[[#This Row],[Order Date]],"YYYY")</f>
        <v>2016</v>
      </c>
      <c r="D874" s="2">
        <v>42474</v>
      </c>
      <c r="E874" s="2" t="s">
        <v>39</v>
      </c>
      <c r="F874" s="2" t="s">
        <v>1654</v>
      </c>
      <c r="G874" s="2" t="s">
        <v>1655</v>
      </c>
      <c r="H874" s="2" t="s">
        <v>24</v>
      </c>
      <c r="I874" s="2" t="s">
        <v>25</v>
      </c>
      <c r="J874" s="2" t="s">
        <v>52</v>
      </c>
      <c r="K874" s="2" t="s">
        <v>53</v>
      </c>
      <c r="L874" s="2" t="s">
        <v>54</v>
      </c>
      <c r="M874" s="2" t="s">
        <v>802</v>
      </c>
      <c r="N874" s="2" t="s">
        <v>30</v>
      </c>
      <c r="O874" s="2" t="s">
        <v>56</v>
      </c>
      <c r="P874" s="2" t="s">
        <v>803</v>
      </c>
      <c r="Q874" s="2">
        <v>24.7</v>
      </c>
      <c r="R874" s="2">
        <v>5</v>
      </c>
      <c r="S874" s="2">
        <v>10.374000000000001</v>
      </c>
      <c r="T874" s="2" t="s">
        <v>129</v>
      </c>
      <c r="U874" s="2" t="s">
        <v>113</v>
      </c>
    </row>
    <row r="875" spans="1:21" ht="14.25" customHeight="1" x14ac:dyDescent="0.3">
      <c r="A875" s="2" t="s">
        <v>2738</v>
      </c>
      <c r="B875" s="5">
        <v>41943</v>
      </c>
      <c r="C875" s="2" t="str">
        <f>TEXT(data[[#This Row],[Order Date]],"YYYY")</f>
        <v>2014</v>
      </c>
      <c r="D875" s="2">
        <v>41945</v>
      </c>
      <c r="E875" s="2" t="s">
        <v>21</v>
      </c>
      <c r="F875" s="2" t="s">
        <v>1639</v>
      </c>
      <c r="G875" s="2" t="s">
        <v>1640</v>
      </c>
      <c r="H875" s="2" t="s">
        <v>24</v>
      </c>
      <c r="I875" s="2" t="s">
        <v>25</v>
      </c>
      <c r="J875" s="2" t="s">
        <v>2739</v>
      </c>
      <c r="K875" s="2" t="s">
        <v>1645</v>
      </c>
      <c r="L875" s="2" t="s">
        <v>67</v>
      </c>
      <c r="M875" s="2" t="s">
        <v>1718</v>
      </c>
      <c r="N875" s="2" t="s">
        <v>30</v>
      </c>
      <c r="O875" s="2" t="s">
        <v>56</v>
      </c>
      <c r="P875" s="2" t="s">
        <v>1719</v>
      </c>
      <c r="Q875" s="2">
        <v>14.76</v>
      </c>
      <c r="R875" s="2">
        <v>2</v>
      </c>
      <c r="S875" s="2">
        <v>4.2804000000000002</v>
      </c>
      <c r="T875" s="2" t="s">
        <v>70</v>
      </c>
      <c r="U875" s="2" t="s">
        <v>48</v>
      </c>
    </row>
    <row r="876" spans="1:21" ht="14.25" customHeight="1" x14ac:dyDescent="0.3">
      <c r="A876" s="2" t="s">
        <v>2738</v>
      </c>
      <c r="B876" s="5">
        <v>41943</v>
      </c>
      <c r="C876" s="2" t="str">
        <f>TEXT(data[[#This Row],[Order Date]],"YYYY")</f>
        <v>2014</v>
      </c>
      <c r="D876" s="2">
        <v>41945</v>
      </c>
      <c r="E876" s="2" t="s">
        <v>21</v>
      </c>
      <c r="F876" s="2" t="s">
        <v>1639</v>
      </c>
      <c r="G876" s="2" t="s">
        <v>1640</v>
      </c>
      <c r="H876" s="2" t="s">
        <v>24</v>
      </c>
      <c r="I876" s="2" t="s">
        <v>25</v>
      </c>
      <c r="J876" s="2" t="s">
        <v>2739</v>
      </c>
      <c r="K876" s="2" t="s">
        <v>1645</v>
      </c>
      <c r="L876" s="2" t="s">
        <v>67</v>
      </c>
      <c r="M876" s="2" t="s">
        <v>422</v>
      </c>
      <c r="N876" s="2" t="s">
        <v>30</v>
      </c>
      <c r="O876" s="2" t="s">
        <v>56</v>
      </c>
      <c r="P876" s="2" t="s">
        <v>423</v>
      </c>
      <c r="Q876" s="2">
        <v>17.670000000000002</v>
      </c>
      <c r="R876" s="2">
        <v>3</v>
      </c>
      <c r="S876" s="2">
        <v>7.7747999999999999</v>
      </c>
      <c r="T876" s="2" t="s">
        <v>70</v>
      </c>
      <c r="U876" s="2" t="s">
        <v>48</v>
      </c>
    </row>
    <row r="877" spans="1:21" ht="14.25" customHeight="1" x14ac:dyDescent="0.3">
      <c r="A877" s="2" t="s">
        <v>2738</v>
      </c>
      <c r="B877" s="5">
        <v>41943</v>
      </c>
      <c r="C877" s="2" t="str">
        <f>TEXT(data[[#This Row],[Order Date]],"YYYY")</f>
        <v>2014</v>
      </c>
      <c r="D877" s="2">
        <v>41945</v>
      </c>
      <c r="E877" s="2" t="s">
        <v>21</v>
      </c>
      <c r="F877" s="2" t="s">
        <v>1639</v>
      </c>
      <c r="G877" s="2" t="s">
        <v>1640</v>
      </c>
      <c r="H877" s="2" t="s">
        <v>24</v>
      </c>
      <c r="I877" s="2" t="s">
        <v>25</v>
      </c>
      <c r="J877" s="2" t="s">
        <v>2739</v>
      </c>
      <c r="K877" s="2" t="s">
        <v>1645</v>
      </c>
      <c r="L877" s="2" t="s">
        <v>67</v>
      </c>
      <c r="M877" s="2" t="s">
        <v>2273</v>
      </c>
      <c r="N877" s="2" t="s">
        <v>30</v>
      </c>
      <c r="O877" s="2" t="s">
        <v>36</v>
      </c>
      <c r="P877" s="2" t="s">
        <v>2274</v>
      </c>
      <c r="Q877" s="2">
        <v>1604.9</v>
      </c>
      <c r="R877" s="2">
        <v>5</v>
      </c>
      <c r="S877" s="2">
        <v>481.47</v>
      </c>
      <c r="T877" s="2" t="s">
        <v>70</v>
      </c>
      <c r="U877" s="2" t="s">
        <v>48</v>
      </c>
    </row>
    <row r="878" spans="1:21" ht="14.25" customHeight="1" x14ac:dyDescent="0.3">
      <c r="A878" s="2" t="s">
        <v>2738</v>
      </c>
      <c r="B878" s="5">
        <v>41943</v>
      </c>
      <c r="C878" s="2" t="str">
        <f>TEXT(data[[#This Row],[Order Date]],"YYYY")</f>
        <v>2014</v>
      </c>
      <c r="D878" s="2">
        <v>41945</v>
      </c>
      <c r="E878" s="2" t="s">
        <v>21</v>
      </c>
      <c r="F878" s="2" t="s">
        <v>1639</v>
      </c>
      <c r="G878" s="2" t="s">
        <v>1640</v>
      </c>
      <c r="H878" s="2" t="s">
        <v>24</v>
      </c>
      <c r="I878" s="2" t="s">
        <v>25</v>
      </c>
      <c r="J878" s="2" t="s">
        <v>2739</v>
      </c>
      <c r="K878" s="2" t="s">
        <v>1645</v>
      </c>
      <c r="L878" s="2" t="s">
        <v>67</v>
      </c>
      <c r="M878" s="2" t="s">
        <v>1723</v>
      </c>
      <c r="N878" s="2" t="s">
        <v>30</v>
      </c>
      <c r="O878" s="2" t="s">
        <v>45</v>
      </c>
      <c r="P878" s="2" t="s">
        <v>1724</v>
      </c>
      <c r="Q878" s="2">
        <v>385.68599999999998</v>
      </c>
      <c r="R878" s="2">
        <v>1</v>
      </c>
      <c r="S878" s="2">
        <v>-60.607799999999997</v>
      </c>
      <c r="T878" s="2" t="s">
        <v>70</v>
      </c>
      <c r="U878" s="2" t="s">
        <v>48</v>
      </c>
    </row>
    <row r="879" spans="1:21" ht="14.25" customHeight="1" x14ac:dyDescent="0.3">
      <c r="A879" s="2" t="s">
        <v>2740</v>
      </c>
      <c r="B879" s="5">
        <v>42826</v>
      </c>
      <c r="C879" s="2" t="str">
        <f>TEXT(data[[#This Row],[Order Date]],"YYYY")</f>
        <v>2017</v>
      </c>
      <c r="D879" s="2">
        <v>42828</v>
      </c>
      <c r="E879" s="2" t="s">
        <v>87</v>
      </c>
      <c r="F879" s="2" t="s">
        <v>2741</v>
      </c>
      <c r="G879" s="2" t="s">
        <v>2742</v>
      </c>
      <c r="H879" s="2" t="s">
        <v>90</v>
      </c>
      <c r="I879" s="2" t="s">
        <v>25</v>
      </c>
      <c r="J879" s="2" t="s">
        <v>328</v>
      </c>
      <c r="K879" s="2" t="s">
        <v>53</v>
      </c>
      <c r="L879" s="2" t="s">
        <v>54</v>
      </c>
      <c r="M879" s="2" t="s">
        <v>2743</v>
      </c>
      <c r="N879" s="2" t="s">
        <v>30</v>
      </c>
      <c r="O879" s="2" t="s">
        <v>31</v>
      </c>
      <c r="P879" s="2" t="s">
        <v>2744</v>
      </c>
      <c r="Q879" s="2">
        <v>482.66399999999999</v>
      </c>
      <c r="R879" s="2">
        <v>8</v>
      </c>
      <c r="S879" s="2">
        <v>85.176000000000002</v>
      </c>
      <c r="T879" s="2" t="s">
        <v>70</v>
      </c>
      <c r="U879" s="2" t="s">
        <v>113</v>
      </c>
    </row>
    <row r="880" spans="1:21" ht="14.25" customHeight="1" x14ac:dyDescent="0.3">
      <c r="A880" s="2" t="s">
        <v>2745</v>
      </c>
      <c r="B880" s="5">
        <v>42897</v>
      </c>
      <c r="C880" s="2" t="str">
        <f>TEXT(data[[#This Row],[Order Date]],"YYYY")</f>
        <v>2017</v>
      </c>
      <c r="D880" s="2">
        <v>42899</v>
      </c>
      <c r="E880" s="2" t="s">
        <v>21</v>
      </c>
      <c r="F880" s="2" t="s">
        <v>2019</v>
      </c>
      <c r="G880" s="2" t="s">
        <v>2020</v>
      </c>
      <c r="H880" s="2" t="s">
        <v>24</v>
      </c>
      <c r="I880" s="2" t="s">
        <v>25</v>
      </c>
      <c r="J880" s="2" t="s">
        <v>191</v>
      </c>
      <c r="K880" s="2" t="s">
        <v>192</v>
      </c>
      <c r="L880" s="2" t="s">
        <v>54</v>
      </c>
      <c r="M880" s="2" t="s">
        <v>860</v>
      </c>
      <c r="N880" s="2" t="s">
        <v>30</v>
      </c>
      <c r="O880" s="2" t="s">
        <v>31</v>
      </c>
      <c r="P880" s="2" t="s">
        <v>861</v>
      </c>
      <c r="Q880" s="2">
        <v>174.42</v>
      </c>
      <c r="R880" s="2">
        <v>3</v>
      </c>
      <c r="S880" s="2">
        <v>41.860799999999998</v>
      </c>
      <c r="T880" s="2" t="s">
        <v>70</v>
      </c>
      <c r="U880" s="2" t="s">
        <v>59</v>
      </c>
    </row>
    <row r="881" spans="1:21" ht="14.25" customHeight="1" x14ac:dyDescent="0.3">
      <c r="A881" s="2" t="s">
        <v>2746</v>
      </c>
      <c r="B881" s="5">
        <v>41986</v>
      </c>
      <c r="C881" s="2" t="str">
        <f>TEXT(data[[#This Row],[Order Date]],"YYYY")</f>
        <v>2014</v>
      </c>
      <c r="D881" s="2">
        <v>41990</v>
      </c>
      <c r="E881" s="2" t="s">
        <v>39</v>
      </c>
      <c r="F881" s="2" t="s">
        <v>623</v>
      </c>
      <c r="G881" s="2" t="s">
        <v>624</v>
      </c>
      <c r="H881" s="2" t="s">
        <v>90</v>
      </c>
      <c r="I881" s="2" t="s">
        <v>25</v>
      </c>
      <c r="J881" s="2" t="s">
        <v>133</v>
      </c>
      <c r="K881" s="2" t="s">
        <v>134</v>
      </c>
      <c r="L881" s="2" t="s">
        <v>93</v>
      </c>
      <c r="M881" s="2" t="s">
        <v>2747</v>
      </c>
      <c r="N881" s="2" t="s">
        <v>30</v>
      </c>
      <c r="O881" s="2" t="s">
        <v>56</v>
      </c>
      <c r="P881" s="2" t="s">
        <v>2748</v>
      </c>
      <c r="Q881" s="2">
        <v>94.427999999999997</v>
      </c>
      <c r="R881" s="2">
        <v>3</v>
      </c>
      <c r="S881" s="2">
        <v>-42.492600000000003</v>
      </c>
      <c r="T881" s="2" t="s">
        <v>83</v>
      </c>
      <c r="U881" s="2" t="s">
        <v>96</v>
      </c>
    </row>
    <row r="882" spans="1:21" ht="14.25" customHeight="1" x14ac:dyDescent="0.3">
      <c r="A882" s="2" t="s">
        <v>2749</v>
      </c>
      <c r="B882" s="5">
        <v>42009</v>
      </c>
      <c r="C882" s="2" t="str">
        <f>TEXT(data[[#This Row],[Order Date]],"YYYY")</f>
        <v>2015</v>
      </c>
      <c r="D882" s="2">
        <v>42014</v>
      </c>
      <c r="E882" s="2" t="s">
        <v>39</v>
      </c>
      <c r="F882" s="2" t="s">
        <v>2750</v>
      </c>
      <c r="G882" s="2" t="s">
        <v>2751</v>
      </c>
      <c r="H882" s="2" t="s">
        <v>100</v>
      </c>
      <c r="I882" s="2" t="s">
        <v>25</v>
      </c>
      <c r="J882" s="2" t="s">
        <v>191</v>
      </c>
      <c r="K882" s="2" t="s">
        <v>192</v>
      </c>
      <c r="L882" s="2" t="s">
        <v>54</v>
      </c>
      <c r="M882" s="2" t="s">
        <v>488</v>
      </c>
      <c r="N882" s="2" t="s">
        <v>30</v>
      </c>
      <c r="O882" s="2" t="s">
        <v>36</v>
      </c>
      <c r="P882" s="2" t="s">
        <v>489</v>
      </c>
      <c r="Q882" s="2">
        <v>61.584000000000003</v>
      </c>
      <c r="R882" s="2">
        <v>1</v>
      </c>
      <c r="S882" s="2">
        <v>-6.9282000000000004</v>
      </c>
      <c r="T882" s="2" t="s">
        <v>58</v>
      </c>
      <c r="U882" s="2" t="s">
        <v>169</v>
      </c>
    </row>
    <row r="883" spans="1:21" ht="14.25" customHeight="1" x14ac:dyDescent="0.3">
      <c r="A883" s="2" t="s">
        <v>2752</v>
      </c>
      <c r="B883" s="5">
        <v>42921</v>
      </c>
      <c r="C883" s="2" t="str">
        <f>TEXT(data[[#This Row],[Order Date]],"YYYY")</f>
        <v>2017</v>
      </c>
      <c r="D883" s="2">
        <v>42926</v>
      </c>
      <c r="E883" s="2" t="s">
        <v>39</v>
      </c>
      <c r="F883" s="2" t="s">
        <v>1105</v>
      </c>
      <c r="G883" s="2" t="s">
        <v>1106</v>
      </c>
      <c r="H883" s="2" t="s">
        <v>90</v>
      </c>
      <c r="I883" s="2" t="s">
        <v>25</v>
      </c>
      <c r="J883" s="2" t="s">
        <v>1739</v>
      </c>
      <c r="K883" s="2" t="s">
        <v>92</v>
      </c>
      <c r="L883" s="2" t="s">
        <v>93</v>
      </c>
      <c r="M883" s="2" t="s">
        <v>920</v>
      </c>
      <c r="N883" s="2" t="s">
        <v>30</v>
      </c>
      <c r="O883" s="2" t="s">
        <v>56</v>
      </c>
      <c r="P883" s="2" t="s">
        <v>921</v>
      </c>
      <c r="Q883" s="2">
        <v>332.02800000000002</v>
      </c>
      <c r="R883" s="2">
        <v>9</v>
      </c>
      <c r="S883" s="2">
        <v>-348.62939999999998</v>
      </c>
      <c r="T883" s="2" t="s">
        <v>58</v>
      </c>
      <c r="U883" s="2" t="s">
        <v>71</v>
      </c>
    </row>
    <row r="884" spans="1:21" ht="14.25" customHeight="1" x14ac:dyDescent="0.3">
      <c r="A884" s="2" t="s">
        <v>2753</v>
      </c>
      <c r="B884" s="5">
        <v>43067</v>
      </c>
      <c r="C884" s="2" t="str">
        <f>TEXT(data[[#This Row],[Order Date]],"YYYY")</f>
        <v>2017</v>
      </c>
      <c r="D884" s="2">
        <v>43073</v>
      </c>
      <c r="E884" s="2" t="s">
        <v>39</v>
      </c>
      <c r="F884" s="2" t="s">
        <v>215</v>
      </c>
      <c r="G884" s="2" t="s">
        <v>216</v>
      </c>
      <c r="H884" s="2" t="s">
        <v>100</v>
      </c>
      <c r="I884" s="2" t="s">
        <v>25</v>
      </c>
      <c r="J884" s="2" t="s">
        <v>2754</v>
      </c>
      <c r="K884" s="2" t="s">
        <v>1089</v>
      </c>
      <c r="L884" s="2" t="s">
        <v>67</v>
      </c>
      <c r="M884" s="2" t="s">
        <v>313</v>
      </c>
      <c r="N884" s="2" t="s">
        <v>30</v>
      </c>
      <c r="O884" s="2" t="s">
        <v>56</v>
      </c>
      <c r="P884" s="2" t="s">
        <v>314</v>
      </c>
      <c r="Q884" s="2">
        <v>1049.2</v>
      </c>
      <c r="R884" s="2">
        <v>5</v>
      </c>
      <c r="S884" s="2">
        <v>272.79199999999997</v>
      </c>
      <c r="T884" s="2" t="s">
        <v>129</v>
      </c>
      <c r="U884" s="2" t="s">
        <v>34</v>
      </c>
    </row>
    <row r="885" spans="1:21" ht="14.25" customHeight="1" x14ac:dyDescent="0.3">
      <c r="A885" s="2" t="s">
        <v>2753</v>
      </c>
      <c r="B885" s="5">
        <v>43067</v>
      </c>
      <c r="C885" s="2" t="str">
        <f>TEXT(data[[#This Row],[Order Date]],"YYYY")</f>
        <v>2017</v>
      </c>
      <c r="D885" s="2">
        <v>43073</v>
      </c>
      <c r="E885" s="2" t="s">
        <v>39</v>
      </c>
      <c r="F885" s="2" t="s">
        <v>215</v>
      </c>
      <c r="G885" s="2" t="s">
        <v>216</v>
      </c>
      <c r="H885" s="2" t="s">
        <v>100</v>
      </c>
      <c r="I885" s="2" t="s">
        <v>25</v>
      </c>
      <c r="J885" s="2" t="s">
        <v>2754</v>
      </c>
      <c r="K885" s="2" t="s">
        <v>1089</v>
      </c>
      <c r="L885" s="2" t="s">
        <v>67</v>
      </c>
      <c r="M885" s="2" t="s">
        <v>1311</v>
      </c>
      <c r="N885" s="2" t="s">
        <v>30</v>
      </c>
      <c r="O885" s="2" t="s">
        <v>56</v>
      </c>
      <c r="P885" s="2" t="s">
        <v>1312</v>
      </c>
      <c r="Q885" s="2">
        <v>20.9</v>
      </c>
      <c r="R885" s="2">
        <v>5</v>
      </c>
      <c r="S885" s="2">
        <v>7.524</v>
      </c>
      <c r="T885" s="2" t="s">
        <v>129</v>
      </c>
      <c r="U885" s="2" t="s">
        <v>34</v>
      </c>
    </row>
    <row r="886" spans="1:21" ht="14.25" customHeight="1" x14ac:dyDescent="0.3">
      <c r="A886" s="2" t="s">
        <v>2755</v>
      </c>
      <c r="B886" s="5">
        <v>42705</v>
      </c>
      <c r="C886" s="2" t="str">
        <f>TEXT(data[[#This Row],[Order Date]],"YYYY")</f>
        <v>2016</v>
      </c>
      <c r="D886" s="2">
        <v>42709</v>
      </c>
      <c r="E886" s="2" t="s">
        <v>21</v>
      </c>
      <c r="F886" s="2" t="s">
        <v>2756</v>
      </c>
      <c r="G886" s="2" t="s">
        <v>2757</v>
      </c>
      <c r="H886" s="2" t="s">
        <v>24</v>
      </c>
      <c r="I886" s="2" t="s">
        <v>25</v>
      </c>
      <c r="J886" s="2" t="s">
        <v>1580</v>
      </c>
      <c r="K886" s="2" t="s">
        <v>429</v>
      </c>
      <c r="L886" s="2" t="s">
        <v>67</v>
      </c>
      <c r="M886" s="2" t="s">
        <v>625</v>
      </c>
      <c r="N886" s="2" t="s">
        <v>30</v>
      </c>
      <c r="O886" s="2" t="s">
        <v>36</v>
      </c>
      <c r="P886" s="2" t="s">
        <v>626</v>
      </c>
      <c r="Q886" s="2">
        <v>751.92</v>
      </c>
      <c r="R886" s="2">
        <v>4</v>
      </c>
      <c r="S886" s="2">
        <v>150.38399999999999</v>
      </c>
      <c r="T886" s="2" t="s">
        <v>83</v>
      </c>
      <c r="U886" s="2" t="s">
        <v>96</v>
      </c>
    </row>
    <row r="887" spans="1:21" ht="14.25" customHeight="1" x14ac:dyDescent="0.3">
      <c r="A887" s="2" t="s">
        <v>2758</v>
      </c>
      <c r="B887" s="5">
        <v>41901</v>
      </c>
      <c r="C887" s="2" t="str">
        <f>TEXT(data[[#This Row],[Order Date]],"YYYY")</f>
        <v>2014</v>
      </c>
      <c r="D887" s="2">
        <v>41901</v>
      </c>
      <c r="E887" s="2" t="s">
        <v>425</v>
      </c>
      <c r="F887" s="2" t="s">
        <v>2759</v>
      </c>
      <c r="G887" s="2" t="s">
        <v>2760</v>
      </c>
      <c r="H887" s="2" t="s">
        <v>90</v>
      </c>
      <c r="I887" s="2" t="s">
        <v>25</v>
      </c>
      <c r="J887" s="2" t="s">
        <v>173</v>
      </c>
      <c r="K887" s="2" t="s">
        <v>120</v>
      </c>
      <c r="L887" s="2" t="s">
        <v>67</v>
      </c>
      <c r="M887" s="2" t="s">
        <v>1532</v>
      </c>
      <c r="N887" s="2" t="s">
        <v>30</v>
      </c>
      <c r="O887" s="2" t="s">
        <v>36</v>
      </c>
      <c r="P887" s="2" t="s">
        <v>1533</v>
      </c>
      <c r="Q887" s="2">
        <v>887.10299999999995</v>
      </c>
      <c r="R887" s="2">
        <v>7</v>
      </c>
      <c r="S887" s="2">
        <v>177.42060000000001</v>
      </c>
      <c r="T887" s="2" t="s">
        <v>430</v>
      </c>
      <c r="U887" s="2" t="s">
        <v>77</v>
      </c>
    </row>
    <row r="888" spans="1:21" ht="14.25" customHeight="1" x14ac:dyDescent="0.3">
      <c r="A888" s="2" t="s">
        <v>2761</v>
      </c>
      <c r="B888" s="5">
        <v>43021</v>
      </c>
      <c r="C888" s="2" t="str">
        <f>TEXT(data[[#This Row],[Order Date]],"YYYY")</f>
        <v>2017</v>
      </c>
      <c r="D888" s="2">
        <v>43024</v>
      </c>
      <c r="E888" s="2" t="s">
        <v>87</v>
      </c>
      <c r="F888" s="2" t="s">
        <v>1428</v>
      </c>
      <c r="G888" s="2" t="s">
        <v>1429</v>
      </c>
      <c r="H888" s="2" t="s">
        <v>24</v>
      </c>
      <c r="I888" s="2" t="s">
        <v>25</v>
      </c>
      <c r="J888" s="2" t="s">
        <v>2728</v>
      </c>
      <c r="K888" s="2" t="s">
        <v>134</v>
      </c>
      <c r="L888" s="2" t="s">
        <v>93</v>
      </c>
      <c r="M888" s="2" t="s">
        <v>895</v>
      </c>
      <c r="N888" s="2" t="s">
        <v>30</v>
      </c>
      <c r="O888" s="2" t="s">
        <v>56</v>
      </c>
      <c r="P888" s="2" t="s">
        <v>896</v>
      </c>
      <c r="Q888" s="2">
        <v>10.476000000000001</v>
      </c>
      <c r="R888" s="2">
        <v>3</v>
      </c>
      <c r="S888" s="2">
        <v>-6.8094000000000001</v>
      </c>
      <c r="T888" s="2" t="s">
        <v>33</v>
      </c>
      <c r="U888" s="2" t="s">
        <v>48</v>
      </c>
    </row>
    <row r="889" spans="1:21" ht="14.25" customHeight="1" x14ac:dyDescent="0.3">
      <c r="A889" s="2" t="s">
        <v>2762</v>
      </c>
      <c r="B889" s="5">
        <v>42443</v>
      </c>
      <c r="C889" s="2" t="str">
        <f>TEXT(data[[#This Row],[Order Date]],"YYYY")</f>
        <v>2016</v>
      </c>
      <c r="D889" s="2">
        <v>42445</v>
      </c>
      <c r="E889" s="2" t="s">
        <v>87</v>
      </c>
      <c r="F889" s="2" t="s">
        <v>2625</v>
      </c>
      <c r="G889" s="2" t="s">
        <v>2626</v>
      </c>
      <c r="H889" s="2" t="s">
        <v>90</v>
      </c>
      <c r="I889" s="2" t="s">
        <v>25</v>
      </c>
      <c r="J889" s="2" t="s">
        <v>191</v>
      </c>
      <c r="K889" s="2" t="s">
        <v>192</v>
      </c>
      <c r="L889" s="2" t="s">
        <v>54</v>
      </c>
      <c r="M889" s="2" t="s">
        <v>1028</v>
      </c>
      <c r="N889" s="2" t="s">
        <v>30</v>
      </c>
      <c r="O889" s="2" t="s">
        <v>36</v>
      </c>
      <c r="P889" s="2" t="s">
        <v>1029</v>
      </c>
      <c r="Q889" s="2">
        <v>196.78399999999999</v>
      </c>
      <c r="R889" s="2">
        <v>2</v>
      </c>
      <c r="S889" s="2">
        <v>-22.138200000000001</v>
      </c>
      <c r="T889" s="2" t="s">
        <v>70</v>
      </c>
      <c r="U889" s="2" t="s">
        <v>195</v>
      </c>
    </row>
    <row r="890" spans="1:21" ht="14.25" customHeight="1" x14ac:dyDescent="0.3">
      <c r="A890" s="2" t="s">
        <v>2763</v>
      </c>
      <c r="B890" s="5">
        <v>42679</v>
      </c>
      <c r="C890" s="2" t="str">
        <f>TEXT(data[[#This Row],[Order Date]],"YYYY")</f>
        <v>2016</v>
      </c>
      <c r="D890" s="2">
        <v>42683</v>
      </c>
      <c r="E890" s="2" t="s">
        <v>39</v>
      </c>
      <c r="F890" s="2" t="s">
        <v>2063</v>
      </c>
      <c r="G890" s="2" t="s">
        <v>2064</v>
      </c>
      <c r="H890" s="2" t="s">
        <v>24</v>
      </c>
      <c r="I890" s="2" t="s">
        <v>25</v>
      </c>
      <c r="J890" s="2" t="s">
        <v>101</v>
      </c>
      <c r="K890" s="2" t="s">
        <v>92</v>
      </c>
      <c r="L890" s="2" t="s">
        <v>93</v>
      </c>
      <c r="M890" s="2" t="s">
        <v>731</v>
      </c>
      <c r="N890" s="2" t="s">
        <v>30</v>
      </c>
      <c r="O890" s="2" t="s">
        <v>45</v>
      </c>
      <c r="P890" s="2" t="s">
        <v>732</v>
      </c>
      <c r="Q890" s="2">
        <v>863.12800000000004</v>
      </c>
      <c r="R890" s="2">
        <v>8</v>
      </c>
      <c r="S890" s="2">
        <v>-160.29519999999999</v>
      </c>
      <c r="T890" s="2" t="s">
        <v>83</v>
      </c>
      <c r="U890" s="2" t="s">
        <v>34</v>
      </c>
    </row>
    <row r="891" spans="1:21" ht="14.25" customHeight="1" x14ac:dyDescent="0.3">
      <c r="A891" s="2" t="s">
        <v>2763</v>
      </c>
      <c r="B891" s="5">
        <v>42679</v>
      </c>
      <c r="C891" s="2" t="str">
        <f>TEXT(data[[#This Row],[Order Date]],"YYYY")</f>
        <v>2016</v>
      </c>
      <c r="D891" s="2">
        <v>42683</v>
      </c>
      <c r="E891" s="2" t="s">
        <v>39</v>
      </c>
      <c r="F891" s="2" t="s">
        <v>2063</v>
      </c>
      <c r="G891" s="2" t="s">
        <v>2064</v>
      </c>
      <c r="H891" s="2" t="s">
        <v>24</v>
      </c>
      <c r="I891" s="2" t="s">
        <v>25</v>
      </c>
      <c r="J891" s="2" t="s">
        <v>101</v>
      </c>
      <c r="K891" s="2" t="s">
        <v>92</v>
      </c>
      <c r="L891" s="2" t="s">
        <v>93</v>
      </c>
      <c r="M891" s="2" t="s">
        <v>1869</v>
      </c>
      <c r="N891" s="2" t="s">
        <v>30</v>
      </c>
      <c r="O891" s="2" t="s">
        <v>31</v>
      </c>
      <c r="P891" s="2" t="s">
        <v>1870</v>
      </c>
      <c r="Q891" s="2">
        <v>956.66480000000001</v>
      </c>
      <c r="R891" s="2">
        <v>7</v>
      </c>
      <c r="S891" s="2">
        <v>-225.0976</v>
      </c>
      <c r="T891" s="2" t="s">
        <v>83</v>
      </c>
      <c r="U891" s="2" t="s">
        <v>34</v>
      </c>
    </row>
    <row r="892" spans="1:21" ht="14.25" customHeight="1" x14ac:dyDescent="0.3">
      <c r="A892" s="2" t="s">
        <v>2764</v>
      </c>
      <c r="B892" s="5">
        <v>42911</v>
      </c>
      <c r="C892" s="2" t="str">
        <f>TEXT(data[[#This Row],[Order Date]],"YYYY")</f>
        <v>2017</v>
      </c>
      <c r="D892" s="2">
        <v>42915</v>
      </c>
      <c r="E892" s="2" t="s">
        <v>21</v>
      </c>
      <c r="F892" s="2" t="s">
        <v>1639</v>
      </c>
      <c r="G892" s="2" t="s">
        <v>1640</v>
      </c>
      <c r="H892" s="2" t="s">
        <v>24</v>
      </c>
      <c r="I892" s="2" t="s">
        <v>25</v>
      </c>
      <c r="J892" s="2" t="s">
        <v>191</v>
      </c>
      <c r="K892" s="2" t="s">
        <v>192</v>
      </c>
      <c r="L892" s="2" t="s">
        <v>54</v>
      </c>
      <c r="M892" s="2" t="s">
        <v>699</v>
      </c>
      <c r="N892" s="2" t="s">
        <v>30</v>
      </c>
      <c r="O892" s="2" t="s">
        <v>45</v>
      </c>
      <c r="P892" s="2" t="s">
        <v>700</v>
      </c>
      <c r="Q892" s="2">
        <v>871.4</v>
      </c>
      <c r="R892" s="2">
        <v>4</v>
      </c>
      <c r="S892" s="2">
        <v>148.13800000000001</v>
      </c>
      <c r="T892" s="2" t="s">
        <v>83</v>
      </c>
      <c r="U892" s="2" t="s">
        <v>59</v>
      </c>
    </row>
    <row r="893" spans="1:21" ht="14.25" customHeight="1" x14ac:dyDescent="0.3">
      <c r="A893" s="2" t="s">
        <v>2765</v>
      </c>
      <c r="B893" s="5">
        <v>42334</v>
      </c>
      <c r="C893" s="2" t="str">
        <f>TEXT(data[[#This Row],[Order Date]],"YYYY")</f>
        <v>2015</v>
      </c>
      <c r="D893" s="2">
        <v>42338</v>
      </c>
      <c r="E893" s="2" t="s">
        <v>39</v>
      </c>
      <c r="F893" s="2" t="s">
        <v>2766</v>
      </c>
      <c r="G893" s="2" t="s">
        <v>2767</v>
      </c>
      <c r="H893" s="2" t="s">
        <v>90</v>
      </c>
      <c r="I893" s="2" t="s">
        <v>25</v>
      </c>
      <c r="J893" s="2" t="s">
        <v>477</v>
      </c>
      <c r="K893" s="2" t="s">
        <v>141</v>
      </c>
      <c r="L893" s="2" t="s">
        <v>28</v>
      </c>
      <c r="M893" s="2" t="s">
        <v>2747</v>
      </c>
      <c r="N893" s="2" t="s">
        <v>30</v>
      </c>
      <c r="O893" s="2" t="s">
        <v>56</v>
      </c>
      <c r="P893" s="2" t="s">
        <v>2748</v>
      </c>
      <c r="Q893" s="2">
        <v>692.47199999999998</v>
      </c>
      <c r="R893" s="2">
        <v>11</v>
      </c>
      <c r="S893" s="2">
        <v>190.4298</v>
      </c>
      <c r="T893" s="2" t="s">
        <v>83</v>
      </c>
      <c r="U893" s="2" t="s">
        <v>34</v>
      </c>
    </row>
    <row r="894" spans="1:21" ht="14.25" customHeight="1" x14ac:dyDescent="0.3">
      <c r="A894" s="2" t="s">
        <v>2768</v>
      </c>
      <c r="B894" s="5">
        <v>42698</v>
      </c>
      <c r="C894" s="2" t="str">
        <f>TEXT(data[[#This Row],[Order Date]],"YYYY")</f>
        <v>2016</v>
      </c>
      <c r="D894" s="2">
        <v>42701</v>
      </c>
      <c r="E894" s="2" t="s">
        <v>21</v>
      </c>
      <c r="F894" s="2" t="s">
        <v>984</v>
      </c>
      <c r="G894" s="2" t="s">
        <v>985</v>
      </c>
      <c r="H894" s="2" t="s">
        <v>90</v>
      </c>
      <c r="I894" s="2" t="s">
        <v>25</v>
      </c>
      <c r="J894" s="2" t="s">
        <v>2754</v>
      </c>
      <c r="K894" s="2" t="s">
        <v>1089</v>
      </c>
      <c r="L894" s="2" t="s">
        <v>67</v>
      </c>
      <c r="M894" s="2" t="s">
        <v>879</v>
      </c>
      <c r="N894" s="2" t="s">
        <v>30</v>
      </c>
      <c r="O894" s="2" t="s">
        <v>56</v>
      </c>
      <c r="P894" s="2" t="s">
        <v>880</v>
      </c>
      <c r="Q894" s="2">
        <v>207.76</v>
      </c>
      <c r="R894" s="2">
        <v>4</v>
      </c>
      <c r="S894" s="2">
        <v>85.181600000000003</v>
      </c>
      <c r="T894" s="2" t="s">
        <v>33</v>
      </c>
      <c r="U894" s="2" t="s">
        <v>34</v>
      </c>
    </row>
    <row r="895" spans="1:21" ht="14.25" customHeight="1" x14ac:dyDescent="0.3">
      <c r="A895" s="2" t="s">
        <v>2769</v>
      </c>
      <c r="B895" s="5">
        <v>42476</v>
      </c>
      <c r="C895" s="2" t="str">
        <f>TEXT(data[[#This Row],[Order Date]],"YYYY")</f>
        <v>2016</v>
      </c>
      <c r="D895" s="2">
        <v>42480</v>
      </c>
      <c r="E895" s="2" t="s">
        <v>39</v>
      </c>
      <c r="F895" s="2" t="s">
        <v>2759</v>
      </c>
      <c r="G895" s="2" t="s">
        <v>2760</v>
      </c>
      <c r="H895" s="2" t="s">
        <v>90</v>
      </c>
      <c r="I895" s="2" t="s">
        <v>25</v>
      </c>
      <c r="J895" s="2" t="s">
        <v>2060</v>
      </c>
      <c r="K895" s="2" t="s">
        <v>362</v>
      </c>
      <c r="L895" s="2" t="s">
        <v>67</v>
      </c>
      <c r="M895" s="2" t="s">
        <v>2237</v>
      </c>
      <c r="N895" s="2" t="s">
        <v>30</v>
      </c>
      <c r="O895" s="2" t="s">
        <v>56</v>
      </c>
      <c r="P895" s="2" t="s">
        <v>2238</v>
      </c>
      <c r="Q895" s="2">
        <v>9.9600000000000009</v>
      </c>
      <c r="R895" s="2">
        <v>2</v>
      </c>
      <c r="S895" s="2">
        <v>3.2867999999999999</v>
      </c>
      <c r="T895" s="2" t="s">
        <v>83</v>
      </c>
      <c r="U895" s="2" t="s">
        <v>113</v>
      </c>
    </row>
    <row r="896" spans="1:21" ht="14.25" customHeight="1" x14ac:dyDescent="0.3">
      <c r="A896" s="2" t="s">
        <v>2770</v>
      </c>
      <c r="B896" s="5">
        <v>41957</v>
      </c>
      <c r="C896" s="2" t="str">
        <f>TEXT(data[[#This Row],[Order Date]],"YYYY")</f>
        <v>2014</v>
      </c>
      <c r="D896" s="2">
        <v>41961</v>
      </c>
      <c r="E896" s="2" t="s">
        <v>39</v>
      </c>
      <c r="F896" s="2" t="s">
        <v>2771</v>
      </c>
      <c r="G896" s="2" t="s">
        <v>2772</v>
      </c>
      <c r="H896" s="2" t="s">
        <v>100</v>
      </c>
      <c r="I896" s="2" t="s">
        <v>25</v>
      </c>
      <c r="J896" s="2" t="s">
        <v>173</v>
      </c>
      <c r="K896" s="2" t="s">
        <v>120</v>
      </c>
      <c r="L896" s="2" t="s">
        <v>67</v>
      </c>
      <c r="M896" s="2" t="s">
        <v>2218</v>
      </c>
      <c r="N896" s="2" t="s">
        <v>30</v>
      </c>
      <c r="O896" s="2" t="s">
        <v>36</v>
      </c>
      <c r="P896" s="2" t="s">
        <v>2219</v>
      </c>
      <c r="Q896" s="2">
        <v>69.263999999999996</v>
      </c>
      <c r="R896" s="2">
        <v>2</v>
      </c>
      <c r="S896" s="2">
        <v>14.622400000000001</v>
      </c>
      <c r="T896" s="2" t="s">
        <v>83</v>
      </c>
      <c r="U896" s="2" t="s">
        <v>34</v>
      </c>
    </row>
    <row r="897" spans="1:21" ht="14.25" customHeight="1" x14ac:dyDescent="0.3">
      <c r="A897" s="2" t="s">
        <v>2773</v>
      </c>
      <c r="B897" s="5">
        <v>42329</v>
      </c>
      <c r="C897" s="2" t="str">
        <f>TEXT(data[[#This Row],[Order Date]],"YYYY")</f>
        <v>2015</v>
      </c>
      <c r="D897" s="2">
        <v>42334</v>
      </c>
      <c r="E897" s="2" t="s">
        <v>21</v>
      </c>
      <c r="F897" s="2" t="s">
        <v>2774</v>
      </c>
      <c r="G897" s="2" t="s">
        <v>2775</v>
      </c>
      <c r="H897" s="2" t="s">
        <v>90</v>
      </c>
      <c r="I897" s="2" t="s">
        <v>25</v>
      </c>
      <c r="J897" s="2" t="s">
        <v>2776</v>
      </c>
      <c r="K897" s="2" t="s">
        <v>92</v>
      </c>
      <c r="L897" s="2" t="s">
        <v>93</v>
      </c>
      <c r="M897" s="2" t="s">
        <v>1446</v>
      </c>
      <c r="N897" s="2" t="s">
        <v>30</v>
      </c>
      <c r="O897" s="2" t="s">
        <v>31</v>
      </c>
      <c r="P897" s="2" t="s">
        <v>1447</v>
      </c>
      <c r="Q897" s="2">
        <v>246.1328</v>
      </c>
      <c r="R897" s="2">
        <v>2</v>
      </c>
      <c r="S897" s="2">
        <v>-76.011600000000001</v>
      </c>
      <c r="T897" s="2" t="s">
        <v>58</v>
      </c>
      <c r="U897" s="2" t="s">
        <v>34</v>
      </c>
    </row>
    <row r="898" spans="1:21" ht="14.25" customHeight="1" x14ac:dyDescent="0.3">
      <c r="A898" s="2" t="s">
        <v>2777</v>
      </c>
      <c r="B898" s="5">
        <v>43078</v>
      </c>
      <c r="C898" s="2" t="str">
        <f>TEXT(data[[#This Row],[Order Date]],"YYYY")</f>
        <v>2017</v>
      </c>
      <c r="D898" s="2">
        <v>43082</v>
      </c>
      <c r="E898" s="2" t="s">
        <v>21</v>
      </c>
      <c r="F898" s="2" t="s">
        <v>1323</v>
      </c>
      <c r="G898" s="2" t="s">
        <v>1324</v>
      </c>
      <c r="H898" s="2" t="s">
        <v>100</v>
      </c>
      <c r="I898" s="2" t="s">
        <v>25</v>
      </c>
      <c r="J898" s="2" t="s">
        <v>52</v>
      </c>
      <c r="K898" s="2" t="s">
        <v>53</v>
      </c>
      <c r="L898" s="2" t="s">
        <v>54</v>
      </c>
      <c r="M898" s="2" t="s">
        <v>290</v>
      </c>
      <c r="N898" s="2" t="s">
        <v>30</v>
      </c>
      <c r="O898" s="2" t="s">
        <v>45</v>
      </c>
      <c r="P898" s="2" t="s">
        <v>291</v>
      </c>
      <c r="Q898" s="2">
        <v>896.32799999999997</v>
      </c>
      <c r="R898" s="2">
        <v>9</v>
      </c>
      <c r="S898" s="2">
        <v>22.408200000000001</v>
      </c>
      <c r="T898" s="2" t="s">
        <v>83</v>
      </c>
      <c r="U898" s="2" t="s">
        <v>96</v>
      </c>
    </row>
    <row r="899" spans="1:21" ht="14.25" customHeight="1" x14ac:dyDescent="0.3">
      <c r="A899" s="2" t="s">
        <v>2778</v>
      </c>
      <c r="B899" s="5">
        <v>43030</v>
      </c>
      <c r="C899" s="2" t="str">
        <f>TEXT(data[[#This Row],[Order Date]],"YYYY")</f>
        <v>2017</v>
      </c>
      <c r="D899" s="2">
        <v>43035</v>
      </c>
      <c r="E899" s="2" t="s">
        <v>39</v>
      </c>
      <c r="F899" s="2" t="s">
        <v>2356</v>
      </c>
      <c r="G899" s="2" t="s">
        <v>2357</v>
      </c>
      <c r="H899" s="2" t="s">
        <v>90</v>
      </c>
      <c r="I899" s="2" t="s">
        <v>25</v>
      </c>
      <c r="J899" s="2" t="s">
        <v>1516</v>
      </c>
      <c r="K899" s="2" t="s">
        <v>1517</v>
      </c>
      <c r="L899" s="2" t="s">
        <v>54</v>
      </c>
      <c r="M899" s="2" t="s">
        <v>317</v>
      </c>
      <c r="N899" s="2" t="s">
        <v>30</v>
      </c>
      <c r="O899" s="2" t="s">
        <v>45</v>
      </c>
      <c r="P899" s="2" t="s">
        <v>318</v>
      </c>
      <c r="Q899" s="2">
        <v>177.22499999999999</v>
      </c>
      <c r="R899" s="2">
        <v>5</v>
      </c>
      <c r="S899" s="2">
        <v>-120.51300000000001</v>
      </c>
      <c r="T899" s="2" t="s">
        <v>58</v>
      </c>
      <c r="U899" s="2" t="s">
        <v>48</v>
      </c>
    </row>
    <row r="900" spans="1:21" ht="14.25" customHeight="1" x14ac:dyDescent="0.3">
      <c r="A900" s="2" t="s">
        <v>2779</v>
      </c>
      <c r="B900" s="5">
        <v>42919</v>
      </c>
      <c r="C900" s="2" t="str">
        <f>TEXT(data[[#This Row],[Order Date]],"YYYY")</f>
        <v>2017</v>
      </c>
      <c r="D900" s="2">
        <v>42926</v>
      </c>
      <c r="E900" s="2" t="s">
        <v>39</v>
      </c>
      <c r="F900" s="2" t="s">
        <v>1300</v>
      </c>
      <c r="G900" s="2" t="s">
        <v>1301</v>
      </c>
      <c r="H900" s="2" t="s">
        <v>24</v>
      </c>
      <c r="I900" s="2" t="s">
        <v>25</v>
      </c>
      <c r="J900" s="2" t="s">
        <v>2780</v>
      </c>
      <c r="K900" s="2" t="s">
        <v>53</v>
      </c>
      <c r="L900" s="2" t="s">
        <v>54</v>
      </c>
      <c r="M900" s="2" t="s">
        <v>2690</v>
      </c>
      <c r="N900" s="2" t="s">
        <v>30</v>
      </c>
      <c r="O900" s="2" t="s">
        <v>56</v>
      </c>
      <c r="P900" s="2" t="s">
        <v>2691</v>
      </c>
      <c r="Q900" s="2">
        <v>129.38999999999999</v>
      </c>
      <c r="R900" s="2">
        <v>3</v>
      </c>
      <c r="S900" s="2">
        <v>54.343800000000002</v>
      </c>
      <c r="T900" s="2" t="s">
        <v>47</v>
      </c>
      <c r="U900" s="2" t="s">
        <v>71</v>
      </c>
    </row>
    <row r="901" spans="1:21" ht="14.25" customHeight="1" x14ac:dyDescent="0.3">
      <c r="A901" s="2" t="s">
        <v>2781</v>
      </c>
      <c r="B901" s="5">
        <v>42970</v>
      </c>
      <c r="C901" s="2" t="str">
        <f>TEXT(data[[#This Row],[Order Date]],"YYYY")</f>
        <v>2017</v>
      </c>
      <c r="D901" s="2">
        <v>42973</v>
      </c>
      <c r="E901" s="2" t="s">
        <v>21</v>
      </c>
      <c r="F901" s="2" t="s">
        <v>403</v>
      </c>
      <c r="G901" s="2" t="s">
        <v>404</v>
      </c>
      <c r="H901" s="2" t="s">
        <v>24</v>
      </c>
      <c r="I901" s="2" t="s">
        <v>25</v>
      </c>
      <c r="J901" s="2" t="s">
        <v>2340</v>
      </c>
      <c r="K901" s="2" t="s">
        <v>43</v>
      </c>
      <c r="L901" s="2" t="s">
        <v>28</v>
      </c>
      <c r="M901" s="2" t="s">
        <v>1071</v>
      </c>
      <c r="N901" s="2" t="s">
        <v>30</v>
      </c>
      <c r="O901" s="2" t="s">
        <v>56</v>
      </c>
      <c r="P901" s="2" t="s">
        <v>1072</v>
      </c>
      <c r="Q901" s="2">
        <v>2.7839999999999998</v>
      </c>
      <c r="R901" s="2">
        <v>2</v>
      </c>
      <c r="S901" s="2">
        <v>0.41760000000000003</v>
      </c>
      <c r="T901" s="2" t="s">
        <v>33</v>
      </c>
      <c r="U901" s="2" t="s">
        <v>253</v>
      </c>
    </row>
    <row r="902" spans="1:21" ht="14.25" customHeight="1" x14ac:dyDescent="0.3">
      <c r="A902" s="2" t="s">
        <v>2782</v>
      </c>
      <c r="B902" s="5">
        <v>41938</v>
      </c>
      <c r="C902" s="2" t="str">
        <f>TEXT(data[[#This Row],[Order Date]],"YYYY")</f>
        <v>2014</v>
      </c>
      <c r="D902" s="2">
        <v>41942</v>
      </c>
      <c r="E902" s="2" t="s">
        <v>21</v>
      </c>
      <c r="F902" s="2" t="s">
        <v>2783</v>
      </c>
      <c r="G902" s="2" t="s">
        <v>2784</v>
      </c>
      <c r="H902" s="2" t="s">
        <v>24</v>
      </c>
      <c r="I902" s="2" t="s">
        <v>25</v>
      </c>
      <c r="J902" s="2" t="s">
        <v>191</v>
      </c>
      <c r="K902" s="2" t="s">
        <v>192</v>
      </c>
      <c r="L902" s="2" t="s">
        <v>54</v>
      </c>
      <c r="M902" s="2" t="s">
        <v>585</v>
      </c>
      <c r="N902" s="2" t="s">
        <v>30</v>
      </c>
      <c r="O902" s="2" t="s">
        <v>56</v>
      </c>
      <c r="P902" s="2" t="s">
        <v>586</v>
      </c>
      <c r="Q902" s="2">
        <v>63.92</v>
      </c>
      <c r="R902" s="2">
        <v>4</v>
      </c>
      <c r="S902" s="2">
        <v>3.1960000000000002</v>
      </c>
      <c r="T902" s="2" t="s">
        <v>83</v>
      </c>
      <c r="U902" s="2" t="s">
        <v>48</v>
      </c>
    </row>
    <row r="903" spans="1:21" ht="14.25" customHeight="1" x14ac:dyDescent="0.3">
      <c r="A903" s="2" t="s">
        <v>2785</v>
      </c>
      <c r="B903" s="5">
        <v>41947</v>
      </c>
      <c r="C903" s="2" t="str">
        <f>TEXT(data[[#This Row],[Order Date]],"YYYY")</f>
        <v>2014</v>
      </c>
      <c r="D903" s="2">
        <v>41954</v>
      </c>
      <c r="E903" s="2" t="s">
        <v>39</v>
      </c>
      <c r="F903" s="2" t="s">
        <v>1730</v>
      </c>
      <c r="G903" s="2" t="s">
        <v>1731</v>
      </c>
      <c r="H903" s="2" t="s">
        <v>24</v>
      </c>
      <c r="I903" s="2" t="s">
        <v>25</v>
      </c>
      <c r="J903" s="2" t="s">
        <v>52</v>
      </c>
      <c r="K903" s="2" t="s">
        <v>53</v>
      </c>
      <c r="L903" s="2" t="s">
        <v>54</v>
      </c>
      <c r="M903" s="2" t="s">
        <v>454</v>
      </c>
      <c r="N903" s="2" t="s">
        <v>30</v>
      </c>
      <c r="O903" s="2" t="s">
        <v>45</v>
      </c>
      <c r="P903" s="2" t="s">
        <v>455</v>
      </c>
      <c r="Q903" s="2">
        <v>573.72799999999995</v>
      </c>
      <c r="R903" s="2">
        <v>4</v>
      </c>
      <c r="S903" s="2">
        <v>-64.544399999999996</v>
      </c>
      <c r="T903" s="2" t="s">
        <v>47</v>
      </c>
      <c r="U903" s="2" t="s">
        <v>34</v>
      </c>
    </row>
    <row r="904" spans="1:21" ht="14.25" customHeight="1" x14ac:dyDescent="0.3">
      <c r="A904" s="2" t="s">
        <v>2786</v>
      </c>
      <c r="B904" s="5">
        <v>43076</v>
      </c>
      <c r="C904" s="2" t="str">
        <f>TEXT(data[[#This Row],[Order Date]],"YYYY")</f>
        <v>2017</v>
      </c>
      <c r="D904" s="2">
        <v>43080</v>
      </c>
      <c r="E904" s="2" t="s">
        <v>39</v>
      </c>
      <c r="F904" s="2" t="s">
        <v>1444</v>
      </c>
      <c r="G904" s="2" t="s">
        <v>1445</v>
      </c>
      <c r="H904" s="2" t="s">
        <v>24</v>
      </c>
      <c r="I904" s="2" t="s">
        <v>25</v>
      </c>
      <c r="J904" s="2" t="s">
        <v>635</v>
      </c>
      <c r="K904" s="2" t="s">
        <v>716</v>
      </c>
      <c r="L904" s="2" t="s">
        <v>28</v>
      </c>
      <c r="M904" s="2" t="s">
        <v>2787</v>
      </c>
      <c r="N904" s="2" t="s">
        <v>30</v>
      </c>
      <c r="O904" s="2" t="s">
        <v>56</v>
      </c>
      <c r="P904" s="2" t="s">
        <v>2788</v>
      </c>
      <c r="Q904" s="2">
        <v>82.38</v>
      </c>
      <c r="R904" s="2">
        <v>6</v>
      </c>
      <c r="S904" s="2">
        <v>25.537800000000001</v>
      </c>
      <c r="T904" s="2" t="s">
        <v>83</v>
      </c>
      <c r="U904" s="2" t="s">
        <v>96</v>
      </c>
    </row>
    <row r="905" spans="1:21" ht="14.25" customHeight="1" x14ac:dyDescent="0.3">
      <c r="A905" s="2" t="s">
        <v>2789</v>
      </c>
      <c r="B905" s="5">
        <v>42358</v>
      </c>
      <c r="C905" s="2" t="str">
        <f>TEXT(data[[#This Row],[Order Date]],"YYYY")</f>
        <v>2015</v>
      </c>
      <c r="D905" s="2">
        <v>42362</v>
      </c>
      <c r="E905" s="2" t="s">
        <v>39</v>
      </c>
      <c r="F905" s="2" t="s">
        <v>2790</v>
      </c>
      <c r="G905" s="2" t="s">
        <v>2791</v>
      </c>
      <c r="H905" s="2" t="s">
        <v>24</v>
      </c>
      <c r="I905" s="2" t="s">
        <v>25</v>
      </c>
      <c r="J905" s="2" t="s">
        <v>2792</v>
      </c>
      <c r="K905" s="2" t="s">
        <v>520</v>
      </c>
      <c r="L905" s="2" t="s">
        <v>54</v>
      </c>
      <c r="M905" s="2" t="s">
        <v>1451</v>
      </c>
      <c r="N905" s="2" t="s">
        <v>30</v>
      </c>
      <c r="O905" s="2" t="s">
        <v>56</v>
      </c>
      <c r="P905" s="2" t="s">
        <v>1452</v>
      </c>
      <c r="Q905" s="2">
        <v>14.368</v>
      </c>
      <c r="R905" s="2">
        <v>2</v>
      </c>
      <c r="S905" s="2">
        <v>3.9512</v>
      </c>
      <c r="T905" s="2" t="s">
        <v>83</v>
      </c>
      <c r="U905" s="2" t="s">
        <v>96</v>
      </c>
    </row>
    <row r="906" spans="1:21" ht="14.25" customHeight="1" x14ac:dyDescent="0.3">
      <c r="A906" s="2" t="s">
        <v>2793</v>
      </c>
      <c r="B906" s="5">
        <v>42631</v>
      </c>
      <c r="C906" s="2" t="str">
        <f>TEXT(data[[#This Row],[Order Date]],"YYYY")</f>
        <v>2016</v>
      </c>
      <c r="D906" s="2">
        <v>42638</v>
      </c>
      <c r="E906" s="2" t="s">
        <v>39</v>
      </c>
      <c r="F906" s="2" t="s">
        <v>1684</v>
      </c>
      <c r="G906" s="2" t="s">
        <v>1685</v>
      </c>
      <c r="H906" s="2" t="s">
        <v>24</v>
      </c>
      <c r="I906" s="2" t="s">
        <v>25</v>
      </c>
      <c r="J906" s="2" t="s">
        <v>2794</v>
      </c>
      <c r="K906" s="2" t="s">
        <v>120</v>
      </c>
      <c r="L906" s="2" t="s">
        <v>67</v>
      </c>
      <c r="M906" s="2" t="s">
        <v>851</v>
      </c>
      <c r="N906" s="2" t="s">
        <v>30</v>
      </c>
      <c r="O906" s="2" t="s">
        <v>36</v>
      </c>
      <c r="P906" s="2" t="s">
        <v>852</v>
      </c>
      <c r="Q906" s="2">
        <v>631.78200000000004</v>
      </c>
      <c r="R906" s="2">
        <v>2</v>
      </c>
      <c r="S906" s="2">
        <v>140.39599999999999</v>
      </c>
      <c r="T906" s="2" t="s">
        <v>47</v>
      </c>
      <c r="U906" s="2" t="s">
        <v>77</v>
      </c>
    </row>
    <row r="907" spans="1:21" ht="14.25" customHeight="1" x14ac:dyDescent="0.3">
      <c r="A907" s="2" t="s">
        <v>2793</v>
      </c>
      <c r="B907" s="5">
        <v>42631</v>
      </c>
      <c r="C907" s="2" t="str">
        <f>TEXT(data[[#This Row],[Order Date]],"YYYY")</f>
        <v>2016</v>
      </c>
      <c r="D907" s="2">
        <v>42638</v>
      </c>
      <c r="E907" s="2" t="s">
        <v>39</v>
      </c>
      <c r="F907" s="2" t="s">
        <v>1684</v>
      </c>
      <c r="G907" s="2" t="s">
        <v>1685</v>
      </c>
      <c r="H907" s="2" t="s">
        <v>24</v>
      </c>
      <c r="I907" s="2" t="s">
        <v>25</v>
      </c>
      <c r="J907" s="2" t="s">
        <v>2794</v>
      </c>
      <c r="K907" s="2" t="s">
        <v>120</v>
      </c>
      <c r="L907" s="2" t="s">
        <v>67</v>
      </c>
      <c r="M907" s="2" t="s">
        <v>2795</v>
      </c>
      <c r="N907" s="2" t="s">
        <v>30</v>
      </c>
      <c r="O907" s="2" t="s">
        <v>56</v>
      </c>
      <c r="P907" s="2" t="s">
        <v>2796</v>
      </c>
      <c r="Q907" s="2">
        <v>60.72</v>
      </c>
      <c r="R907" s="2">
        <v>3</v>
      </c>
      <c r="S907" s="2">
        <v>26.1096</v>
      </c>
      <c r="T907" s="2" t="s">
        <v>47</v>
      </c>
      <c r="U907" s="2" t="s">
        <v>77</v>
      </c>
    </row>
    <row r="908" spans="1:21" ht="14.25" customHeight="1" x14ac:dyDescent="0.3">
      <c r="A908" s="2" t="s">
        <v>2797</v>
      </c>
      <c r="B908" s="5">
        <v>43080</v>
      </c>
      <c r="C908" s="2" t="str">
        <f>TEXT(data[[#This Row],[Order Date]],"YYYY")</f>
        <v>2017</v>
      </c>
      <c r="D908" s="2">
        <v>43080</v>
      </c>
      <c r="E908" s="2" t="s">
        <v>425</v>
      </c>
      <c r="F908" s="2" t="s">
        <v>2798</v>
      </c>
      <c r="G908" s="2" t="s">
        <v>2799</v>
      </c>
      <c r="H908" s="2" t="s">
        <v>24</v>
      </c>
      <c r="I908" s="2" t="s">
        <v>25</v>
      </c>
      <c r="J908" s="2" t="s">
        <v>179</v>
      </c>
      <c r="K908" s="2" t="s">
        <v>134</v>
      </c>
      <c r="L908" s="2" t="s">
        <v>93</v>
      </c>
      <c r="M908" s="2" t="s">
        <v>790</v>
      </c>
      <c r="N908" s="2" t="s">
        <v>30</v>
      </c>
      <c r="O908" s="2" t="s">
        <v>56</v>
      </c>
      <c r="P908" s="2" t="s">
        <v>791</v>
      </c>
      <c r="Q908" s="2">
        <v>77.72</v>
      </c>
      <c r="R908" s="2">
        <v>1</v>
      </c>
      <c r="S908" s="2">
        <v>-66.061999999999998</v>
      </c>
      <c r="T908" s="2" t="s">
        <v>430</v>
      </c>
      <c r="U908" s="2" t="s">
        <v>96</v>
      </c>
    </row>
    <row r="909" spans="1:21" ht="14.25" customHeight="1" x14ac:dyDescent="0.3">
      <c r="A909" s="2" t="s">
        <v>2797</v>
      </c>
      <c r="B909" s="5">
        <v>43080</v>
      </c>
      <c r="C909" s="2" t="str">
        <f>TEXT(data[[#This Row],[Order Date]],"YYYY")</f>
        <v>2017</v>
      </c>
      <c r="D909" s="2">
        <v>43080</v>
      </c>
      <c r="E909" s="2" t="s">
        <v>425</v>
      </c>
      <c r="F909" s="2" t="s">
        <v>2798</v>
      </c>
      <c r="G909" s="2" t="s">
        <v>2799</v>
      </c>
      <c r="H909" s="2" t="s">
        <v>24</v>
      </c>
      <c r="I909" s="2" t="s">
        <v>25</v>
      </c>
      <c r="J909" s="2" t="s">
        <v>179</v>
      </c>
      <c r="K909" s="2" t="s">
        <v>134</v>
      </c>
      <c r="L909" s="2" t="s">
        <v>93</v>
      </c>
      <c r="M909" s="2" t="s">
        <v>1095</v>
      </c>
      <c r="N909" s="2" t="s">
        <v>30</v>
      </c>
      <c r="O909" s="2" t="s">
        <v>36</v>
      </c>
      <c r="P909" s="2" t="s">
        <v>1096</v>
      </c>
      <c r="Q909" s="2">
        <v>520.46400000000006</v>
      </c>
      <c r="R909" s="2">
        <v>2</v>
      </c>
      <c r="S909" s="2">
        <v>-14.8704</v>
      </c>
      <c r="T909" s="2" t="s">
        <v>430</v>
      </c>
      <c r="U909" s="2" t="s">
        <v>96</v>
      </c>
    </row>
    <row r="910" spans="1:21" ht="14.25" customHeight="1" x14ac:dyDescent="0.3">
      <c r="A910" s="2" t="s">
        <v>2800</v>
      </c>
      <c r="B910" s="5">
        <v>41754</v>
      </c>
      <c r="C910" s="2" t="str">
        <f>TEXT(data[[#This Row],[Order Date]],"YYYY")</f>
        <v>2014</v>
      </c>
      <c r="D910" s="2">
        <v>41759</v>
      </c>
      <c r="E910" s="2" t="s">
        <v>39</v>
      </c>
      <c r="F910" s="2" t="s">
        <v>1266</v>
      </c>
      <c r="G910" s="2" t="s">
        <v>1267</v>
      </c>
      <c r="H910" s="2" t="s">
        <v>100</v>
      </c>
      <c r="I910" s="2" t="s">
        <v>25</v>
      </c>
      <c r="J910" s="2" t="s">
        <v>2801</v>
      </c>
      <c r="K910" s="2" t="s">
        <v>53</v>
      </c>
      <c r="L910" s="2" t="s">
        <v>54</v>
      </c>
      <c r="M910" s="2" t="s">
        <v>144</v>
      </c>
      <c r="N910" s="2" t="s">
        <v>30</v>
      </c>
      <c r="O910" s="2" t="s">
        <v>56</v>
      </c>
      <c r="P910" s="2" t="s">
        <v>145</v>
      </c>
      <c r="Q910" s="2">
        <v>303.25</v>
      </c>
      <c r="R910" s="2">
        <v>5</v>
      </c>
      <c r="S910" s="2">
        <v>63.682499999999997</v>
      </c>
      <c r="T910" s="2" t="s">
        <v>58</v>
      </c>
      <c r="U910" s="2" t="s">
        <v>113</v>
      </c>
    </row>
    <row r="911" spans="1:21" ht="14.25" customHeight="1" x14ac:dyDescent="0.3">
      <c r="A911" s="2" t="s">
        <v>2800</v>
      </c>
      <c r="B911" s="5">
        <v>41754</v>
      </c>
      <c r="C911" s="2" t="str">
        <f>TEXT(data[[#This Row],[Order Date]],"YYYY")</f>
        <v>2014</v>
      </c>
      <c r="D911" s="2">
        <v>41759</v>
      </c>
      <c r="E911" s="2" t="s">
        <v>39</v>
      </c>
      <c r="F911" s="2" t="s">
        <v>1266</v>
      </c>
      <c r="G911" s="2" t="s">
        <v>1267</v>
      </c>
      <c r="H911" s="2" t="s">
        <v>100</v>
      </c>
      <c r="I911" s="2" t="s">
        <v>25</v>
      </c>
      <c r="J911" s="2" t="s">
        <v>2801</v>
      </c>
      <c r="K911" s="2" t="s">
        <v>53</v>
      </c>
      <c r="L911" s="2" t="s">
        <v>54</v>
      </c>
      <c r="M911" s="2" t="s">
        <v>1095</v>
      </c>
      <c r="N911" s="2" t="s">
        <v>30</v>
      </c>
      <c r="O911" s="2" t="s">
        <v>36</v>
      </c>
      <c r="P911" s="2" t="s">
        <v>1096</v>
      </c>
      <c r="Q911" s="2">
        <v>1487.04</v>
      </c>
      <c r="R911" s="2">
        <v>5</v>
      </c>
      <c r="S911" s="2">
        <v>148.70400000000001</v>
      </c>
      <c r="T911" s="2" t="s">
        <v>58</v>
      </c>
      <c r="U911" s="2" t="s">
        <v>113</v>
      </c>
    </row>
    <row r="912" spans="1:21" ht="14.25" customHeight="1" x14ac:dyDescent="0.3">
      <c r="A912" s="2" t="s">
        <v>2802</v>
      </c>
      <c r="B912" s="5">
        <v>42302</v>
      </c>
      <c r="C912" s="2" t="str">
        <f>TEXT(data[[#This Row],[Order Date]],"YYYY")</f>
        <v>2015</v>
      </c>
      <c r="D912" s="2">
        <v>42307</v>
      </c>
      <c r="E912" s="2" t="s">
        <v>39</v>
      </c>
      <c r="F912" s="2" t="s">
        <v>1715</v>
      </c>
      <c r="G912" s="2" t="s">
        <v>1716</v>
      </c>
      <c r="H912" s="2" t="s">
        <v>24</v>
      </c>
      <c r="I912" s="2" t="s">
        <v>25</v>
      </c>
      <c r="J912" s="2" t="s">
        <v>328</v>
      </c>
      <c r="K912" s="2" t="s">
        <v>53</v>
      </c>
      <c r="L912" s="2" t="s">
        <v>54</v>
      </c>
      <c r="M912" s="2" t="s">
        <v>547</v>
      </c>
      <c r="N912" s="2" t="s">
        <v>30</v>
      </c>
      <c r="O912" s="2" t="s">
        <v>45</v>
      </c>
      <c r="P912" s="2" t="s">
        <v>548</v>
      </c>
      <c r="Q912" s="2">
        <v>253.17599999999999</v>
      </c>
      <c r="R912" s="2">
        <v>3</v>
      </c>
      <c r="S912" s="2">
        <v>-31.646999999999998</v>
      </c>
      <c r="T912" s="2" t="s">
        <v>58</v>
      </c>
      <c r="U912" s="2" t="s">
        <v>48</v>
      </c>
    </row>
    <row r="913" spans="1:21" ht="14.25" customHeight="1" x14ac:dyDescent="0.3">
      <c r="A913" s="2" t="s">
        <v>2803</v>
      </c>
      <c r="B913" s="5">
        <v>42205</v>
      </c>
      <c r="C913" s="2" t="str">
        <f>TEXT(data[[#This Row],[Order Date]],"YYYY")</f>
        <v>2015</v>
      </c>
      <c r="D913" s="2">
        <v>42212</v>
      </c>
      <c r="E913" s="2" t="s">
        <v>39</v>
      </c>
      <c r="F913" s="2" t="s">
        <v>1049</v>
      </c>
      <c r="G913" s="2" t="s">
        <v>1050</v>
      </c>
      <c r="H913" s="2" t="s">
        <v>24</v>
      </c>
      <c r="I913" s="2" t="s">
        <v>25</v>
      </c>
      <c r="J913" s="2" t="s">
        <v>2162</v>
      </c>
      <c r="K913" s="2" t="s">
        <v>134</v>
      </c>
      <c r="L913" s="2" t="s">
        <v>93</v>
      </c>
      <c r="M913" s="2" t="s">
        <v>2804</v>
      </c>
      <c r="N913" s="2" t="s">
        <v>30</v>
      </c>
      <c r="O913" s="2" t="s">
        <v>31</v>
      </c>
      <c r="P913" s="2" t="s">
        <v>2805</v>
      </c>
      <c r="Q913" s="2">
        <v>384.94400000000002</v>
      </c>
      <c r="R913" s="2">
        <v>4</v>
      </c>
      <c r="S913" s="2">
        <v>-126.4816</v>
      </c>
      <c r="T913" s="2" t="s">
        <v>47</v>
      </c>
      <c r="U913" s="2" t="s">
        <v>71</v>
      </c>
    </row>
    <row r="914" spans="1:21" ht="14.25" customHeight="1" x14ac:dyDescent="0.3">
      <c r="A914" s="2" t="s">
        <v>2803</v>
      </c>
      <c r="B914" s="5">
        <v>42205</v>
      </c>
      <c r="C914" s="2" t="str">
        <f>TEXT(data[[#This Row],[Order Date]],"YYYY")</f>
        <v>2015</v>
      </c>
      <c r="D914" s="2">
        <v>42212</v>
      </c>
      <c r="E914" s="2" t="s">
        <v>39</v>
      </c>
      <c r="F914" s="2" t="s">
        <v>1049</v>
      </c>
      <c r="G914" s="2" t="s">
        <v>1050</v>
      </c>
      <c r="H914" s="2" t="s">
        <v>24</v>
      </c>
      <c r="I914" s="2" t="s">
        <v>25</v>
      </c>
      <c r="J914" s="2" t="s">
        <v>2162</v>
      </c>
      <c r="K914" s="2" t="s">
        <v>134</v>
      </c>
      <c r="L914" s="2" t="s">
        <v>93</v>
      </c>
      <c r="M914" s="2" t="s">
        <v>102</v>
      </c>
      <c r="N914" s="2" t="s">
        <v>30</v>
      </c>
      <c r="O914" s="2" t="s">
        <v>31</v>
      </c>
      <c r="P914" s="2" t="s">
        <v>103</v>
      </c>
      <c r="Q914" s="2">
        <v>913.43</v>
      </c>
      <c r="R914" s="2">
        <v>5</v>
      </c>
      <c r="S914" s="2">
        <v>-52.195999999999998</v>
      </c>
      <c r="T914" s="2" t="s">
        <v>47</v>
      </c>
      <c r="U914" s="2" t="s">
        <v>71</v>
      </c>
    </row>
    <row r="915" spans="1:21" ht="14.25" customHeight="1" x14ac:dyDescent="0.3">
      <c r="A915" s="2" t="s">
        <v>2806</v>
      </c>
      <c r="B915" s="5">
        <v>43059</v>
      </c>
      <c r="C915" s="2" t="str">
        <f>TEXT(data[[#This Row],[Order Date]],"YYYY")</f>
        <v>2017</v>
      </c>
      <c r="D915" s="2">
        <v>43061</v>
      </c>
      <c r="E915" s="2" t="s">
        <v>87</v>
      </c>
      <c r="F915" s="2" t="s">
        <v>824</v>
      </c>
      <c r="G915" s="2" t="s">
        <v>825</v>
      </c>
      <c r="H915" s="2" t="s">
        <v>24</v>
      </c>
      <c r="I915" s="2" t="s">
        <v>25</v>
      </c>
      <c r="J915" s="2" t="s">
        <v>173</v>
      </c>
      <c r="K915" s="2" t="s">
        <v>120</v>
      </c>
      <c r="L915" s="2" t="s">
        <v>67</v>
      </c>
      <c r="M915" s="2" t="s">
        <v>1476</v>
      </c>
      <c r="N915" s="2" t="s">
        <v>30</v>
      </c>
      <c r="O915" s="2" t="s">
        <v>31</v>
      </c>
      <c r="P915" s="2" t="s">
        <v>1477</v>
      </c>
      <c r="Q915" s="2">
        <v>183.96799999999999</v>
      </c>
      <c r="R915" s="2">
        <v>2</v>
      </c>
      <c r="S915" s="2">
        <v>-25.2956</v>
      </c>
      <c r="T915" s="2" t="s">
        <v>70</v>
      </c>
      <c r="U915" s="2" t="s">
        <v>34</v>
      </c>
    </row>
    <row r="916" spans="1:21" ht="14.25" customHeight="1" x14ac:dyDescent="0.3">
      <c r="A916" s="2" t="s">
        <v>2807</v>
      </c>
      <c r="B916" s="5">
        <v>41827</v>
      </c>
      <c r="C916" s="2" t="str">
        <f>TEXT(data[[#This Row],[Order Date]],"YYYY")</f>
        <v>2014</v>
      </c>
      <c r="D916" s="2">
        <v>41831</v>
      </c>
      <c r="E916" s="2" t="s">
        <v>39</v>
      </c>
      <c r="F916" s="2" t="s">
        <v>2808</v>
      </c>
      <c r="G916" s="2" t="s">
        <v>2809</v>
      </c>
      <c r="H916" s="2" t="s">
        <v>24</v>
      </c>
      <c r="I916" s="2" t="s">
        <v>25</v>
      </c>
      <c r="J916" s="2" t="s">
        <v>65</v>
      </c>
      <c r="K916" s="2" t="s">
        <v>66</v>
      </c>
      <c r="L916" s="2" t="s">
        <v>67</v>
      </c>
      <c r="M916" s="2" t="s">
        <v>1028</v>
      </c>
      <c r="N916" s="2" t="s">
        <v>30</v>
      </c>
      <c r="O916" s="2" t="s">
        <v>36</v>
      </c>
      <c r="P916" s="2" t="s">
        <v>1029</v>
      </c>
      <c r="Q916" s="2">
        <v>172.18600000000001</v>
      </c>
      <c r="R916" s="2">
        <v>2</v>
      </c>
      <c r="S916" s="2">
        <v>-46.736199999999997</v>
      </c>
      <c r="T916" s="2" t="s">
        <v>83</v>
      </c>
      <c r="U916" s="2" t="s">
        <v>71</v>
      </c>
    </row>
    <row r="917" spans="1:21" ht="14.25" customHeight="1" x14ac:dyDescent="0.3">
      <c r="A917" s="2" t="s">
        <v>2807</v>
      </c>
      <c r="B917" s="5">
        <v>41827</v>
      </c>
      <c r="C917" s="2" t="str">
        <f>TEXT(data[[#This Row],[Order Date]],"YYYY")</f>
        <v>2014</v>
      </c>
      <c r="D917" s="2">
        <v>41831</v>
      </c>
      <c r="E917" s="2" t="s">
        <v>39</v>
      </c>
      <c r="F917" s="2" t="s">
        <v>2808</v>
      </c>
      <c r="G917" s="2" t="s">
        <v>2809</v>
      </c>
      <c r="H917" s="2" t="s">
        <v>24</v>
      </c>
      <c r="I917" s="2" t="s">
        <v>25</v>
      </c>
      <c r="J917" s="2" t="s">
        <v>65</v>
      </c>
      <c r="K917" s="2" t="s">
        <v>66</v>
      </c>
      <c r="L917" s="2" t="s">
        <v>67</v>
      </c>
      <c r="M917" s="2" t="s">
        <v>607</v>
      </c>
      <c r="N917" s="2" t="s">
        <v>30</v>
      </c>
      <c r="O917" s="2" t="s">
        <v>56</v>
      </c>
      <c r="P917" s="2" t="s">
        <v>608</v>
      </c>
      <c r="Q917" s="2">
        <v>69.007999999999996</v>
      </c>
      <c r="R917" s="2">
        <v>2</v>
      </c>
      <c r="S917" s="2">
        <v>12.0764</v>
      </c>
      <c r="T917" s="2" t="s">
        <v>83</v>
      </c>
      <c r="U917" s="2" t="s">
        <v>71</v>
      </c>
    </row>
    <row r="918" spans="1:21" ht="14.25" customHeight="1" x14ac:dyDescent="0.3">
      <c r="A918" s="2" t="s">
        <v>2810</v>
      </c>
      <c r="B918" s="5">
        <v>42446</v>
      </c>
      <c r="C918" s="2" t="str">
        <f>TEXT(data[[#This Row],[Order Date]],"YYYY")</f>
        <v>2016</v>
      </c>
      <c r="D918" s="2">
        <v>42446</v>
      </c>
      <c r="E918" s="2" t="s">
        <v>425</v>
      </c>
      <c r="F918" s="2" t="s">
        <v>2790</v>
      </c>
      <c r="G918" s="2" t="s">
        <v>2791</v>
      </c>
      <c r="H918" s="2" t="s">
        <v>24</v>
      </c>
      <c r="I918" s="2" t="s">
        <v>25</v>
      </c>
      <c r="J918" s="2" t="s">
        <v>157</v>
      </c>
      <c r="K918" s="2" t="s">
        <v>1089</v>
      </c>
      <c r="L918" s="2" t="s">
        <v>67</v>
      </c>
      <c r="M918" s="2" t="s">
        <v>790</v>
      </c>
      <c r="N918" s="2" t="s">
        <v>30</v>
      </c>
      <c r="O918" s="2" t="s">
        <v>56</v>
      </c>
      <c r="P918" s="2" t="s">
        <v>791</v>
      </c>
      <c r="Q918" s="2">
        <v>971.5</v>
      </c>
      <c r="R918" s="2">
        <v>5</v>
      </c>
      <c r="S918" s="2">
        <v>252.59</v>
      </c>
      <c r="T918" s="2" t="s">
        <v>430</v>
      </c>
      <c r="U918" s="2" t="s">
        <v>195</v>
      </c>
    </row>
    <row r="919" spans="1:21" ht="14.25" customHeight="1" x14ac:dyDescent="0.3">
      <c r="A919" s="2" t="s">
        <v>2811</v>
      </c>
      <c r="B919" s="5">
        <v>41993</v>
      </c>
      <c r="C919" s="2" t="str">
        <f>TEXT(data[[#This Row],[Order Date]],"YYYY")</f>
        <v>2014</v>
      </c>
      <c r="D919" s="2">
        <v>42000</v>
      </c>
      <c r="E919" s="2" t="s">
        <v>39</v>
      </c>
      <c r="F919" s="2" t="s">
        <v>2633</v>
      </c>
      <c r="G919" s="2" t="s">
        <v>2634</v>
      </c>
      <c r="H919" s="2" t="s">
        <v>24</v>
      </c>
      <c r="I919" s="2" t="s">
        <v>25</v>
      </c>
      <c r="J919" s="2" t="s">
        <v>2812</v>
      </c>
      <c r="K919" s="2" t="s">
        <v>231</v>
      </c>
      <c r="L919" s="2" t="s">
        <v>67</v>
      </c>
      <c r="M919" s="2" t="s">
        <v>218</v>
      </c>
      <c r="N919" s="2" t="s">
        <v>30</v>
      </c>
      <c r="O919" s="2" t="s">
        <v>56</v>
      </c>
      <c r="P919" s="2" t="s">
        <v>219</v>
      </c>
      <c r="Q919" s="2">
        <v>190.84800000000001</v>
      </c>
      <c r="R919" s="2">
        <v>3</v>
      </c>
      <c r="S919" s="2">
        <v>-21.470400000000001</v>
      </c>
      <c r="T919" s="2" t="s">
        <v>47</v>
      </c>
      <c r="U919" s="2" t="s">
        <v>96</v>
      </c>
    </row>
    <row r="920" spans="1:21" ht="14.25" customHeight="1" x14ac:dyDescent="0.3">
      <c r="A920" s="2" t="s">
        <v>2813</v>
      </c>
      <c r="B920" s="5">
        <v>42873</v>
      </c>
      <c r="C920" s="2" t="str">
        <f>TEXT(data[[#This Row],[Order Date]],"YYYY")</f>
        <v>2017</v>
      </c>
      <c r="D920" s="2">
        <v>42874</v>
      </c>
      <c r="E920" s="2" t="s">
        <v>87</v>
      </c>
      <c r="F920" s="2" t="s">
        <v>1167</v>
      </c>
      <c r="G920" s="2" t="s">
        <v>1168</v>
      </c>
      <c r="H920" s="2" t="s">
        <v>90</v>
      </c>
      <c r="I920" s="2" t="s">
        <v>25</v>
      </c>
      <c r="J920" s="2" t="s">
        <v>2814</v>
      </c>
      <c r="K920" s="2" t="s">
        <v>667</v>
      </c>
      <c r="L920" s="2" t="s">
        <v>28</v>
      </c>
      <c r="M920" s="2" t="s">
        <v>2815</v>
      </c>
      <c r="N920" s="2" t="s">
        <v>30</v>
      </c>
      <c r="O920" s="2" t="s">
        <v>31</v>
      </c>
      <c r="P920" s="2" t="s">
        <v>2816</v>
      </c>
      <c r="Q920" s="2">
        <v>302.94</v>
      </c>
      <c r="R920" s="2">
        <v>3</v>
      </c>
      <c r="S920" s="2">
        <v>75.734999999999999</v>
      </c>
      <c r="T920" s="2" t="s">
        <v>123</v>
      </c>
      <c r="U920" s="2" t="s">
        <v>161</v>
      </c>
    </row>
    <row r="921" spans="1:21" ht="14.25" customHeight="1" x14ac:dyDescent="0.3">
      <c r="A921" s="2" t="s">
        <v>2817</v>
      </c>
      <c r="B921" s="5">
        <v>42815</v>
      </c>
      <c r="C921" s="2" t="str">
        <f>TEXT(data[[#This Row],[Order Date]],"YYYY")</f>
        <v>2017</v>
      </c>
      <c r="D921" s="2">
        <v>42821</v>
      </c>
      <c r="E921" s="2" t="s">
        <v>39</v>
      </c>
      <c r="F921" s="2" t="s">
        <v>2226</v>
      </c>
      <c r="G921" s="2" t="s">
        <v>2227</v>
      </c>
      <c r="H921" s="2" t="s">
        <v>24</v>
      </c>
      <c r="I921" s="2" t="s">
        <v>25</v>
      </c>
      <c r="J921" s="2" t="s">
        <v>2021</v>
      </c>
      <c r="K921" s="2" t="s">
        <v>1522</v>
      </c>
      <c r="L921" s="2" t="s">
        <v>93</v>
      </c>
      <c r="M921" s="2" t="s">
        <v>2334</v>
      </c>
      <c r="N921" s="2" t="s">
        <v>30</v>
      </c>
      <c r="O921" s="2" t="s">
        <v>36</v>
      </c>
      <c r="P921" s="2" t="s">
        <v>2335</v>
      </c>
      <c r="Q921" s="2">
        <v>1805.88</v>
      </c>
      <c r="R921" s="2">
        <v>6</v>
      </c>
      <c r="S921" s="2">
        <v>523.70519999999999</v>
      </c>
      <c r="T921" s="2" t="s">
        <v>129</v>
      </c>
      <c r="U921" s="2" t="s">
        <v>195</v>
      </c>
    </row>
    <row r="922" spans="1:21" ht="14.25" customHeight="1" x14ac:dyDescent="0.3">
      <c r="A922" s="2" t="s">
        <v>2818</v>
      </c>
      <c r="B922" s="5">
        <v>42677</v>
      </c>
      <c r="C922" s="2" t="str">
        <f>TEXT(data[[#This Row],[Order Date]],"YYYY")</f>
        <v>2016</v>
      </c>
      <c r="D922" s="2">
        <v>42682</v>
      </c>
      <c r="E922" s="2" t="s">
        <v>21</v>
      </c>
      <c r="F922" s="2" t="s">
        <v>1065</v>
      </c>
      <c r="G922" s="2" t="s">
        <v>1066</v>
      </c>
      <c r="H922" s="2" t="s">
        <v>24</v>
      </c>
      <c r="I922" s="2" t="s">
        <v>25</v>
      </c>
      <c r="J922" s="2" t="s">
        <v>26</v>
      </c>
      <c r="K922" s="2" t="s">
        <v>27</v>
      </c>
      <c r="L922" s="2" t="s">
        <v>28</v>
      </c>
      <c r="M922" s="2" t="s">
        <v>959</v>
      </c>
      <c r="N922" s="2" t="s">
        <v>30</v>
      </c>
      <c r="O922" s="2" t="s">
        <v>56</v>
      </c>
      <c r="P922" s="2" t="s">
        <v>960</v>
      </c>
      <c r="Q922" s="2">
        <v>24.1</v>
      </c>
      <c r="R922" s="2">
        <v>5</v>
      </c>
      <c r="S922" s="2">
        <v>9.1579999999999995</v>
      </c>
      <c r="T922" s="2" t="s">
        <v>58</v>
      </c>
      <c r="U922" s="2" t="s">
        <v>34</v>
      </c>
    </row>
    <row r="923" spans="1:21" ht="14.25" customHeight="1" x14ac:dyDescent="0.3">
      <c r="A923" s="2" t="s">
        <v>2818</v>
      </c>
      <c r="B923" s="5">
        <v>42677</v>
      </c>
      <c r="C923" s="2" t="str">
        <f>TEXT(data[[#This Row],[Order Date]],"YYYY")</f>
        <v>2016</v>
      </c>
      <c r="D923" s="2">
        <v>42682</v>
      </c>
      <c r="E923" s="2" t="s">
        <v>21</v>
      </c>
      <c r="F923" s="2" t="s">
        <v>1065</v>
      </c>
      <c r="G923" s="2" t="s">
        <v>1066</v>
      </c>
      <c r="H923" s="2" t="s">
        <v>24</v>
      </c>
      <c r="I923" s="2" t="s">
        <v>25</v>
      </c>
      <c r="J923" s="2" t="s">
        <v>26</v>
      </c>
      <c r="K923" s="2" t="s">
        <v>27</v>
      </c>
      <c r="L923" s="2" t="s">
        <v>28</v>
      </c>
      <c r="M923" s="2" t="s">
        <v>2819</v>
      </c>
      <c r="N923" s="2" t="s">
        <v>30</v>
      </c>
      <c r="O923" s="2" t="s">
        <v>45</v>
      </c>
      <c r="P923" s="2" t="s">
        <v>2820</v>
      </c>
      <c r="Q923" s="2">
        <v>842.94</v>
      </c>
      <c r="R923" s="2">
        <v>3</v>
      </c>
      <c r="S923" s="2">
        <v>160.15860000000001</v>
      </c>
      <c r="T923" s="2" t="s">
        <v>58</v>
      </c>
      <c r="U923" s="2" t="s">
        <v>34</v>
      </c>
    </row>
    <row r="924" spans="1:21" ht="14.25" customHeight="1" x14ac:dyDescent="0.3">
      <c r="A924" s="2" t="s">
        <v>2821</v>
      </c>
      <c r="B924" s="5">
        <v>42174</v>
      </c>
      <c r="C924" s="2" t="str">
        <f>TEXT(data[[#This Row],[Order Date]],"YYYY")</f>
        <v>2015</v>
      </c>
      <c r="D924" s="2">
        <v>42178</v>
      </c>
      <c r="E924" s="2" t="s">
        <v>39</v>
      </c>
      <c r="F924" s="2" t="s">
        <v>326</v>
      </c>
      <c r="G924" s="2" t="s">
        <v>327</v>
      </c>
      <c r="H924" s="2" t="s">
        <v>24</v>
      </c>
      <c r="I924" s="2" t="s">
        <v>25</v>
      </c>
      <c r="J924" s="2" t="s">
        <v>52</v>
      </c>
      <c r="K924" s="2" t="s">
        <v>53</v>
      </c>
      <c r="L924" s="2" t="s">
        <v>54</v>
      </c>
      <c r="M924" s="2" t="s">
        <v>677</v>
      </c>
      <c r="N924" s="2" t="s">
        <v>30</v>
      </c>
      <c r="O924" s="2" t="s">
        <v>56</v>
      </c>
      <c r="P924" s="2" t="s">
        <v>678</v>
      </c>
      <c r="Q924" s="2">
        <v>12.56</v>
      </c>
      <c r="R924" s="2">
        <v>2</v>
      </c>
      <c r="S924" s="2">
        <v>4.0191999999999997</v>
      </c>
      <c r="T924" s="2" t="s">
        <v>83</v>
      </c>
      <c r="U924" s="2" t="s">
        <v>59</v>
      </c>
    </row>
    <row r="925" spans="1:21" ht="14.25" customHeight="1" x14ac:dyDescent="0.3">
      <c r="A925" s="2" t="s">
        <v>2822</v>
      </c>
      <c r="B925" s="5">
        <v>42555</v>
      </c>
      <c r="C925" s="2" t="str">
        <f>TEXT(data[[#This Row],[Order Date]],"YYYY")</f>
        <v>2016</v>
      </c>
      <c r="D925" s="2">
        <v>42557</v>
      </c>
      <c r="E925" s="2" t="s">
        <v>87</v>
      </c>
      <c r="F925" s="2" t="s">
        <v>2693</v>
      </c>
      <c r="G925" s="2" t="s">
        <v>2694</v>
      </c>
      <c r="H925" s="2" t="s">
        <v>24</v>
      </c>
      <c r="I925" s="2" t="s">
        <v>25</v>
      </c>
      <c r="J925" s="2" t="s">
        <v>328</v>
      </c>
      <c r="K925" s="2" t="s">
        <v>53</v>
      </c>
      <c r="L925" s="2" t="s">
        <v>54</v>
      </c>
      <c r="M925" s="2" t="s">
        <v>661</v>
      </c>
      <c r="N925" s="2" t="s">
        <v>30</v>
      </c>
      <c r="O925" s="2" t="s">
        <v>56</v>
      </c>
      <c r="P925" s="2" t="s">
        <v>662</v>
      </c>
      <c r="Q925" s="2">
        <v>25.4</v>
      </c>
      <c r="R925" s="2">
        <v>5</v>
      </c>
      <c r="S925" s="2">
        <v>8.6359999999999992</v>
      </c>
      <c r="T925" s="2" t="s">
        <v>70</v>
      </c>
      <c r="U925" s="2" t="s">
        <v>71</v>
      </c>
    </row>
    <row r="926" spans="1:21" ht="14.25" customHeight="1" x14ac:dyDescent="0.3">
      <c r="A926" s="2" t="s">
        <v>2822</v>
      </c>
      <c r="B926" s="5">
        <v>42555</v>
      </c>
      <c r="C926" s="2" t="str">
        <f>TEXT(data[[#This Row],[Order Date]],"YYYY")</f>
        <v>2016</v>
      </c>
      <c r="D926" s="2">
        <v>42557</v>
      </c>
      <c r="E926" s="2" t="s">
        <v>87</v>
      </c>
      <c r="F926" s="2" t="s">
        <v>2693</v>
      </c>
      <c r="G926" s="2" t="s">
        <v>2694</v>
      </c>
      <c r="H926" s="2" t="s">
        <v>24</v>
      </c>
      <c r="I926" s="2" t="s">
        <v>25</v>
      </c>
      <c r="J926" s="2" t="s">
        <v>328</v>
      </c>
      <c r="K926" s="2" t="s">
        <v>53</v>
      </c>
      <c r="L926" s="2" t="s">
        <v>54</v>
      </c>
      <c r="M926" s="2" t="s">
        <v>999</v>
      </c>
      <c r="N926" s="2" t="s">
        <v>30</v>
      </c>
      <c r="O926" s="2" t="s">
        <v>31</v>
      </c>
      <c r="P926" s="2" t="s">
        <v>1000</v>
      </c>
      <c r="Q926" s="2">
        <v>1279.165</v>
      </c>
      <c r="R926" s="2">
        <v>5</v>
      </c>
      <c r="S926" s="2">
        <v>225.73500000000001</v>
      </c>
      <c r="T926" s="2" t="s">
        <v>70</v>
      </c>
      <c r="U926" s="2" t="s">
        <v>71</v>
      </c>
    </row>
    <row r="927" spans="1:21" ht="14.25" customHeight="1" x14ac:dyDescent="0.3">
      <c r="A927" s="2" t="s">
        <v>2823</v>
      </c>
      <c r="B927" s="5">
        <v>42250</v>
      </c>
      <c r="C927" s="2" t="str">
        <f>TEXT(data[[#This Row],[Order Date]],"YYYY")</f>
        <v>2015</v>
      </c>
      <c r="D927" s="2">
        <v>42255</v>
      </c>
      <c r="E927" s="2" t="s">
        <v>39</v>
      </c>
      <c r="F927" s="2" t="s">
        <v>2824</v>
      </c>
      <c r="G927" s="2" t="s">
        <v>2825</v>
      </c>
      <c r="H927" s="2" t="s">
        <v>100</v>
      </c>
      <c r="I927" s="2" t="s">
        <v>25</v>
      </c>
      <c r="J927" s="2" t="s">
        <v>328</v>
      </c>
      <c r="K927" s="2" t="s">
        <v>53</v>
      </c>
      <c r="L927" s="2" t="s">
        <v>54</v>
      </c>
      <c r="M927" s="2" t="s">
        <v>495</v>
      </c>
      <c r="N927" s="2" t="s">
        <v>30</v>
      </c>
      <c r="O927" s="2" t="s">
        <v>36</v>
      </c>
      <c r="P927" s="2" t="s">
        <v>496</v>
      </c>
      <c r="Q927" s="2">
        <v>129.56800000000001</v>
      </c>
      <c r="R927" s="2">
        <v>2</v>
      </c>
      <c r="S927" s="2">
        <v>-12.956799999999999</v>
      </c>
      <c r="T927" s="2" t="s">
        <v>58</v>
      </c>
      <c r="U927" s="2" t="s">
        <v>77</v>
      </c>
    </row>
    <row r="928" spans="1:21" ht="14.25" customHeight="1" x14ac:dyDescent="0.3">
      <c r="A928" s="2" t="s">
        <v>2826</v>
      </c>
      <c r="B928" s="5">
        <v>43006</v>
      </c>
      <c r="C928" s="2" t="str">
        <f>TEXT(data[[#This Row],[Order Date]],"YYYY")</f>
        <v>2017</v>
      </c>
      <c r="D928" s="2">
        <v>43009</v>
      </c>
      <c r="E928" s="2" t="s">
        <v>87</v>
      </c>
      <c r="F928" s="2" t="s">
        <v>765</v>
      </c>
      <c r="G928" s="2" t="s">
        <v>766</v>
      </c>
      <c r="H928" s="2" t="s">
        <v>100</v>
      </c>
      <c r="I928" s="2" t="s">
        <v>25</v>
      </c>
      <c r="J928" s="2" t="s">
        <v>179</v>
      </c>
      <c r="K928" s="2" t="s">
        <v>180</v>
      </c>
      <c r="L928" s="2" t="s">
        <v>54</v>
      </c>
      <c r="M928" s="2" t="s">
        <v>640</v>
      </c>
      <c r="N928" s="2" t="s">
        <v>30</v>
      </c>
      <c r="O928" s="2" t="s">
        <v>56</v>
      </c>
      <c r="P928" s="2" t="s">
        <v>641</v>
      </c>
      <c r="Q928" s="2">
        <v>32.776000000000003</v>
      </c>
      <c r="R928" s="2">
        <v>1</v>
      </c>
      <c r="S928" s="2">
        <v>3.2776000000000001</v>
      </c>
      <c r="T928" s="2" t="s">
        <v>33</v>
      </c>
      <c r="U928" s="2" t="s">
        <v>77</v>
      </c>
    </row>
    <row r="929" spans="1:21" ht="14.25" customHeight="1" x14ac:dyDescent="0.3">
      <c r="A929" s="2" t="s">
        <v>2827</v>
      </c>
      <c r="B929" s="5">
        <v>43063</v>
      </c>
      <c r="C929" s="2" t="str">
        <f>TEXT(data[[#This Row],[Order Date]],"YYYY")</f>
        <v>2017</v>
      </c>
      <c r="D929" s="2">
        <v>43070</v>
      </c>
      <c r="E929" s="2" t="s">
        <v>39</v>
      </c>
      <c r="F929" s="2" t="s">
        <v>1674</v>
      </c>
      <c r="G929" s="2" t="s">
        <v>1675</v>
      </c>
      <c r="H929" s="2" t="s">
        <v>24</v>
      </c>
      <c r="I929" s="2" t="s">
        <v>25</v>
      </c>
      <c r="J929" s="2" t="s">
        <v>173</v>
      </c>
      <c r="K929" s="2" t="s">
        <v>120</v>
      </c>
      <c r="L929" s="2" t="s">
        <v>67</v>
      </c>
      <c r="M929" s="2" t="s">
        <v>1869</v>
      </c>
      <c r="N929" s="2" t="s">
        <v>30</v>
      </c>
      <c r="O929" s="2" t="s">
        <v>31</v>
      </c>
      <c r="P929" s="2" t="s">
        <v>1870</v>
      </c>
      <c r="Q929" s="2">
        <v>321.56799999999998</v>
      </c>
      <c r="R929" s="2">
        <v>2</v>
      </c>
      <c r="S929" s="2">
        <v>-16.078399999999998</v>
      </c>
      <c r="T929" s="2" t="s">
        <v>47</v>
      </c>
      <c r="U929" s="2" t="s">
        <v>34</v>
      </c>
    </row>
    <row r="930" spans="1:21" ht="14.25" customHeight="1" x14ac:dyDescent="0.3">
      <c r="A930" s="2" t="s">
        <v>2828</v>
      </c>
      <c r="B930" s="5">
        <v>42863</v>
      </c>
      <c r="C930" s="2" t="str">
        <f>TEXT(data[[#This Row],[Order Date]],"YYYY")</f>
        <v>2017</v>
      </c>
      <c r="D930" s="2">
        <v>42867</v>
      </c>
      <c r="E930" s="2" t="s">
        <v>39</v>
      </c>
      <c r="F930" s="2" t="s">
        <v>397</v>
      </c>
      <c r="G930" s="2" t="s">
        <v>398</v>
      </c>
      <c r="H930" s="2" t="s">
        <v>90</v>
      </c>
      <c r="I930" s="2" t="s">
        <v>25</v>
      </c>
      <c r="J930" s="2" t="s">
        <v>65</v>
      </c>
      <c r="K930" s="2" t="s">
        <v>66</v>
      </c>
      <c r="L930" s="2" t="s">
        <v>67</v>
      </c>
      <c r="M930" s="2" t="s">
        <v>2428</v>
      </c>
      <c r="N930" s="2" t="s">
        <v>30</v>
      </c>
      <c r="O930" s="2" t="s">
        <v>36</v>
      </c>
      <c r="P930" s="2" t="s">
        <v>2429</v>
      </c>
      <c r="Q930" s="2">
        <v>128.05799999999999</v>
      </c>
      <c r="R930" s="2">
        <v>3</v>
      </c>
      <c r="S930" s="2">
        <v>-23.7822</v>
      </c>
      <c r="T930" s="2" t="s">
        <v>83</v>
      </c>
      <c r="U930" s="2" t="s">
        <v>161</v>
      </c>
    </row>
    <row r="931" spans="1:21" ht="14.25" customHeight="1" x14ac:dyDescent="0.3">
      <c r="A931" s="2" t="s">
        <v>2829</v>
      </c>
      <c r="B931" s="5">
        <v>43007</v>
      </c>
      <c r="C931" s="2" t="str">
        <f>TEXT(data[[#This Row],[Order Date]],"YYYY")</f>
        <v>2017</v>
      </c>
      <c r="D931" s="2">
        <v>43007</v>
      </c>
      <c r="E931" s="2" t="s">
        <v>425</v>
      </c>
      <c r="F931" s="2" t="s">
        <v>228</v>
      </c>
      <c r="G931" s="2" t="s">
        <v>229</v>
      </c>
      <c r="H931" s="2" t="s">
        <v>100</v>
      </c>
      <c r="I931" s="2" t="s">
        <v>25</v>
      </c>
      <c r="J931" s="2" t="s">
        <v>2830</v>
      </c>
      <c r="K931" s="2" t="s">
        <v>231</v>
      </c>
      <c r="L931" s="2" t="s">
        <v>67</v>
      </c>
      <c r="M931" s="2" t="s">
        <v>1617</v>
      </c>
      <c r="N931" s="2" t="s">
        <v>30</v>
      </c>
      <c r="O931" s="2" t="s">
        <v>36</v>
      </c>
      <c r="P931" s="2" t="s">
        <v>1618</v>
      </c>
      <c r="Q931" s="2">
        <v>63.686</v>
      </c>
      <c r="R931" s="2">
        <v>1</v>
      </c>
      <c r="S931" s="2">
        <v>-15.4666</v>
      </c>
      <c r="T931" s="2" t="s">
        <v>430</v>
      </c>
      <c r="U931" s="2" t="s">
        <v>77</v>
      </c>
    </row>
    <row r="932" spans="1:21" ht="14.25" customHeight="1" x14ac:dyDescent="0.3">
      <c r="A932" s="2" t="s">
        <v>2829</v>
      </c>
      <c r="B932" s="5">
        <v>43007</v>
      </c>
      <c r="C932" s="2" t="str">
        <f>TEXT(data[[#This Row],[Order Date]],"YYYY")</f>
        <v>2017</v>
      </c>
      <c r="D932" s="2">
        <v>43007</v>
      </c>
      <c r="E932" s="2" t="s">
        <v>425</v>
      </c>
      <c r="F932" s="2" t="s">
        <v>228</v>
      </c>
      <c r="G932" s="2" t="s">
        <v>229</v>
      </c>
      <c r="H932" s="2" t="s">
        <v>100</v>
      </c>
      <c r="I932" s="2" t="s">
        <v>25</v>
      </c>
      <c r="J932" s="2" t="s">
        <v>2830</v>
      </c>
      <c r="K932" s="2" t="s">
        <v>231</v>
      </c>
      <c r="L932" s="2" t="s">
        <v>67</v>
      </c>
      <c r="M932" s="2" t="s">
        <v>2831</v>
      </c>
      <c r="N932" s="2" t="s">
        <v>30</v>
      </c>
      <c r="O932" s="2" t="s">
        <v>45</v>
      </c>
      <c r="P932" s="2" t="s">
        <v>2832</v>
      </c>
      <c r="Q932" s="2">
        <v>344.22</v>
      </c>
      <c r="R932" s="2">
        <v>2</v>
      </c>
      <c r="S932" s="2">
        <v>-189.321</v>
      </c>
      <c r="T932" s="2" t="s">
        <v>430</v>
      </c>
      <c r="U932" s="2" t="s">
        <v>77</v>
      </c>
    </row>
    <row r="933" spans="1:21" ht="14.25" customHeight="1" x14ac:dyDescent="0.3">
      <c r="A933" s="2" t="s">
        <v>2829</v>
      </c>
      <c r="B933" s="5">
        <v>43007</v>
      </c>
      <c r="C933" s="2" t="str">
        <f>TEXT(data[[#This Row],[Order Date]],"YYYY")</f>
        <v>2017</v>
      </c>
      <c r="D933" s="2">
        <v>43007</v>
      </c>
      <c r="E933" s="2" t="s">
        <v>425</v>
      </c>
      <c r="F933" s="2" t="s">
        <v>228</v>
      </c>
      <c r="G933" s="2" t="s">
        <v>229</v>
      </c>
      <c r="H933" s="2" t="s">
        <v>100</v>
      </c>
      <c r="I933" s="2" t="s">
        <v>25</v>
      </c>
      <c r="J933" s="2" t="s">
        <v>2830</v>
      </c>
      <c r="K933" s="2" t="s">
        <v>231</v>
      </c>
      <c r="L933" s="2" t="s">
        <v>67</v>
      </c>
      <c r="M933" s="2" t="s">
        <v>2326</v>
      </c>
      <c r="N933" s="2" t="s">
        <v>30</v>
      </c>
      <c r="O933" s="2" t="s">
        <v>56</v>
      </c>
      <c r="P933" s="2" t="s">
        <v>2327</v>
      </c>
      <c r="Q933" s="2">
        <v>21.248000000000001</v>
      </c>
      <c r="R933" s="2">
        <v>4</v>
      </c>
      <c r="S933" s="2">
        <v>7.4367999999999999</v>
      </c>
      <c r="T933" s="2" t="s">
        <v>430</v>
      </c>
      <c r="U933" s="2" t="s">
        <v>77</v>
      </c>
    </row>
    <row r="934" spans="1:21" ht="14.25" customHeight="1" x14ac:dyDescent="0.3">
      <c r="A934" s="2" t="s">
        <v>2833</v>
      </c>
      <c r="B934" s="5">
        <v>43030</v>
      </c>
      <c r="C934" s="2" t="str">
        <f>TEXT(data[[#This Row],[Order Date]],"YYYY")</f>
        <v>2017</v>
      </c>
      <c r="D934" s="2">
        <v>43030</v>
      </c>
      <c r="E934" s="2" t="s">
        <v>425</v>
      </c>
      <c r="F934" s="2" t="s">
        <v>1023</v>
      </c>
      <c r="G934" s="2" t="s">
        <v>1024</v>
      </c>
      <c r="H934" s="2" t="s">
        <v>24</v>
      </c>
      <c r="I934" s="2" t="s">
        <v>25</v>
      </c>
      <c r="J934" s="2" t="s">
        <v>2834</v>
      </c>
      <c r="K934" s="2" t="s">
        <v>1522</v>
      </c>
      <c r="L934" s="2" t="s">
        <v>93</v>
      </c>
      <c r="M934" s="2" t="s">
        <v>290</v>
      </c>
      <c r="N934" s="2" t="s">
        <v>30</v>
      </c>
      <c r="O934" s="2" t="s">
        <v>45</v>
      </c>
      <c r="P934" s="2" t="s">
        <v>291</v>
      </c>
      <c r="Q934" s="2">
        <v>248.98</v>
      </c>
      <c r="R934" s="2">
        <v>2</v>
      </c>
      <c r="S934" s="2">
        <v>54.775599999999997</v>
      </c>
      <c r="T934" s="2" t="s">
        <v>430</v>
      </c>
      <c r="U934" s="2" t="s">
        <v>48</v>
      </c>
    </row>
    <row r="935" spans="1:21" ht="14.25" customHeight="1" x14ac:dyDescent="0.3">
      <c r="A935" s="2" t="s">
        <v>2835</v>
      </c>
      <c r="B935" s="5">
        <v>42961</v>
      </c>
      <c r="C935" s="2" t="str">
        <f>TEXT(data[[#This Row],[Order Date]],"YYYY")</f>
        <v>2017</v>
      </c>
      <c r="D935" s="2">
        <v>42968</v>
      </c>
      <c r="E935" s="2" t="s">
        <v>39</v>
      </c>
      <c r="F935" s="2" t="s">
        <v>2654</v>
      </c>
      <c r="G935" s="2" t="s">
        <v>2655</v>
      </c>
      <c r="H935" s="2" t="s">
        <v>24</v>
      </c>
      <c r="I935" s="2" t="s">
        <v>25</v>
      </c>
      <c r="J935" s="2" t="s">
        <v>52</v>
      </c>
      <c r="K935" s="2" t="s">
        <v>53</v>
      </c>
      <c r="L935" s="2" t="s">
        <v>54</v>
      </c>
      <c r="M935" s="2" t="s">
        <v>784</v>
      </c>
      <c r="N935" s="2" t="s">
        <v>30</v>
      </c>
      <c r="O935" s="2" t="s">
        <v>45</v>
      </c>
      <c r="P935" s="2" t="s">
        <v>785</v>
      </c>
      <c r="Q935" s="2">
        <v>418.29599999999999</v>
      </c>
      <c r="R935" s="2">
        <v>3</v>
      </c>
      <c r="S935" s="2">
        <v>5.2286999999999999</v>
      </c>
      <c r="T935" s="2" t="s">
        <v>47</v>
      </c>
      <c r="U935" s="2" t="s">
        <v>253</v>
      </c>
    </row>
    <row r="936" spans="1:21" ht="14.25" customHeight="1" x14ac:dyDescent="0.3">
      <c r="A936" s="2" t="s">
        <v>2836</v>
      </c>
      <c r="B936" s="5">
        <v>41974</v>
      </c>
      <c r="C936" s="2" t="str">
        <f>TEXT(data[[#This Row],[Order Date]],"YYYY")</f>
        <v>2014</v>
      </c>
      <c r="D936" s="2">
        <v>41976</v>
      </c>
      <c r="E936" s="2" t="s">
        <v>21</v>
      </c>
      <c r="F936" s="2" t="s">
        <v>2837</v>
      </c>
      <c r="G936" s="2" t="s">
        <v>2838</v>
      </c>
      <c r="H936" s="2" t="s">
        <v>24</v>
      </c>
      <c r="I936" s="2" t="s">
        <v>25</v>
      </c>
      <c r="J936" s="2" t="s">
        <v>347</v>
      </c>
      <c r="K936" s="2" t="s">
        <v>231</v>
      </c>
      <c r="L936" s="2" t="s">
        <v>67</v>
      </c>
      <c r="M936" s="2" t="s">
        <v>661</v>
      </c>
      <c r="N936" s="2" t="s">
        <v>30</v>
      </c>
      <c r="O936" s="2" t="s">
        <v>56</v>
      </c>
      <c r="P936" s="2" t="s">
        <v>662</v>
      </c>
      <c r="Q936" s="2">
        <v>8.1280000000000001</v>
      </c>
      <c r="R936" s="2">
        <v>2</v>
      </c>
      <c r="S936" s="2">
        <v>1.4224000000000001</v>
      </c>
      <c r="T936" s="2" t="s">
        <v>70</v>
      </c>
      <c r="U936" s="2" t="s">
        <v>96</v>
      </c>
    </row>
    <row r="937" spans="1:21" ht="14.25" customHeight="1" x14ac:dyDescent="0.3">
      <c r="A937" s="2" t="s">
        <v>2836</v>
      </c>
      <c r="B937" s="5">
        <v>41974</v>
      </c>
      <c r="C937" s="2" t="str">
        <f>TEXT(data[[#This Row],[Order Date]],"YYYY")</f>
        <v>2014</v>
      </c>
      <c r="D937" s="2">
        <v>41976</v>
      </c>
      <c r="E937" s="2" t="s">
        <v>21</v>
      </c>
      <c r="F937" s="2" t="s">
        <v>2837</v>
      </c>
      <c r="G937" s="2" t="s">
        <v>2838</v>
      </c>
      <c r="H937" s="2" t="s">
        <v>24</v>
      </c>
      <c r="I937" s="2" t="s">
        <v>25</v>
      </c>
      <c r="J937" s="2" t="s">
        <v>347</v>
      </c>
      <c r="K937" s="2" t="s">
        <v>231</v>
      </c>
      <c r="L937" s="2" t="s">
        <v>67</v>
      </c>
      <c r="M937" s="2" t="s">
        <v>479</v>
      </c>
      <c r="N937" s="2" t="s">
        <v>30</v>
      </c>
      <c r="O937" s="2" t="s">
        <v>36</v>
      </c>
      <c r="P937" s="2" t="s">
        <v>480</v>
      </c>
      <c r="Q937" s="2">
        <v>909.72</v>
      </c>
      <c r="R937" s="2">
        <v>6</v>
      </c>
      <c r="S937" s="2">
        <v>-51.984000000000002</v>
      </c>
      <c r="T937" s="2" t="s">
        <v>70</v>
      </c>
      <c r="U937" s="2" t="s">
        <v>96</v>
      </c>
    </row>
    <row r="938" spans="1:21" ht="14.25" customHeight="1" x14ac:dyDescent="0.3">
      <c r="A938" s="2" t="s">
        <v>2839</v>
      </c>
      <c r="B938" s="5">
        <v>42904</v>
      </c>
      <c r="C938" s="2" t="str">
        <f>TEXT(data[[#This Row],[Order Date]],"YYYY")</f>
        <v>2017</v>
      </c>
      <c r="D938" s="2">
        <v>42909</v>
      </c>
      <c r="E938" s="2" t="s">
        <v>39</v>
      </c>
      <c r="F938" s="2" t="s">
        <v>2840</v>
      </c>
      <c r="G938" s="2" t="s">
        <v>2841</v>
      </c>
      <c r="H938" s="2" t="s">
        <v>24</v>
      </c>
      <c r="I938" s="2" t="s">
        <v>25</v>
      </c>
      <c r="J938" s="2" t="s">
        <v>52</v>
      </c>
      <c r="K938" s="2" t="s">
        <v>53</v>
      </c>
      <c r="L938" s="2" t="s">
        <v>54</v>
      </c>
      <c r="M938" s="2" t="s">
        <v>710</v>
      </c>
      <c r="N938" s="2" t="s">
        <v>30</v>
      </c>
      <c r="O938" s="2" t="s">
        <v>31</v>
      </c>
      <c r="P938" s="2" t="s">
        <v>711</v>
      </c>
      <c r="Q938" s="2">
        <v>917.92349999999999</v>
      </c>
      <c r="R938" s="2">
        <v>9</v>
      </c>
      <c r="S938" s="2">
        <v>75.593699999999998</v>
      </c>
      <c r="T938" s="2" t="s">
        <v>58</v>
      </c>
      <c r="U938" s="2" t="s">
        <v>59</v>
      </c>
    </row>
    <row r="939" spans="1:21" ht="14.25" customHeight="1" x14ac:dyDescent="0.3">
      <c r="A939" s="2" t="s">
        <v>2842</v>
      </c>
      <c r="B939" s="5">
        <v>41997</v>
      </c>
      <c r="C939" s="2" t="str">
        <f>TEXT(data[[#This Row],[Order Date]],"YYYY")</f>
        <v>2014</v>
      </c>
      <c r="D939" s="2">
        <v>42002</v>
      </c>
      <c r="E939" s="2" t="s">
        <v>39</v>
      </c>
      <c r="F939" s="2" t="s">
        <v>1737</v>
      </c>
      <c r="G939" s="2" t="s">
        <v>1738</v>
      </c>
      <c r="H939" s="2" t="s">
        <v>100</v>
      </c>
      <c r="I939" s="2" t="s">
        <v>25</v>
      </c>
      <c r="J939" s="2" t="s">
        <v>52</v>
      </c>
      <c r="K939" s="2" t="s">
        <v>53</v>
      </c>
      <c r="L939" s="2" t="s">
        <v>54</v>
      </c>
      <c r="M939" s="2" t="s">
        <v>1180</v>
      </c>
      <c r="N939" s="2" t="s">
        <v>30</v>
      </c>
      <c r="O939" s="2" t="s">
        <v>56</v>
      </c>
      <c r="P939" s="2" t="s">
        <v>1181</v>
      </c>
      <c r="Q939" s="2">
        <v>23.99</v>
      </c>
      <c r="R939" s="2">
        <v>1</v>
      </c>
      <c r="S939" s="2">
        <v>5.5176999999999996</v>
      </c>
      <c r="T939" s="2" t="s">
        <v>58</v>
      </c>
      <c r="U939" s="2" t="s">
        <v>96</v>
      </c>
    </row>
    <row r="940" spans="1:21" ht="14.25" customHeight="1" x14ac:dyDescent="0.3">
      <c r="A940" s="2" t="s">
        <v>2843</v>
      </c>
      <c r="B940" s="5">
        <v>42878</v>
      </c>
      <c r="C940" s="2" t="str">
        <f>TEXT(data[[#This Row],[Order Date]],"YYYY")</f>
        <v>2017</v>
      </c>
      <c r="D940" s="2">
        <v>42884</v>
      </c>
      <c r="E940" s="2" t="s">
        <v>39</v>
      </c>
      <c r="F940" s="2" t="s">
        <v>2844</v>
      </c>
      <c r="G940" s="2" t="s">
        <v>2845</v>
      </c>
      <c r="H940" s="2" t="s">
        <v>24</v>
      </c>
      <c r="I940" s="2" t="s">
        <v>25</v>
      </c>
      <c r="J940" s="2" t="s">
        <v>52</v>
      </c>
      <c r="K940" s="2" t="s">
        <v>53</v>
      </c>
      <c r="L940" s="2" t="s">
        <v>54</v>
      </c>
      <c r="M940" s="2" t="s">
        <v>907</v>
      </c>
      <c r="N940" s="2" t="s">
        <v>30</v>
      </c>
      <c r="O940" s="2" t="s">
        <v>45</v>
      </c>
      <c r="P940" s="2" t="s">
        <v>908</v>
      </c>
      <c r="Q940" s="2">
        <v>171.28800000000001</v>
      </c>
      <c r="R940" s="2">
        <v>3</v>
      </c>
      <c r="S940" s="2">
        <v>-6.4233000000000002</v>
      </c>
      <c r="T940" s="2" t="s">
        <v>129</v>
      </c>
      <c r="U940" s="2" t="s">
        <v>161</v>
      </c>
    </row>
    <row r="941" spans="1:21" ht="14.25" customHeight="1" x14ac:dyDescent="0.3">
      <c r="A941" s="2" t="s">
        <v>2846</v>
      </c>
      <c r="B941" s="5">
        <v>42684</v>
      </c>
      <c r="C941" s="2" t="str">
        <f>TEXT(data[[#This Row],[Order Date]],"YYYY")</f>
        <v>2016</v>
      </c>
      <c r="D941" s="2">
        <v>42688</v>
      </c>
      <c r="E941" s="2" t="s">
        <v>39</v>
      </c>
      <c r="F941" s="2" t="s">
        <v>975</v>
      </c>
      <c r="G941" s="2" t="s">
        <v>976</v>
      </c>
      <c r="H941" s="2" t="s">
        <v>90</v>
      </c>
      <c r="I941" s="2" t="s">
        <v>25</v>
      </c>
      <c r="J941" s="2" t="s">
        <v>878</v>
      </c>
      <c r="K941" s="2" t="s">
        <v>565</v>
      </c>
      <c r="L941" s="2" t="s">
        <v>93</v>
      </c>
      <c r="M941" s="2" t="s">
        <v>2648</v>
      </c>
      <c r="N941" s="2" t="s">
        <v>30</v>
      </c>
      <c r="O941" s="2" t="s">
        <v>56</v>
      </c>
      <c r="P941" s="2" t="s">
        <v>2649</v>
      </c>
      <c r="Q941" s="2">
        <v>37.299999999999997</v>
      </c>
      <c r="R941" s="2">
        <v>2</v>
      </c>
      <c r="S941" s="2">
        <v>17.158000000000001</v>
      </c>
      <c r="T941" s="2" t="s">
        <v>83</v>
      </c>
      <c r="U941" s="2" t="s">
        <v>34</v>
      </c>
    </row>
    <row r="942" spans="1:21" ht="14.25" customHeight="1" x14ac:dyDescent="0.3">
      <c r="A942" s="2" t="s">
        <v>2847</v>
      </c>
      <c r="B942" s="5">
        <v>42670</v>
      </c>
      <c r="C942" s="2" t="str">
        <f>TEXT(data[[#This Row],[Order Date]],"YYYY")</f>
        <v>2016</v>
      </c>
      <c r="D942" s="2">
        <v>42675</v>
      </c>
      <c r="E942" s="2" t="s">
        <v>21</v>
      </c>
      <c r="F942" s="2" t="s">
        <v>2848</v>
      </c>
      <c r="G942" s="2" t="s">
        <v>2849</v>
      </c>
      <c r="H942" s="2" t="s">
        <v>24</v>
      </c>
      <c r="I942" s="2" t="s">
        <v>25</v>
      </c>
      <c r="J942" s="2" t="s">
        <v>2850</v>
      </c>
      <c r="K942" s="2" t="s">
        <v>716</v>
      </c>
      <c r="L942" s="2" t="s">
        <v>28</v>
      </c>
      <c r="M942" s="2" t="s">
        <v>1306</v>
      </c>
      <c r="N942" s="2" t="s">
        <v>30</v>
      </c>
      <c r="O942" s="2" t="s">
        <v>36</v>
      </c>
      <c r="P942" s="2" t="s">
        <v>1307</v>
      </c>
      <c r="Q942" s="2">
        <v>290.98</v>
      </c>
      <c r="R942" s="2">
        <v>1</v>
      </c>
      <c r="S942" s="2">
        <v>75.654799999999994</v>
      </c>
      <c r="T942" s="2" t="s">
        <v>58</v>
      </c>
      <c r="U942" s="2" t="s">
        <v>48</v>
      </c>
    </row>
    <row r="943" spans="1:21" ht="14.25" customHeight="1" x14ac:dyDescent="0.3">
      <c r="A943" s="2" t="s">
        <v>2851</v>
      </c>
      <c r="B943" s="5">
        <v>41690</v>
      </c>
      <c r="C943" s="2" t="str">
        <f>TEXT(data[[#This Row],[Order Date]],"YYYY")</f>
        <v>2014</v>
      </c>
      <c r="D943" s="2">
        <v>41696</v>
      </c>
      <c r="E943" s="2" t="s">
        <v>39</v>
      </c>
      <c r="F943" s="2" t="s">
        <v>1297</v>
      </c>
      <c r="G943" s="2" t="s">
        <v>1298</v>
      </c>
      <c r="H943" s="2" t="s">
        <v>90</v>
      </c>
      <c r="I943" s="2" t="s">
        <v>25</v>
      </c>
      <c r="J943" s="2" t="s">
        <v>635</v>
      </c>
      <c r="K943" s="2" t="s">
        <v>110</v>
      </c>
      <c r="L943" s="2" t="s">
        <v>93</v>
      </c>
      <c r="M943" s="2" t="s">
        <v>661</v>
      </c>
      <c r="N943" s="2" t="s">
        <v>30</v>
      </c>
      <c r="O943" s="2" t="s">
        <v>56</v>
      </c>
      <c r="P943" s="2" t="s">
        <v>662</v>
      </c>
      <c r="Q943" s="2">
        <v>20.32</v>
      </c>
      <c r="R943" s="2">
        <v>4</v>
      </c>
      <c r="S943" s="2">
        <v>6.9088000000000003</v>
      </c>
      <c r="T943" s="2" t="s">
        <v>129</v>
      </c>
      <c r="U943" s="2" t="s">
        <v>297</v>
      </c>
    </row>
    <row r="944" spans="1:21" ht="14.25" customHeight="1" x14ac:dyDescent="0.3">
      <c r="A944" s="2" t="s">
        <v>2852</v>
      </c>
      <c r="B944" s="5">
        <v>41945</v>
      </c>
      <c r="C944" s="2" t="str">
        <f>TEXT(data[[#This Row],[Order Date]],"YYYY")</f>
        <v>2014</v>
      </c>
      <c r="D944" s="2">
        <v>41949</v>
      </c>
      <c r="E944" s="2" t="s">
        <v>39</v>
      </c>
      <c r="F944" s="2" t="s">
        <v>2853</v>
      </c>
      <c r="G944" s="2" t="s">
        <v>2854</v>
      </c>
      <c r="H944" s="2" t="s">
        <v>24</v>
      </c>
      <c r="I944" s="2" t="s">
        <v>25</v>
      </c>
      <c r="J944" s="2" t="s">
        <v>173</v>
      </c>
      <c r="K944" s="2" t="s">
        <v>120</v>
      </c>
      <c r="L944" s="2" t="s">
        <v>67</v>
      </c>
      <c r="M944" s="2" t="s">
        <v>1204</v>
      </c>
      <c r="N944" s="2" t="s">
        <v>30</v>
      </c>
      <c r="O944" s="2" t="s">
        <v>56</v>
      </c>
      <c r="P944" s="2" t="s">
        <v>1205</v>
      </c>
      <c r="Q944" s="2">
        <v>89.34</v>
      </c>
      <c r="R944" s="2">
        <v>6</v>
      </c>
      <c r="S944" s="2">
        <v>24.1218</v>
      </c>
      <c r="T944" s="2" t="s">
        <v>83</v>
      </c>
      <c r="U944" s="2" t="s">
        <v>34</v>
      </c>
    </row>
    <row r="945" spans="1:21" ht="14.25" customHeight="1" x14ac:dyDescent="0.3">
      <c r="A945" s="2" t="s">
        <v>2855</v>
      </c>
      <c r="B945" s="5">
        <v>42933</v>
      </c>
      <c r="C945" s="2" t="str">
        <f>TEXT(data[[#This Row],[Order Date]],"YYYY")</f>
        <v>2017</v>
      </c>
      <c r="D945" s="2">
        <v>42939</v>
      </c>
      <c r="E945" s="2" t="s">
        <v>39</v>
      </c>
      <c r="F945" s="2" t="s">
        <v>1872</v>
      </c>
      <c r="G945" s="2" t="s">
        <v>1873</v>
      </c>
      <c r="H945" s="2" t="s">
        <v>100</v>
      </c>
      <c r="I945" s="2" t="s">
        <v>25</v>
      </c>
      <c r="J945" s="2" t="s">
        <v>2856</v>
      </c>
      <c r="K945" s="2" t="s">
        <v>120</v>
      </c>
      <c r="L945" s="2" t="s">
        <v>67</v>
      </c>
      <c r="M945" s="2" t="s">
        <v>84</v>
      </c>
      <c r="N945" s="2" t="s">
        <v>30</v>
      </c>
      <c r="O945" s="2" t="s">
        <v>56</v>
      </c>
      <c r="P945" s="2" t="s">
        <v>1861</v>
      </c>
      <c r="Q945" s="2">
        <v>39.08</v>
      </c>
      <c r="R945" s="2">
        <v>4</v>
      </c>
      <c r="S945" s="2">
        <v>14.4596</v>
      </c>
      <c r="T945" s="2" t="s">
        <v>129</v>
      </c>
      <c r="U945" s="2" t="s">
        <v>71</v>
      </c>
    </row>
    <row r="946" spans="1:21" ht="14.25" customHeight="1" x14ac:dyDescent="0.3">
      <c r="A946" s="2" t="s">
        <v>2857</v>
      </c>
      <c r="B946" s="5">
        <v>42688</v>
      </c>
      <c r="C946" s="2" t="str">
        <f>TEXT(data[[#This Row],[Order Date]],"YYYY")</f>
        <v>2016</v>
      </c>
      <c r="D946" s="2">
        <v>42691</v>
      </c>
      <c r="E946" s="2" t="s">
        <v>87</v>
      </c>
      <c r="F946" s="2" t="s">
        <v>1300</v>
      </c>
      <c r="G946" s="2" t="s">
        <v>1301</v>
      </c>
      <c r="H946" s="2" t="s">
        <v>24</v>
      </c>
      <c r="I946" s="2" t="s">
        <v>25</v>
      </c>
      <c r="J946" s="2" t="s">
        <v>173</v>
      </c>
      <c r="K946" s="2" t="s">
        <v>120</v>
      </c>
      <c r="L946" s="2" t="s">
        <v>67</v>
      </c>
      <c r="M946" s="2" t="s">
        <v>805</v>
      </c>
      <c r="N946" s="2" t="s">
        <v>30</v>
      </c>
      <c r="O946" s="2" t="s">
        <v>36</v>
      </c>
      <c r="P946" s="2" t="s">
        <v>806</v>
      </c>
      <c r="Q946" s="2">
        <v>408.00599999999997</v>
      </c>
      <c r="R946" s="2">
        <v>2</v>
      </c>
      <c r="S946" s="2">
        <v>72.534400000000005</v>
      </c>
      <c r="T946" s="2" t="s">
        <v>33</v>
      </c>
      <c r="U946" s="2" t="s">
        <v>34</v>
      </c>
    </row>
    <row r="947" spans="1:21" ht="14.25" customHeight="1" x14ac:dyDescent="0.3">
      <c r="A947" s="2" t="s">
        <v>2858</v>
      </c>
      <c r="B947" s="5">
        <v>41922</v>
      </c>
      <c r="C947" s="2" t="str">
        <f>TEXT(data[[#This Row],[Order Date]],"YYYY")</f>
        <v>2014</v>
      </c>
      <c r="D947" s="2">
        <v>41922</v>
      </c>
      <c r="E947" s="2" t="s">
        <v>425</v>
      </c>
      <c r="F947" s="2" t="s">
        <v>517</v>
      </c>
      <c r="G947" s="2" t="s">
        <v>518</v>
      </c>
      <c r="H947" s="2" t="s">
        <v>100</v>
      </c>
      <c r="I947" s="2" t="s">
        <v>25</v>
      </c>
      <c r="J947" s="2" t="s">
        <v>2859</v>
      </c>
      <c r="K947" s="2" t="s">
        <v>53</v>
      </c>
      <c r="L947" s="2" t="s">
        <v>54</v>
      </c>
      <c r="M947" s="2" t="s">
        <v>68</v>
      </c>
      <c r="N947" s="2" t="s">
        <v>30</v>
      </c>
      <c r="O947" s="2" t="s">
        <v>36</v>
      </c>
      <c r="P947" s="2" t="s">
        <v>69</v>
      </c>
      <c r="Q947" s="2">
        <v>122.352</v>
      </c>
      <c r="R947" s="2">
        <v>3</v>
      </c>
      <c r="S947" s="2">
        <v>13.7646</v>
      </c>
      <c r="T947" s="2" t="s">
        <v>430</v>
      </c>
      <c r="U947" s="2" t="s">
        <v>48</v>
      </c>
    </row>
    <row r="948" spans="1:21" ht="14.25" customHeight="1" x14ac:dyDescent="0.3">
      <c r="A948" s="2" t="s">
        <v>2860</v>
      </c>
      <c r="B948" s="5">
        <v>42924</v>
      </c>
      <c r="C948" s="2" t="str">
        <f>TEXT(data[[#This Row],[Order Date]],"YYYY")</f>
        <v>2017</v>
      </c>
      <c r="D948" s="2">
        <v>42928</v>
      </c>
      <c r="E948" s="2" t="s">
        <v>39</v>
      </c>
      <c r="F948" s="2" t="s">
        <v>2861</v>
      </c>
      <c r="G948" s="2" t="s">
        <v>2862</v>
      </c>
      <c r="H948" s="2" t="s">
        <v>100</v>
      </c>
      <c r="I948" s="2" t="s">
        <v>25</v>
      </c>
      <c r="J948" s="2" t="s">
        <v>191</v>
      </c>
      <c r="K948" s="2" t="s">
        <v>192</v>
      </c>
      <c r="L948" s="2" t="s">
        <v>54</v>
      </c>
      <c r="M948" s="2" t="s">
        <v>1658</v>
      </c>
      <c r="N948" s="2" t="s">
        <v>30</v>
      </c>
      <c r="O948" s="2" t="s">
        <v>56</v>
      </c>
      <c r="P948" s="2" t="s">
        <v>1659</v>
      </c>
      <c r="Q948" s="2">
        <v>15.84</v>
      </c>
      <c r="R948" s="2">
        <v>3</v>
      </c>
      <c r="S948" s="2">
        <v>4.9104000000000001</v>
      </c>
      <c r="T948" s="2" t="s">
        <v>83</v>
      </c>
      <c r="U948" s="2" t="s">
        <v>71</v>
      </c>
    </row>
    <row r="949" spans="1:21" ht="14.25" customHeight="1" x14ac:dyDescent="0.3">
      <c r="A949" s="2" t="s">
        <v>2863</v>
      </c>
      <c r="B949" s="5">
        <v>42062</v>
      </c>
      <c r="C949" s="2" t="str">
        <f>TEXT(data[[#This Row],[Order Date]],"YYYY")</f>
        <v>2015</v>
      </c>
      <c r="D949" s="2">
        <v>42065</v>
      </c>
      <c r="E949" s="2" t="s">
        <v>39</v>
      </c>
      <c r="F949" s="2" t="s">
        <v>2864</v>
      </c>
      <c r="G949" s="2" t="s">
        <v>2865</v>
      </c>
      <c r="H949" s="2" t="s">
        <v>90</v>
      </c>
      <c r="I949" s="2" t="s">
        <v>25</v>
      </c>
      <c r="J949" s="2" t="s">
        <v>1644</v>
      </c>
      <c r="K949" s="2" t="s">
        <v>1645</v>
      </c>
      <c r="L949" s="2" t="s">
        <v>67</v>
      </c>
      <c r="M949" s="2" t="s">
        <v>2406</v>
      </c>
      <c r="N949" s="2" t="s">
        <v>30</v>
      </c>
      <c r="O949" s="2" t="s">
        <v>45</v>
      </c>
      <c r="P949" s="2" t="s">
        <v>2407</v>
      </c>
      <c r="Q949" s="2">
        <v>493.92</v>
      </c>
      <c r="R949" s="2">
        <v>7</v>
      </c>
      <c r="S949" s="2">
        <v>-28.224</v>
      </c>
      <c r="T949" s="2" t="s">
        <v>33</v>
      </c>
      <c r="U949" s="2" t="s">
        <v>297</v>
      </c>
    </row>
    <row r="950" spans="1:21" ht="14.25" customHeight="1" x14ac:dyDescent="0.3">
      <c r="A950" s="2" t="s">
        <v>2866</v>
      </c>
      <c r="B950" s="5">
        <v>42197</v>
      </c>
      <c r="C950" s="2" t="str">
        <f>TEXT(data[[#This Row],[Order Date]],"YYYY")</f>
        <v>2015</v>
      </c>
      <c r="D950" s="2">
        <v>42202</v>
      </c>
      <c r="E950" s="2" t="s">
        <v>21</v>
      </c>
      <c r="F950" s="2" t="s">
        <v>2867</v>
      </c>
      <c r="G950" s="2" t="s">
        <v>2868</v>
      </c>
      <c r="H950" s="2" t="s">
        <v>24</v>
      </c>
      <c r="I950" s="2" t="s">
        <v>25</v>
      </c>
      <c r="J950" s="2" t="s">
        <v>133</v>
      </c>
      <c r="K950" s="2" t="s">
        <v>134</v>
      </c>
      <c r="L950" s="2" t="s">
        <v>93</v>
      </c>
      <c r="M950" s="2" t="s">
        <v>298</v>
      </c>
      <c r="N950" s="2" t="s">
        <v>30</v>
      </c>
      <c r="O950" s="2" t="s">
        <v>36</v>
      </c>
      <c r="P950" s="2" t="s">
        <v>299</v>
      </c>
      <c r="Q950" s="2">
        <v>383.60700000000003</v>
      </c>
      <c r="R950" s="2">
        <v>9</v>
      </c>
      <c r="S950" s="2">
        <v>-5.4801000000000002</v>
      </c>
      <c r="T950" s="2" t="s">
        <v>58</v>
      </c>
      <c r="U950" s="2" t="s">
        <v>71</v>
      </c>
    </row>
    <row r="951" spans="1:21" ht="14.25" customHeight="1" x14ac:dyDescent="0.3">
      <c r="A951" s="2" t="s">
        <v>2866</v>
      </c>
      <c r="B951" s="5">
        <v>42197</v>
      </c>
      <c r="C951" s="2" t="str">
        <f>TEXT(data[[#This Row],[Order Date]],"YYYY")</f>
        <v>2015</v>
      </c>
      <c r="D951" s="2">
        <v>42202</v>
      </c>
      <c r="E951" s="2" t="s">
        <v>21</v>
      </c>
      <c r="F951" s="2" t="s">
        <v>2867</v>
      </c>
      <c r="G951" s="2" t="s">
        <v>2868</v>
      </c>
      <c r="H951" s="2" t="s">
        <v>24</v>
      </c>
      <c r="I951" s="2" t="s">
        <v>25</v>
      </c>
      <c r="J951" s="2" t="s">
        <v>133</v>
      </c>
      <c r="K951" s="2" t="s">
        <v>134</v>
      </c>
      <c r="L951" s="2" t="s">
        <v>93</v>
      </c>
      <c r="M951" s="2" t="s">
        <v>363</v>
      </c>
      <c r="N951" s="2" t="s">
        <v>30</v>
      </c>
      <c r="O951" s="2" t="s">
        <v>56</v>
      </c>
      <c r="P951" s="2" t="s">
        <v>364</v>
      </c>
      <c r="Q951" s="2">
        <v>7.76</v>
      </c>
      <c r="R951" s="2">
        <v>1</v>
      </c>
      <c r="S951" s="2">
        <v>-2.1339999999999999</v>
      </c>
      <c r="T951" s="2" t="s">
        <v>58</v>
      </c>
      <c r="U951" s="2" t="s">
        <v>71</v>
      </c>
    </row>
    <row r="952" spans="1:21" ht="14.25" customHeight="1" x14ac:dyDescent="0.3">
      <c r="A952" s="2" t="s">
        <v>2869</v>
      </c>
      <c r="B952" s="5">
        <v>41833</v>
      </c>
      <c r="C952" s="2" t="str">
        <f>TEXT(data[[#This Row],[Order Date]],"YYYY")</f>
        <v>2014</v>
      </c>
      <c r="D952" s="2">
        <v>41837</v>
      </c>
      <c r="E952" s="2" t="s">
        <v>39</v>
      </c>
      <c r="F952" s="2" t="s">
        <v>2870</v>
      </c>
      <c r="G952" s="2" t="s">
        <v>2871</v>
      </c>
      <c r="H952" s="2" t="s">
        <v>90</v>
      </c>
      <c r="I952" s="2" t="s">
        <v>25</v>
      </c>
      <c r="J952" s="2" t="s">
        <v>52</v>
      </c>
      <c r="K952" s="2" t="s">
        <v>53</v>
      </c>
      <c r="L952" s="2" t="s">
        <v>54</v>
      </c>
      <c r="M952" s="2" t="s">
        <v>1627</v>
      </c>
      <c r="N952" s="2" t="s">
        <v>30</v>
      </c>
      <c r="O952" s="2" t="s">
        <v>45</v>
      </c>
      <c r="P952" s="2" t="s">
        <v>1628</v>
      </c>
      <c r="Q952" s="2">
        <v>351.21600000000001</v>
      </c>
      <c r="R952" s="2">
        <v>3</v>
      </c>
      <c r="S952" s="2">
        <v>4.3902000000000001</v>
      </c>
      <c r="T952" s="2" t="s">
        <v>83</v>
      </c>
      <c r="U952" s="2" t="s">
        <v>71</v>
      </c>
    </row>
    <row r="953" spans="1:21" ht="14.25" customHeight="1" x14ac:dyDescent="0.3">
      <c r="A953" s="2" t="s">
        <v>2872</v>
      </c>
      <c r="B953" s="5">
        <v>42000</v>
      </c>
      <c r="C953" s="2" t="str">
        <f>TEXT(data[[#This Row],[Order Date]],"YYYY")</f>
        <v>2014</v>
      </c>
      <c r="D953" s="2">
        <v>42006</v>
      </c>
      <c r="E953" s="2" t="s">
        <v>39</v>
      </c>
      <c r="F953" s="2" t="s">
        <v>2873</v>
      </c>
      <c r="G953" s="2" t="s">
        <v>2874</v>
      </c>
      <c r="H953" s="2" t="s">
        <v>24</v>
      </c>
      <c r="I953" s="2" t="s">
        <v>25</v>
      </c>
      <c r="J953" s="2" t="s">
        <v>328</v>
      </c>
      <c r="K953" s="2" t="s">
        <v>53</v>
      </c>
      <c r="L953" s="2" t="s">
        <v>54</v>
      </c>
      <c r="M953" s="2" t="s">
        <v>466</v>
      </c>
      <c r="N953" s="2" t="s">
        <v>30</v>
      </c>
      <c r="O953" s="2" t="s">
        <v>36</v>
      </c>
      <c r="P953" s="2" t="s">
        <v>467</v>
      </c>
      <c r="Q953" s="2">
        <v>230.28</v>
      </c>
      <c r="R953" s="2">
        <v>3</v>
      </c>
      <c r="S953" s="2">
        <v>23.027999999999999</v>
      </c>
      <c r="T953" s="2" t="s">
        <v>129</v>
      </c>
      <c r="U953" s="2" t="s">
        <v>96</v>
      </c>
    </row>
    <row r="954" spans="1:21" ht="14.25" customHeight="1" x14ac:dyDescent="0.3">
      <c r="A954" s="2" t="s">
        <v>2875</v>
      </c>
      <c r="B954" s="5">
        <v>41764</v>
      </c>
      <c r="C954" s="2" t="str">
        <f>TEXT(data[[#This Row],[Order Date]],"YYYY")</f>
        <v>2014</v>
      </c>
      <c r="D954" s="2">
        <v>41767</v>
      </c>
      <c r="E954" s="2" t="s">
        <v>87</v>
      </c>
      <c r="F954" s="2" t="s">
        <v>73</v>
      </c>
      <c r="G954" s="2" t="s">
        <v>74</v>
      </c>
      <c r="H954" s="2" t="s">
        <v>24</v>
      </c>
      <c r="I954" s="2" t="s">
        <v>25</v>
      </c>
      <c r="J954" s="2" t="s">
        <v>245</v>
      </c>
      <c r="K954" s="2" t="s">
        <v>92</v>
      </c>
      <c r="L954" s="2" t="s">
        <v>93</v>
      </c>
      <c r="M954" s="2" t="s">
        <v>135</v>
      </c>
      <c r="N954" s="2" t="s">
        <v>30</v>
      </c>
      <c r="O954" s="2" t="s">
        <v>36</v>
      </c>
      <c r="P954" s="2" t="s">
        <v>136</v>
      </c>
      <c r="Q954" s="2">
        <v>127.869</v>
      </c>
      <c r="R954" s="2">
        <v>3</v>
      </c>
      <c r="S954" s="2">
        <v>-9.1334999999999997</v>
      </c>
      <c r="T954" s="2" t="s">
        <v>33</v>
      </c>
      <c r="U954" s="2" t="s">
        <v>161</v>
      </c>
    </row>
    <row r="955" spans="1:21" ht="14.25" customHeight="1" x14ac:dyDescent="0.3">
      <c r="A955" s="2" t="s">
        <v>2876</v>
      </c>
      <c r="B955" s="5">
        <v>42342</v>
      </c>
      <c r="C955" s="2" t="str">
        <f>TEXT(data[[#This Row],[Order Date]],"YYYY")</f>
        <v>2015</v>
      </c>
      <c r="D955" s="2">
        <v>42347</v>
      </c>
      <c r="E955" s="2" t="s">
        <v>21</v>
      </c>
      <c r="F955" s="2" t="s">
        <v>1866</v>
      </c>
      <c r="G955" s="2" t="s">
        <v>1867</v>
      </c>
      <c r="H955" s="2" t="s">
        <v>90</v>
      </c>
      <c r="I955" s="2" t="s">
        <v>25</v>
      </c>
      <c r="J955" s="2" t="s">
        <v>52</v>
      </c>
      <c r="K955" s="2" t="s">
        <v>53</v>
      </c>
      <c r="L955" s="2" t="s">
        <v>54</v>
      </c>
      <c r="M955" s="2" t="s">
        <v>2877</v>
      </c>
      <c r="N955" s="2" t="s">
        <v>30</v>
      </c>
      <c r="O955" s="2" t="s">
        <v>56</v>
      </c>
      <c r="P955" s="2" t="s">
        <v>2878</v>
      </c>
      <c r="Q955" s="2">
        <v>36.4</v>
      </c>
      <c r="R955" s="2">
        <v>5</v>
      </c>
      <c r="S955" s="2">
        <v>13.832000000000001</v>
      </c>
      <c r="T955" s="2" t="s">
        <v>58</v>
      </c>
      <c r="U955" s="2" t="s">
        <v>96</v>
      </c>
    </row>
    <row r="956" spans="1:21" ht="14.25" customHeight="1" x14ac:dyDescent="0.3">
      <c r="A956" s="2" t="s">
        <v>2879</v>
      </c>
      <c r="B956" s="5">
        <v>43004</v>
      </c>
      <c r="C956" s="2" t="str">
        <f>TEXT(data[[#This Row],[Order Date]],"YYYY")</f>
        <v>2017</v>
      </c>
      <c r="D956" s="2">
        <v>43008</v>
      </c>
      <c r="E956" s="2" t="s">
        <v>39</v>
      </c>
      <c r="F956" s="2" t="s">
        <v>1782</v>
      </c>
      <c r="G956" s="2" t="s">
        <v>1783</v>
      </c>
      <c r="H956" s="2" t="s">
        <v>100</v>
      </c>
      <c r="I956" s="2" t="s">
        <v>25</v>
      </c>
      <c r="J956" s="2" t="s">
        <v>2708</v>
      </c>
      <c r="K956" s="2" t="s">
        <v>43</v>
      </c>
      <c r="L956" s="2" t="s">
        <v>28</v>
      </c>
      <c r="M956" s="2" t="s">
        <v>2578</v>
      </c>
      <c r="N956" s="2" t="s">
        <v>30</v>
      </c>
      <c r="O956" s="2" t="s">
        <v>36</v>
      </c>
      <c r="P956" s="2" t="s">
        <v>2579</v>
      </c>
      <c r="Q956" s="2">
        <v>419.13600000000002</v>
      </c>
      <c r="R956" s="2">
        <v>4</v>
      </c>
      <c r="S956" s="2">
        <v>-57.6312</v>
      </c>
      <c r="T956" s="2" t="s">
        <v>83</v>
      </c>
      <c r="U956" s="2" t="s">
        <v>77</v>
      </c>
    </row>
    <row r="957" spans="1:21" ht="14.25" customHeight="1" x14ac:dyDescent="0.3">
      <c r="A957" s="2" t="s">
        <v>2880</v>
      </c>
      <c r="B957" s="5">
        <v>41748</v>
      </c>
      <c r="C957" s="2" t="str">
        <f>TEXT(data[[#This Row],[Order Date]],"YYYY")</f>
        <v>2014</v>
      </c>
      <c r="D957" s="2">
        <v>41750</v>
      </c>
      <c r="E957" s="2" t="s">
        <v>21</v>
      </c>
      <c r="F957" s="2" t="s">
        <v>1015</v>
      </c>
      <c r="G957" s="2" t="s">
        <v>1016</v>
      </c>
      <c r="H957" s="2" t="s">
        <v>100</v>
      </c>
      <c r="I957" s="2" t="s">
        <v>25</v>
      </c>
      <c r="J957" s="2" t="s">
        <v>1491</v>
      </c>
      <c r="K957" s="2" t="s">
        <v>53</v>
      </c>
      <c r="L957" s="2" t="s">
        <v>54</v>
      </c>
      <c r="M957" s="2" t="s">
        <v>308</v>
      </c>
      <c r="N957" s="2" t="s">
        <v>30</v>
      </c>
      <c r="O957" s="2" t="s">
        <v>56</v>
      </c>
      <c r="P957" s="2" t="s">
        <v>2586</v>
      </c>
      <c r="Q957" s="2">
        <v>76.14</v>
      </c>
      <c r="R957" s="2">
        <v>3</v>
      </c>
      <c r="S957" s="2">
        <v>26.649000000000001</v>
      </c>
      <c r="T957" s="2" t="s">
        <v>70</v>
      </c>
      <c r="U957" s="2" t="s">
        <v>113</v>
      </c>
    </row>
    <row r="958" spans="1:21" ht="14.25" customHeight="1" x14ac:dyDescent="0.3">
      <c r="A958" s="2" t="s">
        <v>2881</v>
      </c>
      <c r="B958" s="5">
        <v>42716</v>
      </c>
      <c r="C958" s="2" t="str">
        <f>TEXT(data[[#This Row],[Order Date]],"YYYY")</f>
        <v>2016</v>
      </c>
      <c r="D958" s="2">
        <v>42722</v>
      </c>
      <c r="E958" s="2" t="s">
        <v>39</v>
      </c>
      <c r="F958" s="2" t="s">
        <v>2882</v>
      </c>
      <c r="G958" s="2" t="s">
        <v>2883</v>
      </c>
      <c r="H958" s="2" t="s">
        <v>100</v>
      </c>
      <c r="I958" s="2" t="s">
        <v>25</v>
      </c>
      <c r="J958" s="2" t="s">
        <v>477</v>
      </c>
      <c r="K958" s="2" t="s">
        <v>289</v>
      </c>
      <c r="L958" s="2" t="s">
        <v>93</v>
      </c>
      <c r="M958" s="2" t="s">
        <v>1147</v>
      </c>
      <c r="N958" s="2" t="s">
        <v>30</v>
      </c>
      <c r="O958" s="2" t="s">
        <v>56</v>
      </c>
      <c r="P958" s="2" t="s">
        <v>1148</v>
      </c>
      <c r="Q958" s="2">
        <v>33.479999999999997</v>
      </c>
      <c r="R958" s="2">
        <v>4</v>
      </c>
      <c r="S958" s="2">
        <v>8.7048000000000005</v>
      </c>
      <c r="T958" s="2" t="s">
        <v>129</v>
      </c>
      <c r="U958" s="2" t="s">
        <v>96</v>
      </c>
    </row>
    <row r="959" spans="1:21" ht="14.25" customHeight="1" x14ac:dyDescent="0.3">
      <c r="A959" s="2" t="s">
        <v>2884</v>
      </c>
      <c r="B959" s="5">
        <v>42632</v>
      </c>
      <c r="C959" s="2" t="str">
        <f>TEXT(data[[#This Row],[Order Date]],"YYYY")</f>
        <v>2016</v>
      </c>
      <c r="D959" s="2">
        <v>42635</v>
      </c>
      <c r="E959" s="2" t="s">
        <v>87</v>
      </c>
      <c r="F959" s="2" t="s">
        <v>1950</v>
      </c>
      <c r="G959" s="2" t="s">
        <v>1951</v>
      </c>
      <c r="H959" s="2" t="s">
        <v>100</v>
      </c>
      <c r="I959" s="2" t="s">
        <v>25</v>
      </c>
      <c r="J959" s="2" t="s">
        <v>65</v>
      </c>
      <c r="K959" s="2" t="s">
        <v>66</v>
      </c>
      <c r="L959" s="2" t="s">
        <v>67</v>
      </c>
      <c r="M959" s="2" t="s">
        <v>2885</v>
      </c>
      <c r="N959" s="2" t="s">
        <v>30</v>
      </c>
      <c r="O959" s="2" t="s">
        <v>56</v>
      </c>
      <c r="P959" s="2" t="s">
        <v>2886</v>
      </c>
      <c r="Q959" s="2">
        <v>25.632000000000001</v>
      </c>
      <c r="R959" s="2">
        <v>3</v>
      </c>
      <c r="S959" s="2">
        <v>3.8448000000000002</v>
      </c>
      <c r="T959" s="2" t="s">
        <v>33</v>
      </c>
      <c r="U959" s="2" t="s">
        <v>77</v>
      </c>
    </row>
    <row r="960" spans="1:21" ht="14.25" customHeight="1" x14ac:dyDescent="0.3">
      <c r="A960" s="2" t="s">
        <v>2887</v>
      </c>
      <c r="B960" s="5">
        <v>43041</v>
      </c>
      <c r="C960" s="2" t="str">
        <f>TEXT(data[[#This Row],[Order Date]],"YYYY")</f>
        <v>2017</v>
      </c>
      <c r="D960" s="2">
        <v>43043</v>
      </c>
      <c r="E960" s="2" t="s">
        <v>21</v>
      </c>
      <c r="F960" s="2" t="s">
        <v>2038</v>
      </c>
      <c r="G960" s="2" t="s">
        <v>2039</v>
      </c>
      <c r="H960" s="2" t="s">
        <v>100</v>
      </c>
      <c r="I960" s="2" t="s">
        <v>25</v>
      </c>
      <c r="J960" s="2" t="s">
        <v>2888</v>
      </c>
      <c r="K960" s="2" t="s">
        <v>53</v>
      </c>
      <c r="L960" s="2" t="s">
        <v>54</v>
      </c>
      <c r="M960" s="2" t="s">
        <v>2889</v>
      </c>
      <c r="N960" s="2" t="s">
        <v>30</v>
      </c>
      <c r="O960" s="2" t="s">
        <v>56</v>
      </c>
      <c r="P960" s="2" t="s">
        <v>2890</v>
      </c>
      <c r="Q960" s="2">
        <v>25.02</v>
      </c>
      <c r="R960" s="2">
        <v>3</v>
      </c>
      <c r="S960" s="2">
        <v>10.5084</v>
      </c>
      <c r="T960" s="2" t="s">
        <v>70</v>
      </c>
      <c r="U960" s="2" t="s">
        <v>34</v>
      </c>
    </row>
    <row r="961" spans="1:21" ht="14.25" customHeight="1" x14ac:dyDescent="0.3">
      <c r="A961" s="2" t="s">
        <v>2891</v>
      </c>
      <c r="B961" s="5">
        <v>42730</v>
      </c>
      <c r="C961" s="2" t="str">
        <f>TEXT(data[[#This Row],[Order Date]],"YYYY")</f>
        <v>2016</v>
      </c>
      <c r="D961" s="2">
        <v>42735</v>
      </c>
      <c r="E961" s="2" t="s">
        <v>39</v>
      </c>
      <c r="F961" s="2" t="s">
        <v>2892</v>
      </c>
      <c r="G961" s="2" t="s">
        <v>2893</v>
      </c>
      <c r="H961" s="2" t="s">
        <v>90</v>
      </c>
      <c r="I961" s="2" t="s">
        <v>25</v>
      </c>
      <c r="J961" s="2" t="s">
        <v>52</v>
      </c>
      <c r="K961" s="2" t="s">
        <v>53</v>
      </c>
      <c r="L961" s="2" t="s">
        <v>54</v>
      </c>
      <c r="M961" s="2" t="s">
        <v>2428</v>
      </c>
      <c r="N961" s="2" t="s">
        <v>30</v>
      </c>
      <c r="O961" s="2" t="s">
        <v>36</v>
      </c>
      <c r="P961" s="2" t="s">
        <v>2429</v>
      </c>
      <c r="Q961" s="2">
        <v>146.352</v>
      </c>
      <c r="R961" s="2">
        <v>3</v>
      </c>
      <c r="S961" s="2">
        <v>-5.4882</v>
      </c>
      <c r="T961" s="2" t="s">
        <v>58</v>
      </c>
      <c r="U961" s="2" t="s">
        <v>96</v>
      </c>
    </row>
    <row r="962" spans="1:21" ht="14.25" customHeight="1" x14ac:dyDescent="0.3">
      <c r="A962" s="2" t="s">
        <v>2891</v>
      </c>
      <c r="B962" s="5">
        <v>42730</v>
      </c>
      <c r="C962" s="2" t="str">
        <f>TEXT(data[[#This Row],[Order Date]],"YYYY")</f>
        <v>2016</v>
      </c>
      <c r="D962" s="2">
        <v>42735</v>
      </c>
      <c r="E962" s="2" t="s">
        <v>39</v>
      </c>
      <c r="F962" s="2" t="s">
        <v>2892</v>
      </c>
      <c r="G962" s="2" t="s">
        <v>2893</v>
      </c>
      <c r="H962" s="2" t="s">
        <v>90</v>
      </c>
      <c r="I962" s="2" t="s">
        <v>25</v>
      </c>
      <c r="J962" s="2" t="s">
        <v>52</v>
      </c>
      <c r="K962" s="2" t="s">
        <v>53</v>
      </c>
      <c r="L962" s="2" t="s">
        <v>54</v>
      </c>
      <c r="M962" s="2" t="s">
        <v>306</v>
      </c>
      <c r="N962" s="2" t="s">
        <v>30</v>
      </c>
      <c r="O962" s="2" t="s">
        <v>45</v>
      </c>
      <c r="P962" s="2" t="s">
        <v>307</v>
      </c>
      <c r="Q962" s="2">
        <v>902.71199999999999</v>
      </c>
      <c r="R962" s="2">
        <v>3</v>
      </c>
      <c r="S962" s="2">
        <v>33.851700000000001</v>
      </c>
      <c r="T962" s="2" t="s">
        <v>58</v>
      </c>
      <c r="U962" s="2" t="s">
        <v>96</v>
      </c>
    </row>
    <row r="963" spans="1:21" ht="14.25" customHeight="1" x14ac:dyDescent="0.3">
      <c r="A963" s="2" t="s">
        <v>2894</v>
      </c>
      <c r="B963" s="5">
        <v>42201</v>
      </c>
      <c r="C963" s="2" t="str">
        <f>TEXT(data[[#This Row],[Order Date]],"YYYY")</f>
        <v>2015</v>
      </c>
      <c r="D963" s="2">
        <v>42205</v>
      </c>
      <c r="E963" s="2" t="s">
        <v>39</v>
      </c>
      <c r="F963" s="2" t="s">
        <v>2895</v>
      </c>
      <c r="G963" s="2" t="s">
        <v>2896</v>
      </c>
      <c r="H963" s="2" t="s">
        <v>100</v>
      </c>
      <c r="I963" s="2" t="s">
        <v>25</v>
      </c>
      <c r="J963" s="2" t="s">
        <v>2754</v>
      </c>
      <c r="K963" s="2" t="s">
        <v>1089</v>
      </c>
      <c r="L963" s="2" t="s">
        <v>67</v>
      </c>
      <c r="M963" s="2" t="s">
        <v>656</v>
      </c>
      <c r="N963" s="2" t="s">
        <v>30</v>
      </c>
      <c r="O963" s="2" t="s">
        <v>36</v>
      </c>
      <c r="P963" s="2" t="s">
        <v>657</v>
      </c>
      <c r="Q963" s="2">
        <v>150.97999999999999</v>
      </c>
      <c r="R963" s="2">
        <v>1</v>
      </c>
      <c r="S963" s="2">
        <v>43.784199999999998</v>
      </c>
      <c r="T963" s="2" t="s">
        <v>83</v>
      </c>
      <c r="U963" s="2" t="s">
        <v>71</v>
      </c>
    </row>
    <row r="964" spans="1:21" ht="14.25" customHeight="1" x14ac:dyDescent="0.3">
      <c r="A964" s="2" t="s">
        <v>2897</v>
      </c>
      <c r="B964" s="5">
        <v>43048</v>
      </c>
      <c r="C964" s="2" t="str">
        <f>TEXT(data[[#This Row],[Order Date]],"YYYY")</f>
        <v>2017</v>
      </c>
      <c r="D964" s="2">
        <v>43053</v>
      </c>
      <c r="E964" s="2" t="s">
        <v>39</v>
      </c>
      <c r="F964" s="2" t="s">
        <v>138</v>
      </c>
      <c r="G964" s="2" t="s">
        <v>139</v>
      </c>
      <c r="H964" s="2" t="s">
        <v>24</v>
      </c>
      <c r="I964" s="2" t="s">
        <v>25</v>
      </c>
      <c r="J964" s="2" t="s">
        <v>761</v>
      </c>
      <c r="K964" s="2" t="s">
        <v>53</v>
      </c>
      <c r="L964" s="2" t="s">
        <v>54</v>
      </c>
      <c r="M964" s="2" t="s">
        <v>422</v>
      </c>
      <c r="N964" s="2" t="s">
        <v>30</v>
      </c>
      <c r="O964" s="2" t="s">
        <v>56</v>
      </c>
      <c r="P964" s="2" t="s">
        <v>423</v>
      </c>
      <c r="Q964" s="2">
        <v>47.12</v>
      </c>
      <c r="R964" s="2">
        <v>8</v>
      </c>
      <c r="S964" s="2">
        <v>20.732800000000001</v>
      </c>
      <c r="T964" s="2" t="s">
        <v>58</v>
      </c>
      <c r="U964" s="2" t="s">
        <v>34</v>
      </c>
    </row>
    <row r="965" spans="1:21" ht="14.25" customHeight="1" x14ac:dyDescent="0.3">
      <c r="A965" s="2" t="s">
        <v>2898</v>
      </c>
      <c r="B965" s="5">
        <v>42268</v>
      </c>
      <c r="C965" s="2" t="str">
        <f>TEXT(data[[#This Row],[Order Date]],"YYYY")</f>
        <v>2015</v>
      </c>
      <c r="D965" s="2">
        <v>42273</v>
      </c>
      <c r="E965" s="2" t="s">
        <v>39</v>
      </c>
      <c r="F965" s="2" t="s">
        <v>2387</v>
      </c>
      <c r="G965" s="2" t="s">
        <v>2388</v>
      </c>
      <c r="H965" s="2" t="s">
        <v>100</v>
      </c>
      <c r="I965" s="2" t="s">
        <v>25</v>
      </c>
      <c r="J965" s="2" t="s">
        <v>1357</v>
      </c>
      <c r="K965" s="2" t="s">
        <v>434</v>
      </c>
      <c r="L965" s="2" t="s">
        <v>67</v>
      </c>
      <c r="M965" s="2" t="s">
        <v>420</v>
      </c>
      <c r="N965" s="2" t="s">
        <v>30</v>
      </c>
      <c r="O965" s="2" t="s">
        <v>36</v>
      </c>
      <c r="P965" s="2" t="s">
        <v>421</v>
      </c>
      <c r="Q965" s="2">
        <v>542.94000000000005</v>
      </c>
      <c r="R965" s="2">
        <v>3</v>
      </c>
      <c r="S965" s="2">
        <v>141.1644</v>
      </c>
      <c r="T965" s="2" t="s">
        <v>58</v>
      </c>
      <c r="U965" s="2" t="s">
        <v>77</v>
      </c>
    </row>
    <row r="966" spans="1:21" ht="14.25" customHeight="1" x14ac:dyDescent="0.3">
      <c r="A966" s="2" t="s">
        <v>2899</v>
      </c>
      <c r="B966" s="5">
        <v>42987</v>
      </c>
      <c r="C966" s="2" t="str">
        <f>TEXT(data[[#This Row],[Order Date]],"YYYY")</f>
        <v>2017</v>
      </c>
      <c r="D966" s="2">
        <v>42992</v>
      </c>
      <c r="E966" s="2" t="s">
        <v>39</v>
      </c>
      <c r="F966" s="2" t="s">
        <v>40</v>
      </c>
      <c r="G966" s="2" t="s">
        <v>41</v>
      </c>
      <c r="H966" s="2" t="s">
        <v>24</v>
      </c>
      <c r="I966" s="2" t="s">
        <v>25</v>
      </c>
      <c r="J966" s="2" t="s">
        <v>157</v>
      </c>
      <c r="K966" s="2" t="s">
        <v>141</v>
      </c>
      <c r="L966" s="2" t="s">
        <v>28</v>
      </c>
      <c r="M966" s="2" t="s">
        <v>422</v>
      </c>
      <c r="N966" s="2" t="s">
        <v>30</v>
      </c>
      <c r="O966" s="2" t="s">
        <v>56</v>
      </c>
      <c r="P966" s="2" t="s">
        <v>423</v>
      </c>
      <c r="Q966" s="2">
        <v>14.135999999999999</v>
      </c>
      <c r="R966" s="2">
        <v>3</v>
      </c>
      <c r="S966" s="2">
        <v>4.2408000000000001</v>
      </c>
      <c r="T966" s="2" t="s">
        <v>58</v>
      </c>
      <c r="U966" s="2" t="s">
        <v>77</v>
      </c>
    </row>
    <row r="967" spans="1:21" ht="14.25" customHeight="1" x14ac:dyDescent="0.3">
      <c r="A967" s="2" t="s">
        <v>2900</v>
      </c>
      <c r="B967" s="5">
        <v>42292</v>
      </c>
      <c r="C967" s="2" t="str">
        <f>TEXT(data[[#This Row],[Order Date]],"YYYY")</f>
        <v>2015</v>
      </c>
      <c r="D967" s="2">
        <v>42292</v>
      </c>
      <c r="E967" s="2" t="s">
        <v>425</v>
      </c>
      <c r="F967" s="2" t="s">
        <v>867</v>
      </c>
      <c r="G967" s="2" t="s">
        <v>868</v>
      </c>
      <c r="H967" s="2" t="s">
        <v>24</v>
      </c>
      <c r="I967" s="2" t="s">
        <v>25</v>
      </c>
      <c r="J967" s="2" t="s">
        <v>2221</v>
      </c>
      <c r="K967" s="2" t="s">
        <v>289</v>
      </c>
      <c r="L967" s="2" t="s">
        <v>93</v>
      </c>
      <c r="M967" s="2" t="s">
        <v>2901</v>
      </c>
      <c r="N967" s="2" t="s">
        <v>30</v>
      </c>
      <c r="O967" s="2" t="s">
        <v>56</v>
      </c>
      <c r="P967" s="2" t="s">
        <v>2902</v>
      </c>
      <c r="Q967" s="2">
        <v>17.14</v>
      </c>
      <c r="R967" s="2">
        <v>2</v>
      </c>
      <c r="S967" s="2">
        <v>6.1703999999999999</v>
      </c>
      <c r="T967" s="2" t="s">
        <v>430</v>
      </c>
      <c r="U967" s="2" t="s">
        <v>48</v>
      </c>
    </row>
    <row r="968" spans="1:21" ht="14.25" customHeight="1" x14ac:dyDescent="0.3">
      <c r="A968" s="2" t="s">
        <v>2903</v>
      </c>
      <c r="B968" s="5">
        <v>42950</v>
      </c>
      <c r="C968" s="2" t="str">
        <f>TEXT(data[[#This Row],[Order Date]],"YYYY")</f>
        <v>2017</v>
      </c>
      <c r="D968" s="2">
        <v>42955</v>
      </c>
      <c r="E968" s="2" t="s">
        <v>21</v>
      </c>
      <c r="F968" s="2" t="s">
        <v>633</v>
      </c>
      <c r="G968" s="2" t="s">
        <v>634</v>
      </c>
      <c r="H968" s="2" t="s">
        <v>24</v>
      </c>
      <c r="I968" s="2" t="s">
        <v>25</v>
      </c>
      <c r="J968" s="2" t="s">
        <v>328</v>
      </c>
      <c r="K968" s="2" t="s">
        <v>53</v>
      </c>
      <c r="L968" s="2" t="s">
        <v>54</v>
      </c>
      <c r="M968" s="2" t="s">
        <v>596</v>
      </c>
      <c r="N968" s="2" t="s">
        <v>30</v>
      </c>
      <c r="O968" s="2" t="s">
        <v>56</v>
      </c>
      <c r="P968" s="2" t="s">
        <v>597</v>
      </c>
      <c r="Q968" s="2">
        <v>123.96</v>
      </c>
      <c r="R968" s="2">
        <v>3</v>
      </c>
      <c r="S968" s="2">
        <v>11.1564</v>
      </c>
      <c r="T968" s="2" t="s">
        <v>58</v>
      </c>
      <c r="U968" s="2" t="s">
        <v>253</v>
      </c>
    </row>
    <row r="969" spans="1:21" ht="14.25" customHeight="1" x14ac:dyDescent="0.3">
      <c r="A969" s="2" t="s">
        <v>2904</v>
      </c>
      <c r="B969" s="5">
        <v>42237</v>
      </c>
      <c r="C969" s="2" t="str">
        <f>TEXT(data[[#This Row],[Order Date]],"YYYY")</f>
        <v>2015</v>
      </c>
      <c r="D969" s="2">
        <v>42242</v>
      </c>
      <c r="E969" s="2" t="s">
        <v>39</v>
      </c>
      <c r="F969" s="2" t="s">
        <v>286</v>
      </c>
      <c r="G969" s="2" t="s">
        <v>287</v>
      </c>
      <c r="H969" s="2" t="s">
        <v>90</v>
      </c>
      <c r="I969" s="2" t="s">
        <v>25</v>
      </c>
      <c r="J969" s="2" t="s">
        <v>328</v>
      </c>
      <c r="K969" s="2" t="s">
        <v>53</v>
      </c>
      <c r="L969" s="2" t="s">
        <v>54</v>
      </c>
      <c r="M969" s="2" t="s">
        <v>2905</v>
      </c>
      <c r="N969" s="2" t="s">
        <v>30</v>
      </c>
      <c r="O969" s="2" t="s">
        <v>31</v>
      </c>
      <c r="P969" s="2" t="s">
        <v>2906</v>
      </c>
      <c r="Q969" s="2">
        <v>586.39800000000002</v>
      </c>
      <c r="R969" s="2">
        <v>6</v>
      </c>
      <c r="S969" s="2">
        <v>34.494</v>
      </c>
      <c r="T969" s="2" t="s">
        <v>58</v>
      </c>
      <c r="U969" s="2" t="s">
        <v>253</v>
      </c>
    </row>
    <row r="970" spans="1:21" ht="14.25" customHeight="1" x14ac:dyDescent="0.3">
      <c r="A970" s="2" t="s">
        <v>2907</v>
      </c>
      <c r="B970" s="5">
        <v>43030</v>
      </c>
      <c r="C970" s="2" t="str">
        <f>TEXT(data[[#This Row],[Order Date]],"YYYY")</f>
        <v>2017</v>
      </c>
      <c r="D970" s="2">
        <v>43032</v>
      </c>
      <c r="E970" s="2" t="s">
        <v>21</v>
      </c>
      <c r="F970" s="2" t="s">
        <v>2908</v>
      </c>
      <c r="G970" s="2" t="s">
        <v>2909</v>
      </c>
      <c r="H970" s="2" t="s">
        <v>24</v>
      </c>
      <c r="I970" s="2" t="s">
        <v>25</v>
      </c>
      <c r="J970" s="2" t="s">
        <v>2343</v>
      </c>
      <c r="K970" s="2" t="s">
        <v>180</v>
      </c>
      <c r="L970" s="2" t="s">
        <v>54</v>
      </c>
      <c r="M970" s="2" t="s">
        <v>2910</v>
      </c>
      <c r="N970" s="2" t="s">
        <v>30</v>
      </c>
      <c r="O970" s="2" t="s">
        <v>36</v>
      </c>
      <c r="P970" s="2" t="s">
        <v>2911</v>
      </c>
      <c r="Q970" s="2">
        <v>579.13599999999997</v>
      </c>
      <c r="R970" s="2">
        <v>4</v>
      </c>
      <c r="S970" s="2">
        <v>-28.956800000000001</v>
      </c>
      <c r="T970" s="2" t="s">
        <v>70</v>
      </c>
      <c r="U970" s="2" t="s">
        <v>48</v>
      </c>
    </row>
    <row r="971" spans="1:21" ht="14.25" customHeight="1" x14ac:dyDescent="0.3">
      <c r="A971" s="2" t="s">
        <v>2912</v>
      </c>
      <c r="B971" s="5">
        <v>42594</v>
      </c>
      <c r="C971" s="2" t="str">
        <f>TEXT(data[[#This Row],[Order Date]],"YYYY")</f>
        <v>2016</v>
      </c>
      <c r="D971" s="2">
        <v>42598</v>
      </c>
      <c r="E971" s="2" t="s">
        <v>39</v>
      </c>
      <c r="F971" s="2" t="s">
        <v>1820</v>
      </c>
      <c r="G971" s="2" t="s">
        <v>1821</v>
      </c>
      <c r="H971" s="2" t="s">
        <v>100</v>
      </c>
      <c r="I971" s="2" t="s">
        <v>25</v>
      </c>
      <c r="J971" s="2" t="s">
        <v>173</v>
      </c>
      <c r="K971" s="2" t="s">
        <v>120</v>
      </c>
      <c r="L971" s="2" t="s">
        <v>67</v>
      </c>
      <c r="M971" s="2" t="s">
        <v>510</v>
      </c>
      <c r="N971" s="2" t="s">
        <v>30</v>
      </c>
      <c r="O971" s="2" t="s">
        <v>36</v>
      </c>
      <c r="P971" s="2" t="s">
        <v>511</v>
      </c>
      <c r="Q971" s="2">
        <v>145.76400000000001</v>
      </c>
      <c r="R971" s="2">
        <v>2</v>
      </c>
      <c r="S971" s="2">
        <v>-8.0980000000000008</v>
      </c>
      <c r="T971" s="2" t="s">
        <v>83</v>
      </c>
      <c r="U971" s="2" t="s">
        <v>253</v>
      </c>
    </row>
    <row r="972" spans="1:21" ht="14.25" customHeight="1" x14ac:dyDescent="0.3">
      <c r="A972" s="2" t="s">
        <v>2913</v>
      </c>
      <c r="B972" s="5">
        <v>42486</v>
      </c>
      <c r="C972" s="2" t="str">
        <f>TEXT(data[[#This Row],[Order Date]],"YYYY")</f>
        <v>2016</v>
      </c>
      <c r="D972" s="2">
        <v>42491</v>
      </c>
      <c r="E972" s="2" t="s">
        <v>39</v>
      </c>
      <c r="F972" s="2" t="s">
        <v>2914</v>
      </c>
      <c r="G972" s="2" t="s">
        <v>2915</v>
      </c>
      <c r="H972" s="2" t="s">
        <v>100</v>
      </c>
      <c r="I972" s="2" t="s">
        <v>25</v>
      </c>
      <c r="J972" s="2" t="s">
        <v>173</v>
      </c>
      <c r="K972" s="2" t="s">
        <v>120</v>
      </c>
      <c r="L972" s="2" t="s">
        <v>67</v>
      </c>
      <c r="M972" s="2" t="s">
        <v>2549</v>
      </c>
      <c r="N972" s="2" t="s">
        <v>30</v>
      </c>
      <c r="O972" s="2" t="s">
        <v>36</v>
      </c>
      <c r="P972" s="2" t="s">
        <v>2550</v>
      </c>
      <c r="Q972" s="2">
        <v>434.64600000000002</v>
      </c>
      <c r="R972" s="2">
        <v>3</v>
      </c>
      <c r="S972" s="2">
        <v>62.782200000000003</v>
      </c>
      <c r="T972" s="2" t="s">
        <v>58</v>
      </c>
      <c r="U972" s="2" t="s">
        <v>113</v>
      </c>
    </row>
    <row r="973" spans="1:21" ht="14.25" customHeight="1" x14ac:dyDescent="0.3">
      <c r="A973" s="2" t="s">
        <v>2916</v>
      </c>
      <c r="B973" s="5">
        <v>42127</v>
      </c>
      <c r="C973" s="2" t="str">
        <f>TEXT(data[[#This Row],[Order Date]],"YYYY")</f>
        <v>2015</v>
      </c>
      <c r="D973" s="2">
        <v>42131</v>
      </c>
      <c r="E973" s="2" t="s">
        <v>39</v>
      </c>
      <c r="F973" s="2" t="s">
        <v>2917</v>
      </c>
      <c r="G973" s="2" t="s">
        <v>2918</v>
      </c>
      <c r="H973" s="2" t="s">
        <v>24</v>
      </c>
      <c r="I973" s="2" t="s">
        <v>25</v>
      </c>
      <c r="J973" s="2" t="s">
        <v>65</v>
      </c>
      <c r="K973" s="2" t="s">
        <v>66</v>
      </c>
      <c r="L973" s="2" t="s">
        <v>67</v>
      </c>
      <c r="M973" s="2" t="s">
        <v>329</v>
      </c>
      <c r="N973" s="2" t="s">
        <v>30</v>
      </c>
      <c r="O973" s="2" t="s">
        <v>36</v>
      </c>
      <c r="P973" s="2" t="s">
        <v>330</v>
      </c>
      <c r="Q973" s="2">
        <v>844.11599999999999</v>
      </c>
      <c r="R973" s="2">
        <v>6</v>
      </c>
      <c r="S973" s="2">
        <v>-36.176400000000001</v>
      </c>
      <c r="T973" s="2" t="s">
        <v>83</v>
      </c>
      <c r="U973" s="2" t="s">
        <v>161</v>
      </c>
    </row>
    <row r="974" spans="1:21" ht="14.25" customHeight="1" x14ac:dyDescent="0.3">
      <c r="A974" s="2" t="s">
        <v>2919</v>
      </c>
      <c r="B974" s="5">
        <v>42379</v>
      </c>
      <c r="C974" s="2" t="str">
        <f>TEXT(data[[#This Row],[Order Date]],"YYYY")</f>
        <v>2016</v>
      </c>
      <c r="D974" s="2">
        <v>42386</v>
      </c>
      <c r="E974" s="2" t="s">
        <v>39</v>
      </c>
      <c r="F974" s="2" t="s">
        <v>2556</v>
      </c>
      <c r="G974" s="2" t="s">
        <v>2557</v>
      </c>
      <c r="H974" s="2" t="s">
        <v>90</v>
      </c>
      <c r="I974" s="2" t="s">
        <v>25</v>
      </c>
      <c r="J974" s="2" t="s">
        <v>191</v>
      </c>
      <c r="K974" s="2" t="s">
        <v>192</v>
      </c>
      <c r="L974" s="2" t="s">
        <v>54</v>
      </c>
      <c r="M974" s="2" t="s">
        <v>1121</v>
      </c>
      <c r="N974" s="2" t="s">
        <v>30</v>
      </c>
      <c r="O974" s="2" t="s">
        <v>56</v>
      </c>
      <c r="P974" s="2" t="s">
        <v>1122</v>
      </c>
      <c r="Q974" s="2">
        <v>79.92</v>
      </c>
      <c r="R974" s="2">
        <v>4</v>
      </c>
      <c r="S974" s="2">
        <v>34.365600000000001</v>
      </c>
      <c r="T974" s="2" t="s">
        <v>47</v>
      </c>
      <c r="U974" s="2" t="s">
        <v>169</v>
      </c>
    </row>
    <row r="975" spans="1:21" ht="14.25" customHeight="1" x14ac:dyDescent="0.3">
      <c r="A975" s="2" t="s">
        <v>2920</v>
      </c>
      <c r="B975" s="5">
        <v>42861</v>
      </c>
      <c r="C975" s="2" t="str">
        <f>TEXT(data[[#This Row],[Order Date]],"YYYY")</f>
        <v>2017</v>
      </c>
      <c r="D975" s="2">
        <v>42866</v>
      </c>
      <c r="E975" s="2" t="s">
        <v>39</v>
      </c>
      <c r="F975" s="2" t="s">
        <v>2921</v>
      </c>
      <c r="G975" s="2" t="s">
        <v>2922</v>
      </c>
      <c r="H975" s="2" t="s">
        <v>90</v>
      </c>
      <c r="I975" s="2" t="s">
        <v>25</v>
      </c>
      <c r="J975" s="2" t="s">
        <v>595</v>
      </c>
      <c r="K975" s="2" t="s">
        <v>92</v>
      </c>
      <c r="L975" s="2" t="s">
        <v>93</v>
      </c>
      <c r="M975" s="2" t="s">
        <v>534</v>
      </c>
      <c r="N975" s="2" t="s">
        <v>30</v>
      </c>
      <c r="O975" s="2" t="s">
        <v>31</v>
      </c>
      <c r="P975" s="2" t="s">
        <v>535</v>
      </c>
      <c r="Q975" s="2">
        <v>623.46479999999997</v>
      </c>
      <c r="R975" s="2">
        <v>7</v>
      </c>
      <c r="S975" s="2">
        <v>-119.1918</v>
      </c>
      <c r="T975" s="2" t="s">
        <v>58</v>
      </c>
      <c r="U975" s="2" t="s">
        <v>161</v>
      </c>
    </row>
    <row r="976" spans="1:21" ht="14.25" customHeight="1" x14ac:dyDescent="0.3">
      <c r="A976" s="2" t="s">
        <v>2923</v>
      </c>
      <c r="B976" s="5">
        <v>42582</v>
      </c>
      <c r="C976" s="2" t="str">
        <f>TEXT(data[[#This Row],[Order Date]],"YYYY")</f>
        <v>2016</v>
      </c>
      <c r="D976" s="2">
        <v>42588</v>
      </c>
      <c r="E976" s="2" t="s">
        <v>39</v>
      </c>
      <c r="F976" s="2" t="s">
        <v>311</v>
      </c>
      <c r="G976" s="2" t="s">
        <v>312</v>
      </c>
      <c r="H976" s="2" t="s">
        <v>24</v>
      </c>
      <c r="I976" s="2" t="s">
        <v>25</v>
      </c>
      <c r="J976" s="2" t="s">
        <v>288</v>
      </c>
      <c r="K976" s="2" t="s">
        <v>289</v>
      </c>
      <c r="L976" s="2" t="s">
        <v>93</v>
      </c>
      <c r="M976" s="2" t="s">
        <v>358</v>
      </c>
      <c r="N976" s="2" t="s">
        <v>30</v>
      </c>
      <c r="O976" s="2" t="s">
        <v>56</v>
      </c>
      <c r="P976" s="2" t="s">
        <v>359</v>
      </c>
      <c r="Q976" s="2">
        <v>272.94</v>
      </c>
      <c r="R976" s="2">
        <v>3</v>
      </c>
      <c r="S976" s="2">
        <v>30.023399999999999</v>
      </c>
      <c r="T976" s="2" t="s">
        <v>129</v>
      </c>
      <c r="U976" s="2" t="s">
        <v>71</v>
      </c>
    </row>
    <row r="977" spans="1:21" ht="14.25" customHeight="1" x14ac:dyDescent="0.3">
      <c r="A977" s="2" t="s">
        <v>2924</v>
      </c>
      <c r="B977" s="5">
        <v>42821</v>
      </c>
      <c r="C977" s="2" t="str">
        <f>TEXT(data[[#This Row],[Order Date]],"YYYY")</f>
        <v>2017</v>
      </c>
      <c r="D977" s="2">
        <v>42823</v>
      </c>
      <c r="E977" s="2" t="s">
        <v>21</v>
      </c>
      <c r="F977" s="2" t="s">
        <v>2925</v>
      </c>
      <c r="G977" s="2" t="s">
        <v>2926</v>
      </c>
      <c r="H977" s="2" t="s">
        <v>24</v>
      </c>
      <c r="I977" s="2" t="s">
        <v>25</v>
      </c>
      <c r="J977" s="2" t="s">
        <v>65</v>
      </c>
      <c r="K977" s="2" t="s">
        <v>66</v>
      </c>
      <c r="L977" s="2" t="s">
        <v>67</v>
      </c>
      <c r="M977" s="2" t="s">
        <v>2126</v>
      </c>
      <c r="N977" s="2" t="s">
        <v>30</v>
      </c>
      <c r="O977" s="2" t="s">
        <v>56</v>
      </c>
      <c r="P977" s="2" t="s">
        <v>2127</v>
      </c>
      <c r="Q977" s="2">
        <v>15.007999999999999</v>
      </c>
      <c r="R977" s="2">
        <v>2</v>
      </c>
      <c r="S977" s="2">
        <v>1.5007999999999999</v>
      </c>
      <c r="T977" s="2" t="s">
        <v>70</v>
      </c>
      <c r="U977" s="2" t="s">
        <v>195</v>
      </c>
    </row>
    <row r="978" spans="1:21" ht="14.25" customHeight="1" x14ac:dyDescent="0.3">
      <c r="A978" s="2" t="s">
        <v>2927</v>
      </c>
      <c r="B978" s="5">
        <v>42611</v>
      </c>
      <c r="C978" s="2" t="str">
        <f>TEXT(data[[#This Row],[Order Date]],"YYYY")</f>
        <v>2016</v>
      </c>
      <c r="D978" s="2">
        <v>42616</v>
      </c>
      <c r="E978" s="2" t="s">
        <v>39</v>
      </c>
      <c r="F978" s="2" t="s">
        <v>1080</v>
      </c>
      <c r="G978" s="2" t="s">
        <v>1081</v>
      </c>
      <c r="H978" s="2" t="s">
        <v>90</v>
      </c>
      <c r="I978" s="2" t="s">
        <v>25</v>
      </c>
      <c r="J978" s="2" t="s">
        <v>65</v>
      </c>
      <c r="K978" s="2" t="s">
        <v>66</v>
      </c>
      <c r="L978" s="2" t="s">
        <v>67</v>
      </c>
      <c r="M978" s="2" t="s">
        <v>2406</v>
      </c>
      <c r="N978" s="2" t="s">
        <v>30</v>
      </c>
      <c r="O978" s="2" t="s">
        <v>45</v>
      </c>
      <c r="P978" s="2" t="s">
        <v>2407</v>
      </c>
      <c r="Q978" s="2">
        <v>241.92</v>
      </c>
      <c r="R978" s="2">
        <v>4</v>
      </c>
      <c r="S978" s="2">
        <v>-56.448</v>
      </c>
      <c r="T978" s="2" t="s">
        <v>58</v>
      </c>
      <c r="U978" s="2" t="s">
        <v>253</v>
      </c>
    </row>
    <row r="979" spans="1:21" ht="14.25" customHeight="1" x14ac:dyDescent="0.3">
      <c r="A979" s="2" t="s">
        <v>2927</v>
      </c>
      <c r="B979" s="5">
        <v>42611</v>
      </c>
      <c r="C979" s="2" t="str">
        <f>TEXT(data[[#This Row],[Order Date]],"YYYY")</f>
        <v>2016</v>
      </c>
      <c r="D979" s="2">
        <v>42616</v>
      </c>
      <c r="E979" s="2" t="s">
        <v>39</v>
      </c>
      <c r="F979" s="2" t="s">
        <v>1080</v>
      </c>
      <c r="G979" s="2" t="s">
        <v>1081</v>
      </c>
      <c r="H979" s="2" t="s">
        <v>90</v>
      </c>
      <c r="I979" s="2" t="s">
        <v>25</v>
      </c>
      <c r="J979" s="2" t="s">
        <v>65</v>
      </c>
      <c r="K979" s="2" t="s">
        <v>66</v>
      </c>
      <c r="L979" s="2" t="s">
        <v>67</v>
      </c>
      <c r="M979" s="2" t="s">
        <v>2733</v>
      </c>
      <c r="N979" s="2" t="s">
        <v>30</v>
      </c>
      <c r="O979" s="2" t="s">
        <v>31</v>
      </c>
      <c r="P979" s="2" t="s">
        <v>2734</v>
      </c>
      <c r="Q979" s="2">
        <v>163.88</v>
      </c>
      <c r="R979" s="2">
        <v>4</v>
      </c>
      <c r="S979" s="2">
        <v>-81.94</v>
      </c>
      <c r="T979" s="2" t="s">
        <v>58</v>
      </c>
      <c r="U979" s="2" t="s">
        <v>253</v>
      </c>
    </row>
    <row r="980" spans="1:21" ht="14.25" customHeight="1" x14ac:dyDescent="0.3">
      <c r="A980" s="2" t="s">
        <v>2928</v>
      </c>
      <c r="B980" s="5">
        <v>41993</v>
      </c>
      <c r="C980" s="2" t="str">
        <f>TEXT(data[[#This Row],[Order Date]],"YYYY")</f>
        <v>2014</v>
      </c>
      <c r="D980" s="2">
        <v>41995</v>
      </c>
      <c r="E980" s="2" t="s">
        <v>87</v>
      </c>
      <c r="F980" s="2" t="s">
        <v>1648</v>
      </c>
      <c r="G980" s="2" t="s">
        <v>1649</v>
      </c>
      <c r="H980" s="2" t="s">
        <v>24</v>
      </c>
      <c r="I980" s="2" t="s">
        <v>25</v>
      </c>
      <c r="J980" s="2" t="s">
        <v>1222</v>
      </c>
      <c r="K980" s="2" t="s">
        <v>520</v>
      </c>
      <c r="L980" s="2" t="s">
        <v>54</v>
      </c>
      <c r="M980" s="2" t="s">
        <v>2055</v>
      </c>
      <c r="N980" s="2" t="s">
        <v>30</v>
      </c>
      <c r="O980" s="2" t="s">
        <v>56</v>
      </c>
      <c r="P980" s="2" t="s">
        <v>2056</v>
      </c>
      <c r="Q980" s="2">
        <v>51.968000000000004</v>
      </c>
      <c r="R980" s="2">
        <v>2</v>
      </c>
      <c r="S980" s="2">
        <v>10.393599999999999</v>
      </c>
      <c r="T980" s="2" t="s">
        <v>70</v>
      </c>
      <c r="U980" s="2" t="s">
        <v>96</v>
      </c>
    </row>
    <row r="981" spans="1:21" ht="14.25" customHeight="1" x14ac:dyDescent="0.3">
      <c r="A981" s="2" t="s">
        <v>2928</v>
      </c>
      <c r="B981" s="5">
        <v>41993</v>
      </c>
      <c r="C981" s="2" t="str">
        <f>TEXT(data[[#This Row],[Order Date]],"YYYY")</f>
        <v>2014</v>
      </c>
      <c r="D981" s="2">
        <v>41995</v>
      </c>
      <c r="E981" s="2" t="s">
        <v>87</v>
      </c>
      <c r="F981" s="2" t="s">
        <v>1648</v>
      </c>
      <c r="G981" s="2" t="s">
        <v>1649</v>
      </c>
      <c r="H981" s="2" t="s">
        <v>24</v>
      </c>
      <c r="I981" s="2" t="s">
        <v>25</v>
      </c>
      <c r="J981" s="2" t="s">
        <v>1222</v>
      </c>
      <c r="K981" s="2" t="s">
        <v>520</v>
      </c>
      <c r="L981" s="2" t="s">
        <v>54</v>
      </c>
      <c r="M981" s="2" t="s">
        <v>295</v>
      </c>
      <c r="N981" s="2" t="s">
        <v>30</v>
      </c>
      <c r="O981" s="2" t="s">
        <v>36</v>
      </c>
      <c r="P981" s="2" t="s">
        <v>296</v>
      </c>
      <c r="Q981" s="2">
        <v>242.352</v>
      </c>
      <c r="R981" s="2">
        <v>3</v>
      </c>
      <c r="S981" s="2">
        <v>-42.4116</v>
      </c>
      <c r="T981" s="2" t="s">
        <v>70</v>
      </c>
      <c r="U981" s="2" t="s">
        <v>96</v>
      </c>
    </row>
    <row r="982" spans="1:21" ht="14.25" customHeight="1" x14ac:dyDescent="0.3">
      <c r="A982" s="2" t="s">
        <v>2929</v>
      </c>
      <c r="B982" s="5">
        <v>42355</v>
      </c>
      <c r="C982" s="2" t="str">
        <f>TEXT(data[[#This Row],[Order Date]],"YYYY")</f>
        <v>2015</v>
      </c>
      <c r="D982" s="2">
        <v>42355</v>
      </c>
      <c r="E982" s="2" t="s">
        <v>425</v>
      </c>
      <c r="F982" s="2" t="s">
        <v>2808</v>
      </c>
      <c r="G982" s="2" t="s">
        <v>2809</v>
      </c>
      <c r="H982" s="2" t="s">
        <v>24</v>
      </c>
      <c r="I982" s="2" t="s">
        <v>25</v>
      </c>
      <c r="J982" s="2" t="s">
        <v>288</v>
      </c>
      <c r="K982" s="2" t="s">
        <v>289</v>
      </c>
      <c r="L982" s="2" t="s">
        <v>93</v>
      </c>
      <c r="M982" s="2" t="s">
        <v>1186</v>
      </c>
      <c r="N982" s="2" t="s">
        <v>30</v>
      </c>
      <c r="O982" s="2" t="s">
        <v>36</v>
      </c>
      <c r="P982" s="2" t="s">
        <v>1187</v>
      </c>
      <c r="Q982" s="2">
        <v>302.94</v>
      </c>
      <c r="R982" s="2">
        <v>3</v>
      </c>
      <c r="S982" s="2">
        <v>48.470399999999998</v>
      </c>
      <c r="T982" s="2" t="s">
        <v>430</v>
      </c>
      <c r="U982" s="2" t="s">
        <v>96</v>
      </c>
    </row>
    <row r="983" spans="1:21" ht="14.25" customHeight="1" x14ac:dyDescent="0.3">
      <c r="A983" s="2" t="s">
        <v>2929</v>
      </c>
      <c r="B983" s="5">
        <v>42355</v>
      </c>
      <c r="C983" s="2" t="str">
        <f>TEXT(data[[#This Row],[Order Date]],"YYYY")</f>
        <v>2015</v>
      </c>
      <c r="D983" s="2">
        <v>42355</v>
      </c>
      <c r="E983" s="2" t="s">
        <v>425</v>
      </c>
      <c r="F983" s="2" t="s">
        <v>2808</v>
      </c>
      <c r="G983" s="2" t="s">
        <v>2809</v>
      </c>
      <c r="H983" s="2" t="s">
        <v>24</v>
      </c>
      <c r="I983" s="2" t="s">
        <v>25</v>
      </c>
      <c r="J983" s="2" t="s">
        <v>288</v>
      </c>
      <c r="K983" s="2" t="s">
        <v>289</v>
      </c>
      <c r="L983" s="2" t="s">
        <v>93</v>
      </c>
      <c r="M983" s="2" t="s">
        <v>2194</v>
      </c>
      <c r="N983" s="2" t="s">
        <v>30</v>
      </c>
      <c r="O983" s="2" t="s">
        <v>36</v>
      </c>
      <c r="P983" s="2" t="s">
        <v>2195</v>
      </c>
      <c r="Q983" s="2">
        <v>142.36000000000001</v>
      </c>
      <c r="R983" s="2">
        <v>2</v>
      </c>
      <c r="S983" s="2">
        <v>38.437199999999997</v>
      </c>
      <c r="T983" s="2" t="s">
        <v>430</v>
      </c>
      <c r="U983" s="2" t="s">
        <v>96</v>
      </c>
    </row>
    <row r="984" spans="1:21" ht="14.25" customHeight="1" x14ac:dyDescent="0.3">
      <c r="A984" s="2" t="s">
        <v>2929</v>
      </c>
      <c r="B984" s="5">
        <v>42355</v>
      </c>
      <c r="C984" s="2" t="str">
        <f>TEXT(data[[#This Row],[Order Date]],"YYYY")</f>
        <v>2015</v>
      </c>
      <c r="D984" s="2">
        <v>42355</v>
      </c>
      <c r="E984" s="2" t="s">
        <v>425</v>
      </c>
      <c r="F984" s="2" t="s">
        <v>2808</v>
      </c>
      <c r="G984" s="2" t="s">
        <v>2809</v>
      </c>
      <c r="H984" s="2" t="s">
        <v>24</v>
      </c>
      <c r="I984" s="2" t="s">
        <v>25</v>
      </c>
      <c r="J984" s="2" t="s">
        <v>288</v>
      </c>
      <c r="K984" s="2" t="s">
        <v>289</v>
      </c>
      <c r="L984" s="2" t="s">
        <v>93</v>
      </c>
      <c r="M984" s="2" t="s">
        <v>251</v>
      </c>
      <c r="N984" s="2" t="s">
        <v>30</v>
      </c>
      <c r="O984" s="2" t="s">
        <v>36</v>
      </c>
      <c r="P984" s="2" t="s">
        <v>252</v>
      </c>
      <c r="Q984" s="2">
        <v>546.66</v>
      </c>
      <c r="R984" s="2">
        <v>9</v>
      </c>
      <c r="S984" s="2">
        <v>136.66499999999999</v>
      </c>
      <c r="T984" s="2" t="s">
        <v>430</v>
      </c>
      <c r="U984" s="2" t="s">
        <v>96</v>
      </c>
    </row>
    <row r="985" spans="1:21" ht="14.25" customHeight="1" x14ac:dyDescent="0.3">
      <c r="A985" s="2" t="s">
        <v>2929</v>
      </c>
      <c r="B985" s="5">
        <v>42355</v>
      </c>
      <c r="C985" s="2" t="str">
        <f>TEXT(data[[#This Row],[Order Date]],"YYYY")</f>
        <v>2015</v>
      </c>
      <c r="D985" s="2">
        <v>42355</v>
      </c>
      <c r="E985" s="2" t="s">
        <v>425</v>
      </c>
      <c r="F985" s="2" t="s">
        <v>2808</v>
      </c>
      <c r="G985" s="2" t="s">
        <v>2809</v>
      </c>
      <c r="H985" s="2" t="s">
        <v>24</v>
      </c>
      <c r="I985" s="2" t="s">
        <v>25</v>
      </c>
      <c r="J985" s="2" t="s">
        <v>288</v>
      </c>
      <c r="K985" s="2" t="s">
        <v>289</v>
      </c>
      <c r="L985" s="2" t="s">
        <v>93</v>
      </c>
      <c r="M985" s="2" t="s">
        <v>2169</v>
      </c>
      <c r="N985" s="2" t="s">
        <v>30</v>
      </c>
      <c r="O985" s="2" t="s">
        <v>56</v>
      </c>
      <c r="P985" s="2" t="s">
        <v>2170</v>
      </c>
      <c r="Q985" s="2">
        <v>212.13</v>
      </c>
      <c r="R985" s="2">
        <v>3</v>
      </c>
      <c r="S985" s="2">
        <v>14.8491</v>
      </c>
      <c r="T985" s="2" t="s">
        <v>430</v>
      </c>
      <c r="U985" s="2" t="s">
        <v>96</v>
      </c>
    </row>
    <row r="986" spans="1:21" ht="14.25" customHeight="1" x14ac:dyDescent="0.3">
      <c r="A986" s="2" t="s">
        <v>2930</v>
      </c>
      <c r="B986" s="5">
        <v>42866</v>
      </c>
      <c r="C986" s="2" t="str">
        <f>TEXT(data[[#This Row],[Order Date]],"YYYY")</f>
        <v>2017</v>
      </c>
      <c r="D986" s="2">
        <v>42872</v>
      </c>
      <c r="E986" s="2" t="s">
        <v>39</v>
      </c>
      <c r="F986" s="2" t="s">
        <v>1237</v>
      </c>
      <c r="G986" s="2" t="s">
        <v>1238</v>
      </c>
      <c r="H986" s="2" t="s">
        <v>100</v>
      </c>
      <c r="I986" s="2" t="s">
        <v>25</v>
      </c>
      <c r="J986" s="2" t="s">
        <v>2330</v>
      </c>
      <c r="K986" s="2" t="s">
        <v>92</v>
      </c>
      <c r="L986" s="2" t="s">
        <v>93</v>
      </c>
      <c r="M986" s="2" t="s">
        <v>400</v>
      </c>
      <c r="N986" s="2" t="s">
        <v>30</v>
      </c>
      <c r="O986" s="2" t="s">
        <v>56</v>
      </c>
      <c r="P986" s="2" t="s">
        <v>401</v>
      </c>
      <c r="Q986" s="2">
        <v>7.9960000000000004</v>
      </c>
      <c r="R986" s="2">
        <v>1</v>
      </c>
      <c r="S986" s="2">
        <v>-6.9965000000000002</v>
      </c>
      <c r="T986" s="2" t="s">
        <v>129</v>
      </c>
      <c r="U986" s="2" t="s">
        <v>161</v>
      </c>
    </row>
    <row r="987" spans="1:21" ht="14.25" customHeight="1" x14ac:dyDescent="0.3">
      <c r="A987" s="2" t="s">
        <v>2931</v>
      </c>
      <c r="B987" s="5">
        <v>42507</v>
      </c>
      <c r="C987" s="2" t="str">
        <f>TEXT(data[[#This Row],[Order Date]],"YYYY")</f>
        <v>2016</v>
      </c>
      <c r="D987" s="2">
        <v>42508</v>
      </c>
      <c r="E987" s="2" t="s">
        <v>87</v>
      </c>
      <c r="F987" s="2" t="s">
        <v>1472</v>
      </c>
      <c r="G987" s="2" t="s">
        <v>1473</v>
      </c>
      <c r="H987" s="2" t="s">
        <v>24</v>
      </c>
      <c r="I987" s="2" t="s">
        <v>25</v>
      </c>
      <c r="J987" s="2" t="s">
        <v>2932</v>
      </c>
      <c r="K987" s="2" t="s">
        <v>429</v>
      </c>
      <c r="L987" s="2" t="s">
        <v>67</v>
      </c>
      <c r="M987" s="2" t="s">
        <v>990</v>
      </c>
      <c r="N987" s="2" t="s">
        <v>30</v>
      </c>
      <c r="O987" s="2" t="s">
        <v>56</v>
      </c>
      <c r="P987" s="2" t="s">
        <v>991</v>
      </c>
      <c r="Q987" s="2">
        <v>173.24</v>
      </c>
      <c r="R987" s="2">
        <v>4</v>
      </c>
      <c r="S987" s="2">
        <v>17.324000000000002</v>
      </c>
      <c r="T987" s="2" t="s">
        <v>123</v>
      </c>
      <c r="U987" s="2" t="s">
        <v>161</v>
      </c>
    </row>
    <row r="988" spans="1:21" ht="14.25" customHeight="1" x14ac:dyDescent="0.3">
      <c r="A988" s="2" t="s">
        <v>2933</v>
      </c>
      <c r="B988" s="5">
        <v>41989</v>
      </c>
      <c r="C988" s="2" t="str">
        <f>TEXT(data[[#This Row],[Order Date]],"YYYY")</f>
        <v>2014</v>
      </c>
      <c r="D988" s="2">
        <v>41994</v>
      </c>
      <c r="E988" s="2" t="s">
        <v>39</v>
      </c>
      <c r="F988" s="2" t="s">
        <v>2564</v>
      </c>
      <c r="G988" s="2" t="s">
        <v>2565</v>
      </c>
      <c r="H988" s="2" t="s">
        <v>24</v>
      </c>
      <c r="I988" s="2" t="s">
        <v>25</v>
      </c>
      <c r="J988" s="2" t="s">
        <v>1868</v>
      </c>
      <c r="K988" s="2" t="s">
        <v>92</v>
      </c>
      <c r="L988" s="2" t="s">
        <v>93</v>
      </c>
      <c r="M988" s="2" t="s">
        <v>2169</v>
      </c>
      <c r="N988" s="2" t="s">
        <v>30</v>
      </c>
      <c r="O988" s="2" t="s">
        <v>56</v>
      </c>
      <c r="P988" s="2" t="s">
        <v>2170</v>
      </c>
      <c r="Q988" s="2">
        <v>56.567999999999998</v>
      </c>
      <c r="R988" s="2">
        <v>2</v>
      </c>
      <c r="S988" s="2">
        <v>-74.952600000000004</v>
      </c>
      <c r="T988" s="2" t="s">
        <v>58</v>
      </c>
      <c r="U988" s="2" t="s">
        <v>96</v>
      </c>
    </row>
    <row r="989" spans="1:21" ht="14.25" customHeight="1" x14ac:dyDescent="0.3">
      <c r="A989" s="2" t="s">
        <v>2934</v>
      </c>
      <c r="B989" s="5">
        <v>43072</v>
      </c>
      <c r="C989" s="2" t="str">
        <f>TEXT(data[[#This Row],[Order Date]],"YYYY")</f>
        <v>2017</v>
      </c>
      <c r="D989" s="2">
        <v>43076</v>
      </c>
      <c r="E989" s="2" t="s">
        <v>21</v>
      </c>
      <c r="F989" s="2" t="s">
        <v>1314</v>
      </c>
      <c r="G989" s="2" t="s">
        <v>1315</v>
      </c>
      <c r="H989" s="2" t="s">
        <v>100</v>
      </c>
      <c r="I989" s="2" t="s">
        <v>25</v>
      </c>
      <c r="J989" s="2" t="s">
        <v>191</v>
      </c>
      <c r="K989" s="2" t="s">
        <v>192</v>
      </c>
      <c r="L989" s="2" t="s">
        <v>54</v>
      </c>
      <c r="M989" s="2" t="s">
        <v>1247</v>
      </c>
      <c r="N989" s="2" t="s">
        <v>30</v>
      </c>
      <c r="O989" s="2" t="s">
        <v>45</v>
      </c>
      <c r="P989" s="2" t="s">
        <v>1248</v>
      </c>
      <c r="Q989" s="2">
        <v>521.96</v>
      </c>
      <c r="R989" s="2">
        <v>2</v>
      </c>
      <c r="S989" s="2">
        <v>88.733199999999997</v>
      </c>
      <c r="T989" s="2" t="s">
        <v>83</v>
      </c>
      <c r="U989" s="2" t="s">
        <v>96</v>
      </c>
    </row>
    <row r="990" spans="1:21" ht="14.25" customHeight="1" x14ac:dyDescent="0.3">
      <c r="A990" s="2" t="s">
        <v>2935</v>
      </c>
      <c r="B990" s="5">
        <v>41797</v>
      </c>
      <c r="C990" s="2" t="str">
        <f>TEXT(data[[#This Row],[Order Date]],"YYYY")</f>
        <v>2014</v>
      </c>
      <c r="D990" s="2">
        <v>41801</v>
      </c>
      <c r="E990" s="2" t="s">
        <v>21</v>
      </c>
      <c r="F990" s="2" t="s">
        <v>2936</v>
      </c>
      <c r="G990" s="2" t="s">
        <v>2937</v>
      </c>
      <c r="H990" s="2" t="s">
        <v>24</v>
      </c>
      <c r="I990" s="2" t="s">
        <v>25</v>
      </c>
      <c r="J990" s="2" t="s">
        <v>179</v>
      </c>
      <c r="K990" s="2" t="s">
        <v>134</v>
      </c>
      <c r="L990" s="2" t="s">
        <v>93</v>
      </c>
      <c r="M990" s="2" t="s">
        <v>454</v>
      </c>
      <c r="N990" s="2" t="s">
        <v>30</v>
      </c>
      <c r="O990" s="2" t="s">
        <v>45</v>
      </c>
      <c r="P990" s="2" t="s">
        <v>455</v>
      </c>
      <c r="Q990" s="2">
        <v>268.935</v>
      </c>
      <c r="R990" s="2">
        <v>3</v>
      </c>
      <c r="S990" s="2">
        <v>-209.76929999999999</v>
      </c>
      <c r="T990" s="2" t="s">
        <v>83</v>
      </c>
      <c r="U990" s="2" t="s">
        <v>59</v>
      </c>
    </row>
    <row r="991" spans="1:21" ht="14.25" customHeight="1" x14ac:dyDescent="0.3">
      <c r="A991" s="2" t="s">
        <v>2938</v>
      </c>
      <c r="B991" s="5">
        <v>41968</v>
      </c>
      <c r="C991" s="2" t="str">
        <f>TEXT(data[[#This Row],[Order Date]],"YYYY")</f>
        <v>2014</v>
      </c>
      <c r="D991" s="2">
        <v>41972</v>
      </c>
      <c r="E991" s="2" t="s">
        <v>21</v>
      </c>
      <c r="F991" s="2" t="s">
        <v>1351</v>
      </c>
      <c r="G991" s="2" t="s">
        <v>1352</v>
      </c>
      <c r="H991" s="2" t="s">
        <v>100</v>
      </c>
      <c r="I991" s="2" t="s">
        <v>25</v>
      </c>
      <c r="J991" s="2" t="s">
        <v>173</v>
      </c>
      <c r="K991" s="2" t="s">
        <v>120</v>
      </c>
      <c r="L991" s="2" t="s">
        <v>67</v>
      </c>
      <c r="M991" s="2" t="s">
        <v>1476</v>
      </c>
      <c r="N991" s="2" t="s">
        <v>30</v>
      </c>
      <c r="O991" s="2" t="s">
        <v>31</v>
      </c>
      <c r="P991" s="2" t="s">
        <v>1477</v>
      </c>
      <c r="Q991" s="2">
        <v>275.952</v>
      </c>
      <c r="R991" s="2">
        <v>3</v>
      </c>
      <c r="S991" s="2">
        <v>-37.943399999999997</v>
      </c>
      <c r="T991" s="2" t="s">
        <v>83</v>
      </c>
      <c r="U991" s="2" t="s">
        <v>34</v>
      </c>
    </row>
    <row r="992" spans="1:21" ht="14.25" customHeight="1" x14ac:dyDescent="0.3">
      <c r="A992" s="2" t="s">
        <v>2939</v>
      </c>
      <c r="B992" s="5">
        <v>42092</v>
      </c>
      <c r="C992" s="2" t="str">
        <f>TEXT(data[[#This Row],[Order Date]],"YYYY")</f>
        <v>2015</v>
      </c>
      <c r="D992" s="2">
        <v>42094</v>
      </c>
      <c r="E992" s="2" t="s">
        <v>21</v>
      </c>
      <c r="F992" s="2" t="s">
        <v>2940</v>
      </c>
      <c r="G992" s="2" t="s">
        <v>2941</v>
      </c>
      <c r="H992" s="2" t="s">
        <v>24</v>
      </c>
      <c r="I992" s="2" t="s">
        <v>25</v>
      </c>
      <c r="J992" s="2" t="s">
        <v>639</v>
      </c>
      <c r="K992" s="2" t="s">
        <v>53</v>
      </c>
      <c r="L992" s="2" t="s">
        <v>54</v>
      </c>
      <c r="M992" s="2" t="s">
        <v>2326</v>
      </c>
      <c r="N992" s="2" t="s">
        <v>30</v>
      </c>
      <c r="O992" s="2" t="s">
        <v>56</v>
      </c>
      <c r="P992" s="2" t="s">
        <v>2327</v>
      </c>
      <c r="Q992" s="2">
        <v>19.920000000000002</v>
      </c>
      <c r="R992" s="2">
        <v>3</v>
      </c>
      <c r="S992" s="2">
        <v>9.5616000000000003</v>
      </c>
      <c r="T992" s="2" t="s">
        <v>70</v>
      </c>
      <c r="U992" s="2" t="s">
        <v>195</v>
      </c>
    </row>
    <row r="993" spans="1:21" ht="14.25" customHeight="1" x14ac:dyDescent="0.3">
      <c r="A993" s="2" t="s">
        <v>2942</v>
      </c>
      <c r="B993" s="5">
        <v>42467</v>
      </c>
      <c r="C993" s="2" t="str">
        <f>TEXT(data[[#This Row],[Order Date]],"YYYY")</f>
        <v>2016</v>
      </c>
      <c r="D993" s="2">
        <v>42472</v>
      </c>
      <c r="E993" s="2" t="s">
        <v>39</v>
      </c>
      <c r="F993" s="2" t="s">
        <v>720</v>
      </c>
      <c r="G993" s="2" t="s">
        <v>721</v>
      </c>
      <c r="H993" s="2" t="s">
        <v>90</v>
      </c>
      <c r="I993" s="2" t="s">
        <v>25</v>
      </c>
      <c r="J993" s="2" t="s">
        <v>173</v>
      </c>
      <c r="K993" s="2" t="s">
        <v>120</v>
      </c>
      <c r="L993" s="2" t="s">
        <v>67</v>
      </c>
      <c r="M993" s="2" t="s">
        <v>35</v>
      </c>
      <c r="N993" s="2" t="s">
        <v>30</v>
      </c>
      <c r="O993" s="2" t="s">
        <v>36</v>
      </c>
      <c r="P993" s="2" t="s">
        <v>37</v>
      </c>
      <c r="Q993" s="2">
        <v>658.74599999999998</v>
      </c>
      <c r="R993" s="2">
        <v>3</v>
      </c>
      <c r="S993" s="2">
        <v>146.38800000000001</v>
      </c>
      <c r="T993" s="2" t="s">
        <v>58</v>
      </c>
      <c r="U993" s="2" t="s">
        <v>113</v>
      </c>
    </row>
    <row r="994" spans="1:21" ht="14.25" customHeight="1" x14ac:dyDescent="0.3">
      <c r="A994" s="2" t="s">
        <v>2943</v>
      </c>
      <c r="B994" s="5">
        <v>42053</v>
      </c>
      <c r="C994" s="2" t="str">
        <f>TEXT(data[[#This Row],[Order Date]],"YYYY")</f>
        <v>2015</v>
      </c>
      <c r="D994" s="2">
        <v>42059</v>
      </c>
      <c r="E994" s="2" t="s">
        <v>39</v>
      </c>
      <c r="F994" s="2" t="s">
        <v>2944</v>
      </c>
      <c r="G994" s="2" t="s">
        <v>2945</v>
      </c>
      <c r="H994" s="2" t="s">
        <v>24</v>
      </c>
      <c r="I994" s="2" t="s">
        <v>25</v>
      </c>
      <c r="J994" s="2" t="s">
        <v>730</v>
      </c>
      <c r="K994" s="2" t="s">
        <v>53</v>
      </c>
      <c r="L994" s="2" t="s">
        <v>54</v>
      </c>
      <c r="M994" s="2" t="s">
        <v>1249</v>
      </c>
      <c r="N994" s="2" t="s">
        <v>30</v>
      </c>
      <c r="O994" s="2" t="s">
        <v>45</v>
      </c>
      <c r="P994" s="2" t="s">
        <v>1250</v>
      </c>
      <c r="Q994" s="2">
        <v>35.543999999999997</v>
      </c>
      <c r="R994" s="2">
        <v>1</v>
      </c>
      <c r="S994" s="2">
        <v>-0.88859999999999995</v>
      </c>
      <c r="T994" s="2" t="s">
        <v>129</v>
      </c>
      <c r="U994" s="2" t="s">
        <v>297</v>
      </c>
    </row>
    <row r="995" spans="1:21" ht="14.25" customHeight="1" x14ac:dyDescent="0.3">
      <c r="A995" s="2" t="s">
        <v>2946</v>
      </c>
      <c r="B995" s="5">
        <v>42432</v>
      </c>
      <c r="C995" s="2" t="str">
        <f>TEXT(data[[#This Row],[Order Date]],"YYYY")</f>
        <v>2016</v>
      </c>
      <c r="D995" s="2">
        <v>42432</v>
      </c>
      <c r="E995" s="2" t="s">
        <v>425</v>
      </c>
      <c r="F995" s="2" t="s">
        <v>1726</v>
      </c>
      <c r="G995" s="2" t="s">
        <v>1727</v>
      </c>
      <c r="H995" s="2" t="s">
        <v>90</v>
      </c>
      <c r="I995" s="2" t="s">
        <v>25</v>
      </c>
      <c r="J995" s="2" t="s">
        <v>328</v>
      </c>
      <c r="K995" s="2" t="s">
        <v>53</v>
      </c>
      <c r="L995" s="2" t="s">
        <v>54</v>
      </c>
      <c r="M995" s="2" t="s">
        <v>2409</v>
      </c>
      <c r="N995" s="2" t="s">
        <v>30</v>
      </c>
      <c r="O995" s="2" t="s">
        <v>56</v>
      </c>
      <c r="P995" s="2" t="s">
        <v>2410</v>
      </c>
      <c r="Q995" s="2">
        <v>35.28</v>
      </c>
      <c r="R995" s="2">
        <v>3</v>
      </c>
      <c r="S995" s="2">
        <v>11.995200000000001</v>
      </c>
      <c r="T995" s="2" t="s">
        <v>430</v>
      </c>
      <c r="U995" s="2" t="s">
        <v>195</v>
      </c>
    </row>
    <row r="996" spans="1:21" ht="14.25" customHeight="1" x14ac:dyDescent="0.3">
      <c r="A996" s="2" t="s">
        <v>2947</v>
      </c>
      <c r="B996" s="5">
        <v>43059</v>
      </c>
      <c r="C996" s="2" t="str">
        <f>TEXT(data[[#This Row],[Order Date]],"YYYY")</f>
        <v>2017</v>
      </c>
      <c r="D996" s="2">
        <v>43063</v>
      </c>
      <c r="E996" s="2" t="s">
        <v>39</v>
      </c>
      <c r="F996" s="2" t="s">
        <v>2948</v>
      </c>
      <c r="G996" s="2" t="s">
        <v>2949</v>
      </c>
      <c r="H996" s="2" t="s">
        <v>24</v>
      </c>
      <c r="I996" s="2" t="s">
        <v>25</v>
      </c>
      <c r="J996" s="2" t="s">
        <v>477</v>
      </c>
      <c r="K996" s="2" t="s">
        <v>141</v>
      </c>
      <c r="L996" s="2" t="s">
        <v>28</v>
      </c>
      <c r="M996" s="2" t="s">
        <v>668</v>
      </c>
      <c r="N996" s="2" t="s">
        <v>30</v>
      </c>
      <c r="O996" s="2" t="s">
        <v>36</v>
      </c>
      <c r="P996" s="2" t="s">
        <v>669</v>
      </c>
      <c r="Q996" s="2">
        <v>209.56800000000001</v>
      </c>
      <c r="R996" s="2">
        <v>2</v>
      </c>
      <c r="S996" s="2">
        <v>-23.5764</v>
      </c>
      <c r="T996" s="2" t="s">
        <v>83</v>
      </c>
      <c r="U996" s="2" t="s">
        <v>34</v>
      </c>
    </row>
    <row r="997" spans="1:21" ht="14.25" customHeight="1" x14ac:dyDescent="0.3">
      <c r="A997" s="2" t="s">
        <v>2950</v>
      </c>
      <c r="B997" s="5">
        <v>43062</v>
      </c>
      <c r="C997" s="2" t="str">
        <f>TEXT(data[[#This Row],[Order Date]],"YYYY")</f>
        <v>2017</v>
      </c>
      <c r="D997" s="2">
        <v>43066</v>
      </c>
      <c r="E997" s="2" t="s">
        <v>39</v>
      </c>
      <c r="F997" s="2" t="s">
        <v>2951</v>
      </c>
      <c r="G997" s="2" t="s">
        <v>2952</v>
      </c>
      <c r="H997" s="2" t="s">
        <v>24</v>
      </c>
      <c r="I997" s="2" t="s">
        <v>25</v>
      </c>
      <c r="J997" s="2" t="s">
        <v>133</v>
      </c>
      <c r="K997" s="2" t="s">
        <v>134</v>
      </c>
      <c r="L997" s="2" t="s">
        <v>93</v>
      </c>
      <c r="M997" s="2" t="s">
        <v>1962</v>
      </c>
      <c r="N997" s="2" t="s">
        <v>30</v>
      </c>
      <c r="O997" s="2" t="s">
        <v>56</v>
      </c>
      <c r="P997" s="2" t="s">
        <v>1963</v>
      </c>
      <c r="Q997" s="2">
        <v>6.4640000000000004</v>
      </c>
      <c r="R997" s="2">
        <v>1</v>
      </c>
      <c r="S997" s="2">
        <v>-4.04</v>
      </c>
      <c r="T997" s="2" t="s">
        <v>83</v>
      </c>
      <c r="U997" s="2" t="s">
        <v>34</v>
      </c>
    </row>
    <row r="998" spans="1:21" ht="14.25" customHeight="1" x14ac:dyDescent="0.3">
      <c r="A998" s="2" t="s">
        <v>2953</v>
      </c>
      <c r="B998" s="5">
        <v>41828</v>
      </c>
      <c r="C998" s="2" t="str">
        <f>TEXT(data[[#This Row],[Order Date]],"YYYY")</f>
        <v>2014</v>
      </c>
      <c r="D998" s="2">
        <v>41830</v>
      </c>
      <c r="E998" s="2" t="s">
        <v>87</v>
      </c>
      <c r="F998" s="2" t="s">
        <v>2107</v>
      </c>
      <c r="G998" s="2" t="s">
        <v>2108</v>
      </c>
      <c r="H998" s="2" t="s">
        <v>24</v>
      </c>
      <c r="I998" s="2" t="s">
        <v>25</v>
      </c>
      <c r="J998" s="2" t="s">
        <v>2954</v>
      </c>
      <c r="K998" s="2" t="s">
        <v>120</v>
      </c>
      <c r="L998" s="2" t="s">
        <v>67</v>
      </c>
      <c r="M998" s="2" t="s">
        <v>590</v>
      </c>
      <c r="N998" s="2" t="s">
        <v>30</v>
      </c>
      <c r="O998" s="2" t="s">
        <v>36</v>
      </c>
      <c r="P998" s="2" t="s">
        <v>591</v>
      </c>
      <c r="Q998" s="2">
        <v>63.881999999999998</v>
      </c>
      <c r="R998" s="2">
        <v>1</v>
      </c>
      <c r="S998" s="2">
        <v>10.647</v>
      </c>
      <c r="T998" s="2" t="s">
        <v>70</v>
      </c>
      <c r="U998" s="2" t="s">
        <v>71</v>
      </c>
    </row>
    <row r="999" spans="1:21" ht="14.25" customHeight="1" x14ac:dyDescent="0.3">
      <c r="A999" s="2" t="s">
        <v>2955</v>
      </c>
      <c r="B999" s="5">
        <v>41950</v>
      </c>
      <c r="C999" s="2" t="str">
        <f>TEXT(data[[#This Row],[Order Date]],"YYYY")</f>
        <v>2014</v>
      </c>
      <c r="D999" s="2">
        <v>41955</v>
      </c>
      <c r="E999" s="2" t="s">
        <v>39</v>
      </c>
      <c r="F999" s="2" t="s">
        <v>197</v>
      </c>
      <c r="G999" s="2" t="s">
        <v>198</v>
      </c>
      <c r="H999" s="2" t="s">
        <v>24</v>
      </c>
      <c r="I999" s="2" t="s">
        <v>25</v>
      </c>
      <c r="J999" s="2" t="s">
        <v>101</v>
      </c>
      <c r="K999" s="2" t="s">
        <v>92</v>
      </c>
      <c r="L999" s="2" t="s">
        <v>93</v>
      </c>
      <c r="M999" s="2" t="s">
        <v>2077</v>
      </c>
      <c r="N999" s="2" t="s">
        <v>30</v>
      </c>
      <c r="O999" s="2" t="s">
        <v>36</v>
      </c>
      <c r="P999" s="2" t="s">
        <v>2078</v>
      </c>
      <c r="Q999" s="2">
        <v>683.14400000000001</v>
      </c>
      <c r="R999" s="2">
        <v>4</v>
      </c>
      <c r="S999" s="2">
        <v>0</v>
      </c>
      <c r="T999" s="2" t="s">
        <v>58</v>
      </c>
      <c r="U999" s="2" t="s">
        <v>34</v>
      </c>
    </row>
    <row r="1000" spans="1:21" ht="14.25" customHeight="1" x14ac:dyDescent="0.3">
      <c r="A1000" s="2" t="s">
        <v>2956</v>
      </c>
      <c r="B1000" s="5">
        <v>42349</v>
      </c>
      <c r="C1000" s="2" t="str">
        <f>TEXT(data[[#This Row],[Order Date]],"YYYY")</f>
        <v>2015</v>
      </c>
      <c r="D1000" s="2">
        <v>42354</v>
      </c>
      <c r="E1000" s="2" t="s">
        <v>39</v>
      </c>
      <c r="F1000" s="2" t="s">
        <v>1274</v>
      </c>
      <c r="G1000" s="2" t="s">
        <v>1275</v>
      </c>
      <c r="H1000" s="2" t="s">
        <v>24</v>
      </c>
      <c r="I1000" s="2" t="s">
        <v>25</v>
      </c>
      <c r="J1000" s="2" t="s">
        <v>353</v>
      </c>
      <c r="K1000" s="2" t="s">
        <v>180</v>
      </c>
      <c r="L1000" s="2" t="s">
        <v>54</v>
      </c>
      <c r="M1000" s="2" t="s">
        <v>1953</v>
      </c>
      <c r="N1000" s="2" t="s">
        <v>30</v>
      </c>
      <c r="O1000" s="2" t="s">
        <v>31</v>
      </c>
      <c r="P1000" s="2" t="s">
        <v>1954</v>
      </c>
      <c r="Q1000" s="2">
        <v>69.575999999999993</v>
      </c>
      <c r="R1000" s="2">
        <v>4</v>
      </c>
      <c r="S1000" s="2">
        <v>-143.79040000000001</v>
      </c>
      <c r="T1000" s="2" t="s">
        <v>58</v>
      </c>
      <c r="U1000" s="2" t="s">
        <v>96</v>
      </c>
    </row>
    <row r="1001" spans="1:21" ht="14.25" customHeight="1" x14ac:dyDescent="0.3">
      <c r="A1001" s="2" t="s">
        <v>2956</v>
      </c>
      <c r="B1001" s="5">
        <v>42349</v>
      </c>
      <c r="C1001" s="2" t="str">
        <f>TEXT(data[[#This Row],[Order Date]],"YYYY")</f>
        <v>2015</v>
      </c>
      <c r="D1001" s="2">
        <v>42354</v>
      </c>
      <c r="E1001" s="2" t="s">
        <v>39</v>
      </c>
      <c r="F1001" s="2" t="s">
        <v>1274</v>
      </c>
      <c r="G1001" s="2" t="s">
        <v>1275</v>
      </c>
      <c r="H1001" s="2" t="s">
        <v>24</v>
      </c>
      <c r="I1001" s="2" t="s">
        <v>25</v>
      </c>
      <c r="J1001" s="2" t="s">
        <v>353</v>
      </c>
      <c r="K1001" s="2" t="s">
        <v>180</v>
      </c>
      <c r="L1001" s="2" t="s">
        <v>54</v>
      </c>
      <c r="M1001" s="2" t="s">
        <v>1348</v>
      </c>
      <c r="N1001" s="2" t="s">
        <v>30</v>
      </c>
      <c r="O1001" s="2" t="s">
        <v>56</v>
      </c>
      <c r="P1001" s="2" t="s">
        <v>1349</v>
      </c>
      <c r="Q1001" s="2">
        <v>52.415999999999997</v>
      </c>
      <c r="R1001" s="2">
        <v>9</v>
      </c>
      <c r="S1001" s="2">
        <v>15.069599999999999</v>
      </c>
      <c r="T1001" s="2" t="s">
        <v>58</v>
      </c>
      <c r="U1001" s="2" t="s">
        <v>96</v>
      </c>
    </row>
    <row r="1002" spans="1:21" ht="14.25" customHeight="1" x14ac:dyDescent="0.3">
      <c r="A1002" s="2" t="s">
        <v>2956</v>
      </c>
      <c r="B1002" s="5">
        <v>42349</v>
      </c>
      <c r="C1002" s="2" t="str">
        <f>TEXT(data[[#This Row],[Order Date]],"YYYY")</f>
        <v>2015</v>
      </c>
      <c r="D1002" s="2">
        <v>42354</v>
      </c>
      <c r="E1002" s="2" t="s">
        <v>39</v>
      </c>
      <c r="F1002" s="2" t="s">
        <v>1274</v>
      </c>
      <c r="G1002" s="2" t="s">
        <v>1275</v>
      </c>
      <c r="H1002" s="2" t="s">
        <v>24</v>
      </c>
      <c r="I1002" s="2" t="s">
        <v>25</v>
      </c>
      <c r="J1002" s="2" t="s">
        <v>353</v>
      </c>
      <c r="K1002" s="2" t="s">
        <v>180</v>
      </c>
      <c r="L1002" s="2" t="s">
        <v>54</v>
      </c>
      <c r="M1002" s="2" t="s">
        <v>1290</v>
      </c>
      <c r="N1002" s="2" t="s">
        <v>30</v>
      </c>
      <c r="O1002" s="2" t="s">
        <v>56</v>
      </c>
      <c r="P1002" s="2" t="s">
        <v>1291</v>
      </c>
      <c r="Q1002" s="2">
        <v>54.92</v>
      </c>
      <c r="R1002" s="2">
        <v>5</v>
      </c>
      <c r="S1002" s="2">
        <v>10.984</v>
      </c>
      <c r="T1002" s="2" t="s">
        <v>58</v>
      </c>
      <c r="U1002" s="2" t="s">
        <v>96</v>
      </c>
    </row>
    <row r="1003" spans="1:21" ht="14.25" customHeight="1" x14ac:dyDescent="0.3">
      <c r="A1003" s="2" t="s">
        <v>2956</v>
      </c>
      <c r="B1003" s="5">
        <v>42349</v>
      </c>
      <c r="C1003" s="2" t="str">
        <f>TEXT(data[[#This Row],[Order Date]],"YYYY")</f>
        <v>2015</v>
      </c>
      <c r="D1003" s="2">
        <v>42354</v>
      </c>
      <c r="E1003" s="2" t="s">
        <v>39</v>
      </c>
      <c r="F1003" s="2" t="s">
        <v>1274</v>
      </c>
      <c r="G1003" s="2" t="s">
        <v>1275</v>
      </c>
      <c r="H1003" s="2" t="s">
        <v>24</v>
      </c>
      <c r="I1003" s="2" t="s">
        <v>25</v>
      </c>
      <c r="J1003" s="2" t="s">
        <v>353</v>
      </c>
      <c r="K1003" s="2" t="s">
        <v>180</v>
      </c>
      <c r="L1003" s="2" t="s">
        <v>54</v>
      </c>
      <c r="M1003" s="2" t="s">
        <v>1900</v>
      </c>
      <c r="N1003" s="2" t="s">
        <v>30</v>
      </c>
      <c r="O1003" s="2" t="s">
        <v>45</v>
      </c>
      <c r="P1003" s="2" t="s">
        <v>1901</v>
      </c>
      <c r="Q1003" s="2">
        <v>364.95</v>
      </c>
      <c r="R1003" s="2">
        <v>5</v>
      </c>
      <c r="S1003" s="2">
        <v>-248.166</v>
      </c>
      <c r="T1003" s="2" t="s">
        <v>58</v>
      </c>
      <c r="U1003" s="2" t="s">
        <v>96</v>
      </c>
    </row>
    <row r="1004" spans="1:21" ht="14.25" customHeight="1" x14ac:dyDescent="0.3">
      <c r="A1004" s="2" t="s">
        <v>2957</v>
      </c>
      <c r="B1004" s="5">
        <v>42079</v>
      </c>
      <c r="C1004" s="2" t="str">
        <f>TEXT(data[[#This Row],[Order Date]],"YYYY")</f>
        <v>2015</v>
      </c>
      <c r="D1004" s="2">
        <v>42086</v>
      </c>
      <c r="E1004" s="2" t="s">
        <v>39</v>
      </c>
      <c r="F1004" s="2" t="s">
        <v>2958</v>
      </c>
      <c r="G1004" s="2" t="s">
        <v>2959</v>
      </c>
      <c r="H1004" s="2" t="s">
        <v>90</v>
      </c>
      <c r="I1004" s="2" t="s">
        <v>25</v>
      </c>
      <c r="J1004" s="2" t="s">
        <v>52</v>
      </c>
      <c r="K1004" s="2" t="s">
        <v>53</v>
      </c>
      <c r="L1004" s="2" t="s">
        <v>54</v>
      </c>
      <c r="M1004" s="2" t="s">
        <v>2690</v>
      </c>
      <c r="N1004" s="2" t="s">
        <v>30</v>
      </c>
      <c r="O1004" s="2" t="s">
        <v>56</v>
      </c>
      <c r="P1004" s="2" t="s">
        <v>2691</v>
      </c>
      <c r="Q1004" s="2">
        <v>43.13</v>
      </c>
      <c r="R1004" s="2">
        <v>1</v>
      </c>
      <c r="S1004" s="2">
        <v>18.114599999999999</v>
      </c>
      <c r="T1004" s="2" t="s">
        <v>47</v>
      </c>
      <c r="U1004" s="2" t="s">
        <v>195</v>
      </c>
    </row>
    <row r="1005" spans="1:21" ht="14.25" customHeight="1" x14ac:dyDescent="0.3">
      <c r="A1005" s="2" t="s">
        <v>2960</v>
      </c>
      <c r="B1005" s="5">
        <v>42504</v>
      </c>
      <c r="C1005" s="2" t="str">
        <f>TEXT(data[[#This Row],[Order Date]],"YYYY")</f>
        <v>2016</v>
      </c>
      <c r="D1005" s="2">
        <v>42509</v>
      </c>
      <c r="E1005" s="2" t="s">
        <v>39</v>
      </c>
      <c r="F1005" s="2" t="s">
        <v>426</v>
      </c>
      <c r="G1005" s="2" t="s">
        <v>427</v>
      </c>
      <c r="H1005" s="2" t="s">
        <v>90</v>
      </c>
      <c r="I1005" s="2" t="s">
        <v>25</v>
      </c>
      <c r="J1005" s="2" t="s">
        <v>606</v>
      </c>
      <c r="K1005" s="2" t="s">
        <v>43</v>
      </c>
      <c r="L1005" s="2" t="s">
        <v>28</v>
      </c>
      <c r="M1005" s="2" t="s">
        <v>2614</v>
      </c>
      <c r="N1005" s="2" t="s">
        <v>30</v>
      </c>
      <c r="O1005" s="2" t="s">
        <v>56</v>
      </c>
      <c r="P1005" s="2" t="s">
        <v>2615</v>
      </c>
      <c r="Q1005" s="2">
        <v>30.192</v>
      </c>
      <c r="R1005" s="2">
        <v>3</v>
      </c>
      <c r="S1005" s="2">
        <v>8.3027999999999995</v>
      </c>
      <c r="T1005" s="2" t="s">
        <v>58</v>
      </c>
      <c r="U1005" s="2" t="s">
        <v>161</v>
      </c>
    </row>
    <row r="1006" spans="1:21" ht="14.25" customHeight="1" x14ac:dyDescent="0.3">
      <c r="A1006" s="2" t="s">
        <v>2961</v>
      </c>
      <c r="B1006" s="5">
        <v>42929</v>
      </c>
      <c r="C1006" s="2" t="str">
        <f>TEXT(data[[#This Row],[Order Date]],"YYYY")</f>
        <v>2017</v>
      </c>
      <c r="D1006" s="2">
        <v>42933</v>
      </c>
      <c r="E1006" s="2" t="s">
        <v>21</v>
      </c>
      <c r="F1006" s="2" t="s">
        <v>2633</v>
      </c>
      <c r="G1006" s="2" t="s">
        <v>2634</v>
      </c>
      <c r="H1006" s="2" t="s">
        <v>24</v>
      </c>
      <c r="I1006" s="2" t="s">
        <v>25</v>
      </c>
      <c r="J1006" s="2" t="s">
        <v>65</v>
      </c>
      <c r="K1006" s="2" t="s">
        <v>66</v>
      </c>
      <c r="L1006" s="2" t="s">
        <v>67</v>
      </c>
      <c r="M1006" s="2" t="s">
        <v>1834</v>
      </c>
      <c r="N1006" s="2" t="s">
        <v>30</v>
      </c>
      <c r="O1006" s="2" t="s">
        <v>56</v>
      </c>
      <c r="P1006" s="2" t="s">
        <v>1835</v>
      </c>
      <c r="Q1006" s="2">
        <v>91.007999999999996</v>
      </c>
      <c r="R1006" s="2">
        <v>9</v>
      </c>
      <c r="S1006" s="2">
        <v>19.339200000000002</v>
      </c>
      <c r="T1006" s="2" t="s">
        <v>83</v>
      </c>
      <c r="U1006" s="2" t="s">
        <v>71</v>
      </c>
    </row>
    <row r="1007" spans="1:21" ht="14.25" customHeight="1" x14ac:dyDescent="0.3">
      <c r="A1007" s="2" t="s">
        <v>2962</v>
      </c>
      <c r="B1007" s="5">
        <v>42688</v>
      </c>
      <c r="C1007" s="2" t="str">
        <f>TEXT(data[[#This Row],[Order Date]],"YYYY")</f>
        <v>2016</v>
      </c>
      <c r="D1007" s="2">
        <v>42693</v>
      </c>
      <c r="E1007" s="2" t="s">
        <v>21</v>
      </c>
      <c r="F1007" s="2" t="s">
        <v>2963</v>
      </c>
      <c r="G1007" s="2" t="s">
        <v>2964</v>
      </c>
      <c r="H1007" s="2" t="s">
        <v>24</v>
      </c>
      <c r="I1007" s="2" t="s">
        <v>25</v>
      </c>
      <c r="J1007" s="2" t="s">
        <v>65</v>
      </c>
      <c r="K1007" s="2" t="s">
        <v>66</v>
      </c>
      <c r="L1007" s="2" t="s">
        <v>67</v>
      </c>
      <c r="M1007" s="2" t="s">
        <v>420</v>
      </c>
      <c r="N1007" s="2" t="s">
        <v>30</v>
      </c>
      <c r="O1007" s="2" t="s">
        <v>36</v>
      </c>
      <c r="P1007" s="2" t="s">
        <v>421</v>
      </c>
      <c r="Q1007" s="2">
        <v>380.05799999999999</v>
      </c>
      <c r="R1007" s="2">
        <v>3</v>
      </c>
      <c r="S1007" s="2">
        <v>-21.717600000000001</v>
      </c>
      <c r="T1007" s="2" t="s">
        <v>58</v>
      </c>
      <c r="U1007" s="2" t="s">
        <v>34</v>
      </c>
    </row>
    <row r="1008" spans="1:21" ht="14.25" customHeight="1" x14ac:dyDescent="0.3">
      <c r="A1008" s="2" t="s">
        <v>2962</v>
      </c>
      <c r="B1008" s="5">
        <v>42688</v>
      </c>
      <c r="C1008" s="2" t="str">
        <f>TEXT(data[[#This Row],[Order Date]],"YYYY")</f>
        <v>2016</v>
      </c>
      <c r="D1008" s="2">
        <v>42693</v>
      </c>
      <c r="E1008" s="2" t="s">
        <v>21</v>
      </c>
      <c r="F1008" s="2" t="s">
        <v>2963</v>
      </c>
      <c r="G1008" s="2" t="s">
        <v>2964</v>
      </c>
      <c r="H1008" s="2" t="s">
        <v>24</v>
      </c>
      <c r="I1008" s="2" t="s">
        <v>25</v>
      </c>
      <c r="J1008" s="2" t="s">
        <v>65</v>
      </c>
      <c r="K1008" s="2" t="s">
        <v>66</v>
      </c>
      <c r="L1008" s="2" t="s">
        <v>67</v>
      </c>
      <c r="M1008" s="2" t="s">
        <v>2965</v>
      </c>
      <c r="N1008" s="2" t="s">
        <v>30</v>
      </c>
      <c r="O1008" s="2" t="s">
        <v>56</v>
      </c>
      <c r="P1008" s="2" t="s">
        <v>2966</v>
      </c>
      <c r="Q1008" s="2">
        <v>48.576000000000001</v>
      </c>
      <c r="R1008" s="2">
        <v>3</v>
      </c>
      <c r="S1008" s="2">
        <v>9.7151999999999994</v>
      </c>
      <c r="T1008" s="2" t="s">
        <v>58</v>
      </c>
      <c r="U1008" s="2" t="s">
        <v>34</v>
      </c>
    </row>
    <row r="1009" spans="1:21" ht="14.25" customHeight="1" x14ac:dyDescent="0.3">
      <c r="A1009" s="2" t="s">
        <v>2967</v>
      </c>
      <c r="B1009" s="5">
        <v>42695</v>
      </c>
      <c r="C1009" s="2" t="str">
        <f>TEXT(data[[#This Row],[Order Date]],"YYYY")</f>
        <v>2016</v>
      </c>
      <c r="D1009" s="2">
        <v>42700</v>
      </c>
      <c r="E1009" s="2" t="s">
        <v>39</v>
      </c>
      <c r="F1009" s="2" t="s">
        <v>1359</v>
      </c>
      <c r="G1009" s="2" t="s">
        <v>1360</v>
      </c>
      <c r="H1009" s="2" t="s">
        <v>24</v>
      </c>
      <c r="I1009" s="2" t="s">
        <v>25</v>
      </c>
      <c r="J1009" s="2" t="s">
        <v>347</v>
      </c>
      <c r="K1009" s="2" t="s">
        <v>231</v>
      </c>
      <c r="L1009" s="2" t="s">
        <v>67</v>
      </c>
      <c r="M1009" s="2" t="s">
        <v>251</v>
      </c>
      <c r="N1009" s="2" t="s">
        <v>30</v>
      </c>
      <c r="O1009" s="2" t="s">
        <v>36</v>
      </c>
      <c r="P1009" s="2" t="s">
        <v>252</v>
      </c>
      <c r="Q1009" s="2">
        <v>127.554</v>
      </c>
      <c r="R1009" s="2">
        <v>3</v>
      </c>
      <c r="S1009" s="2">
        <v>-9.1110000000000007</v>
      </c>
      <c r="T1009" s="2" t="s">
        <v>58</v>
      </c>
      <c r="U1009" s="2" t="s">
        <v>34</v>
      </c>
    </row>
    <row r="1010" spans="1:21" ht="14.25" customHeight="1" x14ac:dyDescent="0.3">
      <c r="A1010" s="2" t="s">
        <v>2967</v>
      </c>
      <c r="B1010" s="5">
        <v>42695</v>
      </c>
      <c r="C1010" s="2" t="str">
        <f>TEXT(data[[#This Row],[Order Date]],"YYYY")</f>
        <v>2016</v>
      </c>
      <c r="D1010" s="2">
        <v>42700</v>
      </c>
      <c r="E1010" s="2" t="s">
        <v>39</v>
      </c>
      <c r="F1010" s="2" t="s">
        <v>1359</v>
      </c>
      <c r="G1010" s="2" t="s">
        <v>1360</v>
      </c>
      <c r="H1010" s="2" t="s">
        <v>24</v>
      </c>
      <c r="I1010" s="2" t="s">
        <v>25</v>
      </c>
      <c r="J1010" s="2" t="s">
        <v>347</v>
      </c>
      <c r="K1010" s="2" t="s">
        <v>231</v>
      </c>
      <c r="L1010" s="2" t="s">
        <v>67</v>
      </c>
      <c r="M1010" s="2" t="s">
        <v>2055</v>
      </c>
      <c r="N1010" s="2" t="s">
        <v>30</v>
      </c>
      <c r="O1010" s="2" t="s">
        <v>56</v>
      </c>
      <c r="P1010" s="2" t="s">
        <v>2056</v>
      </c>
      <c r="Q1010" s="2">
        <v>77.951999999999998</v>
      </c>
      <c r="R1010" s="2">
        <v>3</v>
      </c>
      <c r="S1010" s="2">
        <v>15.590400000000001</v>
      </c>
      <c r="T1010" s="2" t="s">
        <v>58</v>
      </c>
      <c r="U1010" s="2" t="s">
        <v>34</v>
      </c>
    </row>
    <row r="1011" spans="1:21" ht="14.25" customHeight="1" x14ac:dyDescent="0.3">
      <c r="A1011" s="2" t="s">
        <v>2968</v>
      </c>
      <c r="B1011" s="5">
        <v>43059</v>
      </c>
      <c r="C1011" s="2" t="str">
        <f>TEXT(data[[#This Row],[Order Date]],"YYYY")</f>
        <v>2017</v>
      </c>
      <c r="D1011" s="2">
        <v>43064</v>
      </c>
      <c r="E1011" s="2" t="s">
        <v>39</v>
      </c>
      <c r="F1011" s="2" t="s">
        <v>901</v>
      </c>
      <c r="G1011" s="2" t="s">
        <v>902</v>
      </c>
      <c r="H1011" s="2" t="s">
        <v>100</v>
      </c>
      <c r="I1011" s="2" t="s">
        <v>25</v>
      </c>
      <c r="J1011" s="2" t="s">
        <v>26</v>
      </c>
      <c r="K1011" s="2" t="s">
        <v>27</v>
      </c>
      <c r="L1011" s="2" t="s">
        <v>28</v>
      </c>
      <c r="M1011" s="2" t="s">
        <v>174</v>
      </c>
      <c r="N1011" s="2" t="s">
        <v>30</v>
      </c>
      <c r="O1011" s="2" t="s">
        <v>56</v>
      </c>
      <c r="P1011" s="2" t="s">
        <v>175</v>
      </c>
      <c r="Q1011" s="2">
        <v>27.58</v>
      </c>
      <c r="R1011" s="2">
        <v>2</v>
      </c>
      <c r="S1011" s="2">
        <v>11.583600000000001</v>
      </c>
      <c r="T1011" s="2" t="s">
        <v>58</v>
      </c>
      <c r="U1011" s="2" t="s">
        <v>34</v>
      </c>
    </row>
    <row r="1012" spans="1:21" ht="14.25" customHeight="1" x14ac:dyDescent="0.3">
      <c r="A1012" s="2" t="s">
        <v>2969</v>
      </c>
      <c r="B1012" s="5">
        <v>41890</v>
      </c>
      <c r="C1012" s="2" t="str">
        <f>TEXT(data[[#This Row],[Order Date]],"YYYY")</f>
        <v>2014</v>
      </c>
      <c r="D1012" s="2">
        <v>41896</v>
      </c>
      <c r="E1012" s="2" t="s">
        <v>39</v>
      </c>
      <c r="F1012" s="2" t="s">
        <v>1403</v>
      </c>
      <c r="G1012" s="2" t="s">
        <v>1404</v>
      </c>
      <c r="H1012" s="2" t="s">
        <v>24</v>
      </c>
      <c r="I1012" s="2" t="s">
        <v>25</v>
      </c>
      <c r="J1012" s="2" t="s">
        <v>2970</v>
      </c>
      <c r="K1012" s="2" t="s">
        <v>192</v>
      </c>
      <c r="L1012" s="2" t="s">
        <v>54</v>
      </c>
      <c r="M1012" s="2" t="s">
        <v>35</v>
      </c>
      <c r="N1012" s="2" t="s">
        <v>30</v>
      </c>
      <c r="O1012" s="2" t="s">
        <v>36</v>
      </c>
      <c r="P1012" s="2" t="s">
        <v>37</v>
      </c>
      <c r="Q1012" s="2">
        <v>975.92</v>
      </c>
      <c r="R1012" s="2">
        <v>5</v>
      </c>
      <c r="S1012" s="2">
        <v>121.99</v>
      </c>
      <c r="T1012" s="2" t="s">
        <v>129</v>
      </c>
      <c r="U1012" s="2" t="s">
        <v>77</v>
      </c>
    </row>
    <row r="1013" spans="1:21" ht="14.25" customHeight="1" x14ac:dyDescent="0.3">
      <c r="A1013" s="2" t="s">
        <v>2971</v>
      </c>
      <c r="B1013" s="5">
        <v>41985</v>
      </c>
      <c r="C1013" s="2" t="str">
        <f>TEXT(data[[#This Row],[Order Date]],"YYYY")</f>
        <v>2014</v>
      </c>
      <c r="D1013" s="2">
        <v>41988</v>
      </c>
      <c r="E1013" s="2" t="s">
        <v>21</v>
      </c>
      <c r="F1013" s="2" t="s">
        <v>326</v>
      </c>
      <c r="G1013" s="2" t="s">
        <v>327</v>
      </c>
      <c r="H1013" s="2" t="s">
        <v>24</v>
      </c>
      <c r="I1013" s="2" t="s">
        <v>25</v>
      </c>
      <c r="J1013" s="2" t="s">
        <v>1470</v>
      </c>
      <c r="K1013" s="2" t="s">
        <v>53</v>
      </c>
      <c r="L1013" s="2" t="s">
        <v>54</v>
      </c>
      <c r="M1013" s="2" t="s">
        <v>1311</v>
      </c>
      <c r="N1013" s="2" t="s">
        <v>30</v>
      </c>
      <c r="O1013" s="2" t="s">
        <v>56</v>
      </c>
      <c r="P1013" s="2" t="s">
        <v>1312</v>
      </c>
      <c r="Q1013" s="2">
        <v>12.54</v>
      </c>
      <c r="R1013" s="2">
        <v>3</v>
      </c>
      <c r="S1013" s="2">
        <v>4.5144000000000002</v>
      </c>
      <c r="T1013" s="2" t="s">
        <v>33</v>
      </c>
      <c r="U1013" s="2" t="s">
        <v>96</v>
      </c>
    </row>
    <row r="1014" spans="1:21" ht="14.25" customHeight="1" x14ac:dyDescent="0.3">
      <c r="A1014" s="2" t="s">
        <v>2971</v>
      </c>
      <c r="B1014" s="5">
        <v>41985</v>
      </c>
      <c r="C1014" s="2" t="str">
        <f>TEXT(data[[#This Row],[Order Date]],"YYYY")</f>
        <v>2014</v>
      </c>
      <c r="D1014" s="2">
        <v>41988</v>
      </c>
      <c r="E1014" s="2" t="s">
        <v>21</v>
      </c>
      <c r="F1014" s="2" t="s">
        <v>326</v>
      </c>
      <c r="G1014" s="2" t="s">
        <v>327</v>
      </c>
      <c r="H1014" s="2" t="s">
        <v>24</v>
      </c>
      <c r="I1014" s="2" t="s">
        <v>25</v>
      </c>
      <c r="J1014" s="2" t="s">
        <v>1470</v>
      </c>
      <c r="K1014" s="2" t="s">
        <v>53</v>
      </c>
      <c r="L1014" s="2" t="s">
        <v>54</v>
      </c>
      <c r="M1014" s="2" t="s">
        <v>111</v>
      </c>
      <c r="N1014" s="2" t="s">
        <v>30</v>
      </c>
      <c r="O1014" s="2" t="s">
        <v>56</v>
      </c>
      <c r="P1014" s="2" t="s">
        <v>112</v>
      </c>
      <c r="Q1014" s="2">
        <v>9.24</v>
      </c>
      <c r="R1014" s="2">
        <v>3</v>
      </c>
      <c r="S1014" s="2">
        <v>4.4352</v>
      </c>
      <c r="T1014" s="2" t="s">
        <v>33</v>
      </c>
      <c r="U1014" s="2" t="s">
        <v>96</v>
      </c>
    </row>
    <row r="1015" spans="1:21" ht="14.25" customHeight="1" x14ac:dyDescent="0.3">
      <c r="A1015" s="2" t="s">
        <v>2972</v>
      </c>
      <c r="B1015" s="5">
        <v>42017</v>
      </c>
      <c r="C1015" s="2" t="str">
        <f>TEXT(data[[#This Row],[Order Date]],"YYYY")</f>
        <v>2015</v>
      </c>
      <c r="D1015" s="2">
        <v>42021</v>
      </c>
      <c r="E1015" s="2" t="s">
        <v>39</v>
      </c>
      <c r="F1015" s="2" t="s">
        <v>464</v>
      </c>
      <c r="G1015" s="2" t="s">
        <v>465</v>
      </c>
      <c r="H1015" s="2" t="s">
        <v>24</v>
      </c>
      <c r="I1015" s="2" t="s">
        <v>25</v>
      </c>
      <c r="J1015" s="2" t="s">
        <v>52</v>
      </c>
      <c r="K1015" s="2" t="s">
        <v>53</v>
      </c>
      <c r="L1015" s="2" t="s">
        <v>54</v>
      </c>
      <c r="M1015" s="2" t="s">
        <v>363</v>
      </c>
      <c r="N1015" s="2" t="s">
        <v>30</v>
      </c>
      <c r="O1015" s="2" t="s">
        <v>56</v>
      </c>
      <c r="P1015" s="2" t="s">
        <v>364</v>
      </c>
      <c r="Q1015" s="2">
        <v>77.599999999999994</v>
      </c>
      <c r="R1015" s="2">
        <v>4</v>
      </c>
      <c r="S1015" s="2">
        <v>38.024000000000001</v>
      </c>
      <c r="T1015" s="2" t="s">
        <v>83</v>
      </c>
      <c r="U1015" s="2" t="s">
        <v>169</v>
      </c>
    </row>
    <row r="1016" spans="1:21" ht="14.25" customHeight="1" x14ac:dyDescent="0.3">
      <c r="A1016" s="2" t="s">
        <v>2972</v>
      </c>
      <c r="B1016" s="5">
        <v>42017</v>
      </c>
      <c r="C1016" s="2" t="str">
        <f>TEXT(data[[#This Row],[Order Date]],"YYYY")</f>
        <v>2015</v>
      </c>
      <c r="D1016" s="2">
        <v>42021</v>
      </c>
      <c r="E1016" s="2" t="s">
        <v>39</v>
      </c>
      <c r="F1016" s="2" t="s">
        <v>464</v>
      </c>
      <c r="G1016" s="2" t="s">
        <v>465</v>
      </c>
      <c r="H1016" s="2" t="s">
        <v>24</v>
      </c>
      <c r="I1016" s="2" t="s">
        <v>25</v>
      </c>
      <c r="J1016" s="2" t="s">
        <v>52</v>
      </c>
      <c r="K1016" s="2" t="s">
        <v>53</v>
      </c>
      <c r="L1016" s="2" t="s">
        <v>54</v>
      </c>
      <c r="M1016" s="2" t="s">
        <v>2973</v>
      </c>
      <c r="N1016" s="2" t="s">
        <v>30</v>
      </c>
      <c r="O1016" s="2" t="s">
        <v>56</v>
      </c>
      <c r="P1016" s="2" t="s">
        <v>2974</v>
      </c>
      <c r="Q1016" s="2">
        <v>464.85</v>
      </c>
      <c r="R1016" s="2">
        <v>9</v>
      </c>
      <c r="S1016" s="2">
        <v>92.97</v>
      </c>
      <c r="T1016" s="2" t="s">
        <v>83</v>
      </c>
      <c r="U1016" s="2" t="s">
        <v>169</v>
      </c>
    </row>
    <row r="1017" spans="1:21" ht="14.25" customHeight="1" x14ac:dyDescent="0.3">
      <c r="A1017" s="2" t="s">
        <v>2975</v>
      </c>
      <c r="B1017" s="5">
        <v>43052</v>
      </c>
      <c r="C1017" s="2" t="str">
        <f>TEXT(data[[#This Row],[Order Date]],"YYYY")</f>
        <v>2017</v>
      </c>
      <c r="D1017" s="2">
        <v>43057</v>
      </c>
      <c r="E1017" s="2" t="s">
        <v>39</v>
      </c>
      <c r="F1017" s="2" t="s">
        <v>2348</v>
      </c>
      <c r="G1017" s="2" t="s">
        <v>2349</v>
      </c>
      <c r="H1017" s="2" t="s">
        <v>24</v>
      </c>
      <c r="I1017" s="2" t="s">
        <v>25</v>
      </c>
      <c r="J1017" s="2" t="s">
        <v>191</v>
      </c>
      <c r="K1017" s="2" t="s">
        <v>192</v>
      </c>
      <c r="L1017" s="2" t="s">
        <v>54</v>
      </c>
      <c r="M1017" s="2" t="s">
        <v>559</v>
      </c>
      <c r="N1017" s="2" t="s">
        <v>30</v>
      </c>
      <c r="O1017" s="2" t="s">
        <v>36</v>
      </c>
      <c r="P1017" s="2" t="s">
        <v>560</v>
      </c>
      <c r="Q1017" s="2">
        <v>2404.7040000000002</v>
      </c>
      <c r="R1017" s="2">
        <v>6</v>
      </c>
      <c r="S1017" s="2">
        <v>150.29400000000001</v>
      </c>
      <c r="T1017" s="2" t="s">
        <v>58</v>
      </c>
      <c r="U1017" s="2" t="s">
        <v>34</v>
      </c>
    </row>
    <row r="1018" spans="1:21" ht="14.25" customHeight="1" x14ac:dyDescent="0.3">
      <c r="A1018" s="2" t="s">
        <v>2976</v>
      </c>
      <c r="B1018" s="5">
        <v>43041</v>
      </c>
      <c r="C1018" s="2" t="str">
        <f>TEXT(data[[#This Row],[Order Date]],"YYYY")</f>
        <v>2017</v>
      </c>
      <c r="D1018" s="2">
        <v>43044</v>
      </c>
      <c r="E1018" s="2" t="s">
        <v>21</v>
      </c>
      <c r="F1018" s="2" t="s">
        <v>2977</v>
      </c>
      <c r="G1018" s="2" t="s">
        <v>2978</v>
      </c>
      <c r="H1018" s="2" t="s">
        <v>90</v>
      </c>
      <c r="I1018" s="2" t="s">
        <v>25</v>
      </c>
      <c r="J1018" s="2" t="s">
        <v>26</v>
      </c>
      <c r="K1018" s="2" t="s">
        <v>27</v>
      </c>
      <c r="L1018" s="2" t="s">
        <v>28</v>
      </c>
      <c r="M1018" s="2" t="s">
        <v>35</v>
      </c>
      <c r="N1018" s="2" t="s">
        <v>30</v>
      </c>
      <c r="O1018" s="2" t="s">
        <v>36</v>
      </c>
      <c r="P1018" s="2" t="s">
        <v>37</v>
      </c>
      <c r="Q1018" s="2">
        <v>975.92</v>
      </c>
      <c r="R1018" s="2">
        <v>4</v>
      </c>
      <c r="S1018" s="2">
        <v>292.77600000000001</v>
      </c>
      <c r="T1018" s="2" t="s">
        <v>33</v>
      </c>
      <c r="U1018" s="2" t="s">
        <v>34</v>
      </c>
    </row>
    <row r="1019" spans="1:21" ht="14.25" customHeight="1" x14ac:dyDescent="0.3">
      <c r="A1019" s="2" t="s">
        <v>2979</v>
      </c>
      <c r="B1019" s="5">
        <v>42702</v>
      </c>
      <c r="C1019" s="2" t="str">
        <f>TEXT(data[[#This Row],[Order Date]],"YYYY")</f>
        <v>2016</v>
      </c>
      <c r="D1019" s="2">
        <v>42705</v>
      </c>
      <c r="E1019" s="2" t="s">
        <v>21</v>
      </c>
      <c r="F1019" s="2" t="s">
        <v>1712</v>
      </c>
      <c r="G1019" s="2" t="s">
        <v>1713</v>
      </c>
      <c r="H1019" s="2" t="s">
        <v>90</v>
      </c>
      <c r="I1019" s="2" t="s">
        <v>25</v>
      </c>
      <c r="J1019" s="2" t="s">
        <v>2980</v>
      </c>
      <c r="K1019" s="2" t="s">
        <v>667</v>
      </c>
      <c r="L1019" s="2" t="s">
        <v>28</v>
      </c>
      <c r="M1019" s="2" t="s">
        <v>298</v>
      </c>
      <c r="N1019" s="2" t="s">
        <v>30</v>
      </c>
      <c r="O1019" s="2" t="s">
        <v>36</v>
      </c>
      <c r="P1019" s="2" t="s">
        <v>299</v>
      </c>
      <c r="Q1019" s="2">
        <v>182.67</v>
      </c>
      <c r="R1019" s="2">
        <v>3</v>
      </c>
      <c r="S1019" s="2">
        <v>52.974299999999999</v>
      </c>
      <c r="T1019" s="2" t="s">
        <v>33</v>
      </c>
      <c r="U1019" s="2" t="s">
        <v>34</v>
      </c>
    </row>
    <row r="1020" spans="1:21" ht="14.25" customHeight="1" x14ac:dyDescent="0.3">
      <c r="A1020" s="2" t="s">
        <v>2981</v>
      </c>
      <c r="B1020" s="5">
        <v>41927</v>
      </c>
      <c r="C1020" s="2" t="str">
        <f>TEXT(data[[#This Row],[Order Date]],"YYYY")</f>
        <v>2014</v>
      </c>
      <c r="D1020" s="2">
        <v>41929</v>
      </c>
      <c r="E1020" s="2" t="s">
        <v>87</v>
      </c>
      <c r="F1020" s="2" t="s">
        <v>2982</v>
      </c>
      <c r="G1020" s="2" t="s">
        <v>2983</v>
      </c>
      <c r="H1020" s="2" t="s">
        <v>24</v>
      </c>
      <c r="I1020" s="2" t="s">
        <v>25</v>
      </c>
      <c r="J1020" s="2" t="s">
        <v>2984</v>
      </c>
      <c r="K1020" s="2" t="s">
        <v>231</v>
      </c>
      <c r="L1020" s="2" t="s">
        <v>67</v>
      </c>
      <c r="M1020" s="2" t="s">
        <v>2044</v>
      </c>
      <c r="N1020" s="2" t="s">
        <v>30</v>
      </c>
      <c r="O1020" s="2" t="s">
        <v>36</v>
      </c>
      <c r="P1020" s="2" t="s">
        <v>2045</v>
      </c>
      <c r="Q1020" s="2">
        <v>183.37200000000001</v>
      </c>
      <c r="R1020" s="2">
        <v>2</v>
      </c>
      <c r="S1020" s="2">
        <v>-7.8587999999999996</v>
      </c>
      <c r="T1020" s="2" t="s">
        <v>70</v>
      </c>
      <c r="U1020" s="2" t="s">
        <v>48</v>
      </c>
    </row>
    <row r="1021" spans="1:21" ht="14.25" customHeight="1" x14ac:dyDescent="0.3">
      <c r="A1021" s="2" t="s">
        <v>2985</v>
      </c>
      <c r="B1021" s="5">
        <v>41974</v>
      </c>
      <c r="C1021" s="2" t="str">
        <f>TEXT(data[[#This Row],[Order Date]],"YYYY")</f>
        <v>2014</v>
      </c>
      <c r="D1021" s="2">
        <v>41976</v>
      </c>
      <c r="E1021" s="2" t="s">
        <v>21</v>
      </c>
      <c r="F1021" s="2" t="s">
        <v>569</v>
      </c>
      <c r="G1021" s="2" t="s">
        <v>570</v>
      </c>
      <c r="H1021" s="2" t="s">
        <v>90</v>
      </c>
      <c r="I1021" s="2" t="s">
        <v>25</v>
      </c>
      <c r="J1021" s="2" t="s">
        <v>101</v>
      </c>
      <c r="K1021" s="2" t="s">
        <v>92</v>
      </c>
      <c r="L1021" s="2" t="s">
        <v>93</v>
      </c>
      <c r="M1021" s="2" t="s">
        <v>795</v>
      </c>
      <c r="N1021" s="2" t="s">
        <v>30</v>
      </c>
      <c r="O1021" s="2" t="s">
        <v>36</v>
      </c>
      <c r="P1021" s="2" t="s">
        <v>796</v>
      </c>
      <c r="Q1021" s="2">
        <v>674.05799999999999</v>
      </c>
      <c r="R1021" s="2">
        <v>3</v>
      </c>
      <c r="S1021" s="2">
        <v>-19.258800000000001</v>
      </c>
      <c r="T1021" s="2" t="s">
        <v>70</v>
      </c>
      <c r="U1021" s="2" t="s">
        <v>96</v>
      </c>
    </row>
    <row r="1022" spans="1:21" ht="14.25" customHeight="1" x14ac:dyDescent="0.3">
      <c r="A1022" s="2" t="s">
        <v>2986</v>
      </c>
      <c r="B1022" s="5">
        <v>43017</v>
      </c>
      <c r="C1022" s="2" t="str">
        <f>TEXT(data[[#This Row],[Order Date]],"YYYY")</f>
        <v>2017</v>
      </c>
      <c r="D1022" s="2">
        <v>43019</v>
      </c>
      <c r="E1022" s="2" t="s">
        <v>21</v>
      </c>
      <c r="F1022" s="2" t="s">
        <v>1300</v>
      </c>
      <c r="G1022" s="2" t="s">
        <v>1301</v>
      </c>
      <c r="H1022" s="2" t="s">
        <v>24</v>
      </c>
      <c r="I1022" s="2" t="s">
        <v>25</v>
      </c>
      <c r="J1022" s="2" t="s">
        <v>2987</v>
      </c>
      <c r="K1022" s="2" t="s">
        <v>92</v>
      </c>
      <c r="L1022" s="2" t="s">
        <v>93</v>
      </c>
      <c r="M1022" s="2" t="s">
        <v>2988</v>
      </c>
      <c r="N1022" s="2" t="s">
        <v>30</v>
      </c>
      <c r="O1022" s="2" t="s">
        <v>36</v>
      </c>
      <c r="P1022" s="2" t="s">
        <v>2989</v>
      </c>
      <c r="Q1022" s="2">
        <v>254.05799999999999</v>
      </c>
      <c r="R1022" s="2">
        <v>3</v>
      </c>
      <c r="S1022" s="2">
        <v>-32.6646</v>
      </c>
      <c r="T1022" s="2" t="s">
        <v>70</v>
      </c>
      <c r="U1022" s="2" t="s">
        <v>48</v>
      </c>
    </row>
    <row r="1023" spans="1:21" ht="14.25" customHeight="1" x14ac:dyDescent="0.3">
      <c r="A1023" s="2" t="s">
        <v>2990</v>
      </c>
      <c r="B1023" s="5">
        <v>42371</v>
      </c>
      <c r="C1023" s="2" t="str">
        <f>TEXT(data[[#This Row],[Order Date]],"YYYY")</f>
        <v>2016</v>
      </c>
      <c r="D1023" s="2">
        <v>42376</v>
      </c>
      <c r="E1023" s="2" t="s">
        <v>39</v>
      </c>
      <c r="F1023" s="2" t="s">
        <v>1828</v>
      </c>
      <c r="G1023" s="2" t="s">
        <v>1829</v>
      </c>
      <c r="H1023" s="2" t="s">
        <v>90</v>
      </c>
      <c r="I1023" s="2" t="s">
        <v>25</v>
      </c>
      <c r="J1023" s="2" t="s">
        <v>2991</v>
      </c>
      <c r="K1023" s="2" t="s">
        <v>1089</v>
      </c>
      <c r="L1023" s="2" t="s">
        <v>67</v>
      </c>
      <c r="M1023" s="2" t="s">
        <v>348</v>
      </c>
      <c r="N1023" s="2" t="s">
        <v>30</v>
      </c>
      <c r="O1023" s="2" t="s">
        <v>31</v>
      </c>
      <c r="P1023" s="2" t="s">
        <v>349</v>
      </c>
      <c r="Q1023" s="2">
        <v>173.94</v>
      </c>
      <c r="R1023" s="2">
        <v>3</v>
      </c>
      <c r="S1023" s="2">
        <v>38.266800000000003</v>
      </c>
      <c r="T1023" s="2" t="s">
        <v>58</v>
      </c>
      <c r="U1023" s="2" t="s">
        <v>169</v>
      </c>
    </row>
    <row r="1024" spans="1:21" ht="14.25" customHeight="1" x14ac:dyDescent="0.3">
      <c r="A1024" s="2" t="s">
        <v>2992</v>
      </c>
      <c r="B1024" s="5">
        <v>43027</v>
      </c>
      <c r="C1024" s="2" t="str">
        <f>TEXT(data[[#This Row],[Order Date]],"YYYY")</f>
        <v>2017</v>
      </c>
      <c r="D1024" s="2">
        <v>43031</v>
      </c>
      <c r="E1024" s="2" t="s">
        <v>39</v>
      </c>
      <c r="F1024" s="2" t="s">
        <v>997</v>
      </c>
      <c r="G1024" s="2" t="s">
        <v>998</v>
      </c>
      <c r="H1024" s="2" t="s">
        <v>24</v>
      </c>
      <c r="I1024" s="2" t="s">
        <v>25</v>
      </c>
      <c r="J1024" s="2" t="s">
        <v>133</v>
      </c>
      <c r="K1024" s="2" t="s">
        <v>134</v>
      </c>
      <c r="L1024" s="2" t="s">
        <v>93</v>
      </c>
      <c r="M1024" s="2" t="s">
        <v>1234</v>
      </c>
      <c r="N1024" s="2" t="s">
        <v>30</v>
      </c>
      <c r="O1024" s="2" t="s">
        <v>45</v>
      </c>
      <c r="P1024" s="2" t="s">
        <v>1235</v>
      </c>
      <c r="Q1024" s="2">
        <v>91.275000000000006</v>
      </c>
      <c r="R1024" s="2">
        <v>1</v>
      </c>
      <c r="S1024" s="2">
        <v>-67.543499999999995</v>
      </c>
      <c r="T1024" s="2" t="s">
        <v>83</v>
      </c>
      <c r="U1024" s="2" t="s">
        <v>48</v>
      </c>
    </row>
    <row r="1025" spans="1:21" ht="14.25" customHeight="1" x14ac:dyDescent="0.3">
      <c r="A1025" s="2" t="s">
        <v>2993</v>
      </c>
      <c r="B1025" s="5">
        <v>43070</v>
      </c>
      <c r="C1025" s="2" t="str">
        <f>TEXT(data[[#This Row],[Order Date]],"YYYY")</f>
        <v>2017</v>
      </c>
      <c r="D1025" s="2">
        <v>43075</v>
      </c>
      <c r="E1025" s="2" t="s">
        <v>39</v>
      </c>
      <c r="F1025" s="2" t="s">
        <v>204</v>
      </c>
      <c r="G1025" s="2" t="s">
        <v>205</v>
      </c>
      <c r="H1025" s="2" t="s">
        <v>100</v>
      </c>
      <c r="I1025" s="2" t="s">
        <v>25</v>
      </c>
      <c r="J1025" s="2" t="s">
        <v>1580</v>
      </c>
      <c r="K1025" s="2" t="s">
        <v>429</v>
      </c>
      <c r="L1025" s="2" t="s">
        <v>67</v>
      </c>
      <c r="M1025" s="2" t="s">
        <v>1585</v>
      </c>
      <c r="N1025" s="2" t="s">
        <v>30</v>
      </c>
      <c r="O1025" s="2" t="s">
        <v>36</v>
      </c>
      <c r="P1025" s="2" t="s">
        <v>1586</v>
      </c>
      <c r="Q1025" s="2">
        <v>897.15</v>
      </c>
      <c r="R1025" s="2">
        <v>3</v>
      </c>
      <c r="S1025" s="2">
        <v>251.202</v>
      </c>
      <c r="T1025" s="2" t="s">
        <v>58</v>
      </c>
      <c r="U1025" s="2" t="s">
        <v>96</v>
      </c>
    </row>
    <row r="1026" spans="1:21" ht="14.25" customHeight="1" x14ac:dyDescent="0.3">
      <c r="A1026" s="2" t="s">
        <v>2994</v>
      </c>
      <c r="B1026" s="5">
        <v>41652</v>
      </c>
      <c r="C1026" s="2" t="str">
        <f>TEXT(data[[#This Row],[Order Date]],"YYYY")</f>
        <v>2014</v>
      </c>
      <c r="D1026" s="2">
        <v>41657</v>
      </c>
      <c r="E1026" s="2" t="s">
        <v>39</v>
      </c>
      <c r="F1026" s="2" t="s">
        <v>1060</v>
      </c>
      <c r="G1026" s="2" t="s">
        <v>1061</v>
      </c>
      <c r="H1026" s="2" t="s">
        <v>24</v>
      </c>
      <c r="I1026" s="2" t="s">
        <v>25</v>
      </c>
      <c r="J1026" s="2" t="s">
        <v>328</v>
      </c>
      <c r="K1026" s="2" t="s">
        <v>53</v>
      </c>
      <c r="L1026" s="2" t="s">
        <v>54</v>
      </c>
      <c r="M1026" s="2" t="s">
        <v>1636</v>
      </c>
      <c r="N1026" s="2" t="s">
        <v>30</v>
      </c>
      <c r="O1026" s="2" t="s">
        <v>31</v>
      </c>
      <c r="P1026" s="2" t="s">
        <v>1637</v>
      </c>
      <c r="Q1026" s="2">
        <v>333.99900000000002</v>
      </c>
      <c r="R1026" s="2">
        <v>3</v>
      </c>
      <c r="S1026" s="2">
        <v>3.9293999999999998</v>
      </c>
      <c r="T1026" s="2" t="s">
        <v>58</v>
      </c>
      <c r="U1026" s="2" t="s">
        <v>169</v>
      </c>
    </row>
    <row r="1027" spans="1:21" ht="14.25" customHeight="1" x14ac:dyDescent="0.3">
      <c r="A1027" s="2" t="s">
        <v>2995</v>
      </c>
      <c r="B1027" s="5">
        <v>42041</v>
      </c>
      <c r="C1027" s="2" t="str">
        <f>TEXT(data[[#This Row],[Order Date]],"YYYY")</f>
        <v>2015</v>
      </c>
      <c r="D1027" s="2">
        <v>42048</v>
      </c>
      <c r="E1027" s="2" t="s">
        <v>39</v>
      </c>
      <c r="F1027" s="2" t="s">
        <v>1750</v>
      </c>
      <c r="G1027" s="2" t="s">
        <v>1751</v>
      </c>
      <c r="H1027" s="2" t="s">
        <v>24</v>
      </c>
      <c r="I1027" s="2" t="s">
        <v>25</v>
      </c>
      <c r="J1027" s="2" t="s">
        <v>199</v>
      </c>
      <c r="K1027" s="2" t="s">
        <v>200</v>
      </c>
      <c r="L1027" s="2" t="s">
        <v>67</v>
      </c>
      <c r="M1027" s="2" t="s">
        <v>1141</v>
      </c>
      <c r="N1027" s="2" t="s">
        <v>30</v>
      </c>
      <c r="O1027" s="2" t="s">
        <v>36</v>
      </c>
      <c r="P1027" s="2" t="s">
        <v>1142</v>
      </c>
      <c r="Q1027" s="2">
        <v>1268.82</v>
      </c>
      <c r="R1027" s="2">
        <v>9</v>
      </c>
      <c r="S1027" s="2">
        <v>266.4522</v>
      </c>
      <c r="T1027" s="2" t="s">
        <v>47</v>
      </c>
      <c r="U1027" s="2" t="s">
        <v>297</v>
      </c>
    </row>
    <row r="1028" spans="1:21" ht="14.25" customHeight="1" x14ac:dyDescent="0.3">
      <c r="A1028" s="2" t="s">
        <v>2995</v>
      </c>
      <c r="B1028" s="5">
        <v>42041</v>
      </c>
      <c r="C1028" s="2" t="str">
        <f>TEXT(data[[#This Row],[Order Date]],"YYYY")</f>
        <v>2015</v>
      </c>
      <c r="D1028" s="2">
        <v>42048</v>
      </c>
      <c r="E1028" s="2" t="s">
        <v>39</v>
      </c>
      <c r="F1028" s="2" t="s">
        <v>1750</v>
      </c>
      <c r="G1028" s="2" t="s">
        <v>1751</v>
      </c>
      <c r="H1028" s="2" t="s">
        <v>24</v>
      </c>
      <c r="I1028" s="2" t="s">
        <v>25</v>
      </c>
      <c r="J1028" s="2" t="s">
        <v>199</v>
      </c>
      <c r="K1028" s="2" t="s">
        <v>200</v>
      </c>
      <c r="L1028" s="2" t="s">
        <v>67</v>
      </c>
      <c r="M1028" s="2" t="s">
        <v>2420</v>
      </c>
      <c r="N1028" s="2" t="s">
        <v>30</v>
      </c>
      <c r="O1028" s="2" t="s">
        <v>31</v>
      </c>
      <c r="P1028" s="2" t="s">
        <v>2421</v>
      </c>
      <c r="Q1028" s="2">
        <v>283.92</v>
      </c>
      <c r="R1028" s="2">
        <v>4</v>
      </c>
      <c r="S1028" s="2">
        <v>82.336799999999997</v>
      </c>
      <c r="T1028" s="2" t="s">
        <v>47</v>
      </c>
      <c r="U1028" s="2" t="s">
        <v>297</v>
      </c>
    </row>
    <row r="1029" spans="1:21" ht="14.25" customHeight="1" x14ac:dyDescent="0.3">
      <c r="A1029" s="2" t="s">
        <v>2996</v>
      </c>
      <c r="B1029" s="5">
        <v>43066</v>
      </c>
      <c r="C1029" s="2" t="str">
        <f>TEXT(data[[#This Row],[Order Date]],"YYYY")</f>
        <v>2017</v>
      </c>
      <c r="D1029" s="2">
        <v>43071</v>
      </c>
      <c r="E1029" s="2" t="s">
        <v>39</v>
      </c>
      <c r="F1029" s="2" t="s">
        <v>599</v>
      </c>
      <c r="G1029" s="2" t="s">
        <v>600</v>
      </c>
      <c r="H1029" s="2" t="s">
        <v>24</v>
      </c>
      <c r="I1029" s="2" t="s">
        <v>25</v>
      </c>
      <c r="J1029" s="2" t="s">
        <v>52</v>
      </c>
      <c r="K1029" s="2" t="s">
        <v>53</v>
      </c>
      <c r="L1029" s="2" t="s">
        <v>54</v>
      </c>
      <c r="M1029" s="2" t="s">
        <v>677</v>
      </c>
      <c r="N1029" s="2" t="s">
        <v>30</v>
      </c>
      <c r="O1029" s="2" t="s">
        <v>56</v>
      </c>
      <c r="P1029" s="2" t="s">
        <v>678</v>
      </c>
      <c r="Q1029" s="2">
        <v>18.84</v>
      </c>
      <c r="R1029" s="2">
        <v>3</v>
      </c>
      <c r="S1029" s="2">
        <v>6.0288000000000004</v>
      </c>
      <c r="T1029" s="2" t="s">
        <v>58</v>
      </c>
      <c r="U1029" s="2" t="s">
        <v>34</v>
      </c>
    </row>
    <row r="1030" spans="1:21" ht="14.25" customHeight="1" x14ac:dyDescent="0.3">
      <c r="A1030" s="2" t="s">
        <v>2997</v>
      </c>
      <c r="B1030" s="5">
        <v>41799</v>
      </c>
      <c r="C1030" s="2" t="str">
        <f>TEXT(data[[#This Row],[Order Date]],"YYYY")</f>
        <v>2014</v>
      </c>
      <c r="D1030" s="2">
        <v>41803</v>
      </c>
      <c r="E1030" s="2" t="s">
        <v>21</v>
      </c>
      <c r="F1030" s="2" t="s">
        <v>386</v>
      </c>
      <c r="G1030" s="2" t="s">
        <v>387</v>
      </c>
      <c r="H1030" s="2" t="s">
        <v>90</v>
      </c>
      <c r="I1030" s="2" t="s">
        <v>25</v>
      </c>
      <c r="J1030" s="2" t="s">
        <v>1339</v>
      </c>
      <c r="K1030" s="2" t="s">
        <v>1340</v>
      </c>
      <c r="L1030" s="2" t="s">
        <v>54</v>
      </c>
      <c r="M1030" s="2" t="s">
        <v>2183</v>
      </c>
      <c r="N1030" s="2" t="s">
        <v>30</v>
      </c>
      <c r="O1030" s="2" t="s">
        <v>56</v>
      </c>
      <c r="P1030" s="2" t="s">
        <v>2184</v>
      </c>
      <c r="Q1030" s="2">
        <v>37.4</v>
      </c>
      <c r="R1030" s="2">
        <v>2</v>
      </c>
      <c r="S1030" s="2">
        <v>14.212</v>
      </c>
      <c r="T1030" s="2" t="s">
        <v>83</v>
      </c>
      <c r="U1030" s="2" t="s">
        <v>59</v>
      </c>
    </row>
    <row r="1031" spans="1:21" ht="14.25" customHeight="1" x14ac:dyDescent="0.3">
      <c r="A1031" s="2" t="s">
        <v>2998</v>
      </c>
      <c r="B1031" s="5">
        <v>41705</v>
      </c>
      <c r="C1031" s="2" t="str">
        <f>TEXT(data[[#This Row],[Order Date]],"YYYY")</f>
        <v>2014</v>
      </c>
      <c r="D1031" s="2">
        <v>41706</v>
      </c>
      <c r="E1031" s="2" t="s">
        <v>87</v>
      </c>
      <c r="F1031" s="2" t="s">
        <v>2999</v>
      </c>
      <c r="G1031" s="2" t="s">
        <v>3000</v>
      </c>
      <c r="H1031" s="2" t="s">
        <v>24</v>
      </c>
      <c r="I1031" s="2" t="s">
        <v>25</v>
      </c>
      <c r="J1031" s="2" t="s">
        <v>191</v>
      </c>
      <c r="K1031" s="2" t="s">
        <v>192</v>
      </c>
      <c r="L1031" s="2" t="s">
        <v>54</v>
      </c>
      <c r="M1031" s="2" t="s">
        <v>298</v>
      </c>
      <c r="N1031" s="2" t="s">
        <v>30</v>
      </c>
      <c r="O1031" s="2" t="s">
        <v>36</v>
      </c>
      <c r="P1031" s="2" t="s">
        <v>299</v>
      </c>
      <c r="Q1031" s="2">
        <v>48.712000000000003</v>
      </c>
      <c r="R1031" s="2">
        <v>1</v>
      </c>
      <c r="S1031" s="2">
        <v>5.4801000000000002</v>
      </c>
      <c r="T1031" s="2" t="s">
        <v>123</v>
      </c>
      <c r="U1031" s="2" t="s">
        <v>195</v>
      </c>
    </row>
    <row r="1032" spans="1:21" ht="14.25" customHeight="1" x14ac:dyDescent="0.3">
      <c r="A1032" s="2" t="s">
        <v>3001</v>
      </c>
      <c r="B1032" s="5">
        <v>42218</v>
      </c>
      <c r="C1032" s="2" t="str">
        <f>TEXT(data[[#This Row],[Order Date]],"YYYY")</f>
        <v>2015</v>
      </c>
      <c r="D1032" s="2">
        <v>42221</v>
      </c>
      <c r="E1032" s="2" t="s">
        <v>21</v>
      </c>
      <c r="F1032" s="2" t="s">
        <v>1859</v>
      </c>
      <c r="G1032" s="2" t="s">
        <v>1860</v>
      </c>
      <c r="H1032" s="2" t="s">
        <v>100</v>
      </c>
      <c r="I1032" s="2" t="s">
        <v>25</v>
      </c>
      <c r="J1032" s="2" t="s">
        <v>1644</v>
      </c>
      <c r="K1032" s="2" t="s">
        <v>1645</v>
      </c>
      <c r="L1032" s="2" t="s">
        <v>67</v>
      </c>
      <c r="M1032" s="2" t="s">
        <v>1164</v>
      </c>
      <c r="N1032" s="2" t="s">
        <v>30</v>
      </c>
      <c r="O1032" s="2" t="s">
        <v>36</v>
      </c>
      <c r="P1032" s="2" t="s">
        <v>1165</v>
      </c>
      <c r="Q1032" s="2">
        <v>110.98</v>
      </c>
      <c r="R1032" s="2">
        <v>1</v>
      </c>
      <c r="S1032" s="2">
        <v>15.5372</v>
      </c>
      <c r="T1032" s="2" t="s">
        <v>33</v>
      </c>
      <c r="U1032" s="2" t="s">
        <v>253</v>
      </c>
    </row>
    <row r="1033" spans="1:21" ht="14.25" customHeight="1" x14ac:dyDescent="0.3">
      <c r="A1033" s="2" t="s">
        <v>3002</v>
      </c>
      <c r="B1033" s="5">
        <v>42680</v>
      </c>
      <c r="C1033" s="2" t="str">
        <f>TEXT(data[[#This Row],[Order Date]],"YYYY")</f>
        <v>2016</v>
      </c>
      <c r="D1033" s="2">
        <v>42683</v>
      </c>
      <c r="E1033" s="2" t="s">
        <v>87</v>
      </c>
      <c r="F1033" s="2" t="s">
        <v>351</v>
      </c>
      <c r="G1033" s="2" t="s">
        <v>352</v>
      </c>
      <c r="H1033" s="2" t="s">
        <v>90</v>
      </c>
      <c r="I1033" s="2" t="s">
        <v>25</v>
      </c>
      <c r="J1033" s="2" t="s">
        <v>606</v>
      </c>
      <c r="K1033" s="2" t="s">
        <v>43</v>
      </c>
      <c r="L1033" s="2" t="s">
        <v>28</v>
      </c>
      <c r="M1033" s="2" t="s">
        <v>142</v>
      </c>
      <c r="N1033" s="2" t="s">
        <v>30</v>
      </c>
      <c r="O1033" s="2" t="s">
        <v>36</v>
      </c>
      <c r="P1033" s="2" t="s">
        <v>143</v>
      </c>
      <c r="Q1033" s="2">
        <v>207.98400000000001</v>
      </c>
      <c r="R1033" s="2">
        <v>2</v>
      </c>
      <c r="S1033" s="2">
        <v>-28.597799999999999</v>
      </c>
      <c r="T1033" s="2" t="s">
        <v>33</v>
      </c>
      <c r="U1033" s="2" t="s">
        <v>34</v>
      </c>
    </row>
    <row r="1034" spans="1:21" ht="14.25" customHeight="1" x14ac:dyDescent="0.3">
      <c r="A1034" s="2" t="s">
        <v>3002</v>
      </c>
      <c r="B1034" s="5">
        <v>42680</v>
      </c>
      <c r="C1034" s="2" t="str">
        <f>TEXT(data[[#This Row],[Order Date]],"YYYY")</f>
        <v>2016</v>
      </c>
      <c r="D1034" s="2">
        <v>42683</v>
      </c>
      <c r="E1034" s="2" t="s">
        <v>87</v>
      </c>
      <c r="F1034" s="2" t="s">
        <v>351</v>
      </c>
      <c r="G1034" s="2" t="s">
        <v>352</v>
      </c>
      <c r="H1034" s="2" t="s">
        <v>90</v>
      </c>
      <c r="I1034" s="2" t="s">
        <v>25</v>
      </c>
      <c r="J1034" s="2" t="s">
        <v>606</v>
      </c>
      <c r="K1034" s="2" t="s">
        <v>43</v>
      </c>
      <c r="L1034" s="2" t="s">
        <v>28</v>
      </c>
      <c r="M1034" s="2" t="s">
        <v>830</v>
      </c>
      <c r="N1034" s="2" t="s">
        <v>30</v>
      </c>
      <c r="O1034" s="2" t="s">
        <v>56</v>
      </c>
      <c r="P1034" s="2" t="s">
        <v>831</v>
      </c>
      <c r="Q1034" s="2">
        <v>35.567999999999998</v>
      </c>
      <c r="R1034" s="2">
        <v>2</v>
      </c>
      <c r="S1034" s="2">
        <v>5.7797999999999998</v>
      </c>
      <c r="T1034" s="2" t="s">
        <v>33</v>
      </c>
      <c r="U1034" s="2" t="s">
        <v>34</v>
      </c>
    </row>
    <row r="1035" spans="1:21" ht="14.25" customHeight="1" x14ac:dyDescent="0.3">
      <c r="A1035" s="2" t="s">
        <v>3003</v>
      </c>
      <c r="B1035" s="5">
        <v>42484</v>
      </c>
      <c r="C1035" s="2" t="str">
        <f>TEXT(data[[#This Row],[Order Date]],"YYYY")</f>
        <v>2016</v>
      </c>
      <c r="D1035" s="2">
        <v>42488</v>
      </c>
      <c r="E1035" s="2" t="s">
        <v>39</v>
      </c>
      <c r="F1035" s="2" t="s">
        <v>3004</v>
      </c>
      <c r="G1035" s="2" t="s">
        <v>3005</v>
      </c>
      <c r="H1035" s="2" t="s">
        <v>100</v>
      </c>
      <c r="I1035" s="2" t="s">
        <v>25</v>
      </c>
      <c r="J1035" s="2" t="s">
        <v>353</v>
      </c>
      <c r="K1035" s="2" t="s">
        <v>180</v>
      </c>
      <c r="L1035" s="2" t="s">
        <v>54</v>
      </c>
      <c r="M1035" s="2" t="s">
        <v>246</v>
      </c>
      <c r="N1035" s="2" t="s">
        <v>30</v>
      </c>
      <c r="O1035" s="2" t="s">
        <v>36</v>
      </c>
      <c r="P1035" s="2" t="s">
        <v>247</v>
      </c>
      <c r="Q1035" s="2">
        <v>1325.76</v>
      </c>
      <c r="R1035" s="2">
        <v>6</v>
      </c>
      <c r="S1035" s="2">
        <v>149.148</v>
      </c>
      <c r="T1035" s="2" t="s">
        <v>83</v>
      </c>
      <c r="U1035" s="2" t="s">
        <v>113</v>
      </c>
    </row>
    <row r="1036" spans="1:21" ht="14.25" customHeight="1" x14ac:dyDescent="0.3">
      <c r="A1036" s="2" t="s">
        <v>3006</v>
      </c>
      <c r="B1036" s="5">
        <v>42356</v>
      </c>
      <c r="C1036" s="2" t="str">
        <f>TEXT(data[[#This Row],[Order Date]],"YYYY")</f>
        <v>2015</v>
      </c>
      <c r="D1036" s="2">
        <v>42363</v>
      </c>
      <c r="E1036" s="2" t="s">
        <v>39</v>
      </c>
      <c r="F1036" s="2" t="s">
        <v>3007</v>
      </c>
      <c r="G1036" s="2" t="s">
        <v>3008</v>
      </c>
      <c r="H1036" s="2" t="s">
        <v>90</v>
      </c>
      <c r="I1036" s="2" t="s">
        <v>25</v>
      </c>
      <c r="J1036" s="2" t="s">
        <v>140</v>
      </c>
      <c r="K1036" s="2" t="s">
        <v>141</v>
      </c>
      <c r="L1036" s="2" t="s">
        <v>28</v>
      </c>
      <c r="M1036" s="2" t="s">
        <v>661</v>
      </c>
      <c r="N1036" s="2" t="s">
        <v>30</v>
      </c>
      <c r="O1036" s="2" t="s">
        <v>56</v>
      </c>
      <c r="P1036" s="2" t="s">
        <v>662</v>
      </c>
      <c r="Q1036" s="2">
        <v>20.32</v>
      </c>
      <c r="R1036" s="2">
        <v>5</v>
      </c>
      <c r="S1036" s="2">
        <v>3.556</v>
      </c>
      <c r="T1036" s="2" t="s">
        <v>47</v>
      </c>
      <c r="U1036" s="2" t="s">
        <v>96</v>
      </c>
    </row>
    <row r="1037" spans="1:21" ht="14.25" customHeight="1" x14ac:dyDescent="0.3">
      <c r="A1037" s="2" t="s">
        <v>3009</v>
      </c>
      <c r="B1037" s="5">
        <v>42866</v>
      </c>
      <c r="C1037" s="2" t="str">
        <f>TEXT(data[[#This Row],[Order Date]],"YYYY")</f>
        <v>2017</v>
      </c>
      <c r="D1037" s="2">
        <v>42868</v>
      </c>
      <c r="E1037" s="2" t="s">
        <v>87</v>
      </c>
      <c r="F1037" s="2" t="s">
        <v>1317</v>
      </c>
      <c r="G1037" s="2" t="s">
        <v>1318</v>
      </c>
      <c r="H1037" s="2" t="s">
        <v>90</v>
      </c>
      <c r="I1037" s="2" t="s">
        <v>25</v>
      </c>
      <c r="J1037" s="2" t="s">
        <v>519</v>
      </c>
      <c r="K1037" s="2" t="s">
        <v>520</v>
      </c>
      <c r="L1037" s="2" t="s">
        <v>54</v>
      </c>
      <c r="M1037" s="2" t="s">
        <v>1136</v>
      </c>
      <c r="N1037" s="2" t="s">
        <v>30</v>
      </c>
      <c r="O1037" s="2" t="s">
        <v>31</v>
      </c>
      <c r="P1037" s="2" t="s">
        <v>1137</v>
      </c>
      <c r="Q1037" s="2">
        <v>209.97900000000001</v>
      </c>
      <c r="R1037" s="2">
        <v>7</v>
      </c>
      <c r="S1037" s="2">
        <v>-356.96429999999998</v>
      </c>
      <c r="T1037" s="2" t="s">
        <v>70</v>
      </c>
      <c r="U1037" s="2" t="s">
        <v>161</v>
      </c>
    </row>
    <row r="1038" spans="1:21" ht="14.25" customHeight="1" x14ac:dyDescent="0.3">
      <c r="A1038" s="2" t="s">
        <v>3010</v>
      </c>
      <c r="B1038" s="5">
        <v>41967</v>
      </c>
      <c r="C1038" s="2" t="str">
        <f>TEXT(data[[#This Row],[Order Date]],"YYYY")</f>
        <v>2014</v>
      </c>
      <c r="D1038" s="2">
        <v>41972</v>
      </c>
      <c r="E1038" s="2" t="s">
        <v>39</v>
      </c>
      <c r="F1038" s="2" t="s">
        <v>2375</v>
      </c>
      <c r="G1038" s="2" t="s">
        <v>2376</v>
      </c>
      <c r="H1038" s="2" t="s">
        <v>24</v>
      </c>
      <c r="I1038" s="2" t="s">
        <v>25</v>
      </c>
      <c r="J1038" s="2" t="s">
        <v>2531</v>
      </c>
      <c r="K1038" s="2" t="s">
        <v>231</v>
      </c>
      <c r="L1038" s="2" t="s">
        <v>67</v>
      </c>
      <c r="M1038" s="2" t="s">
        <v>271</v>
      </c>
      <c r="N1038" s="2" t="s">
        <v>30</v>
      </c>
      <c r="O1038" s="2" t="s">
        <v>56</v>
      </c>
      <c r="P1038" s="2" t="s">
        <v>272</v>
      </c>
      <c r="Q1038" s="2">
        <v>35.167999999999999</v>
      </c>
      <c r="R1038" s="2">
        <v>7</v>
      </c>
      <c r="S1038" s="2">
        <v>9.6712000000000007</v>
      </c>
      <c r="T1038" s="2" t="s">
        <v>58</v>
      </c>
      <c r="U1038" s="2" t="s">
        <v>34</v>
      </c>
    </row>
    <row r="1039" spans="1:21" ht="14.25" customHeight="1" x14ac:dyDescent="0.3">
      <c r="A1039" s="2" t="s">
        <v>3011</v>
      </c>
      <c r="B1039" s="5">
        <v>41958</v>
      </c>
      <c r="C1039" s="2" t="str">
        <f>TEXT(data[[#This Row],[Order Date]],"YYYY")</f>
        <v>2014</v>
      </c>
      <c r="D1039" s="2">
        <v>41961</v>
      </c>
      <c r="E1039" s="2" t="s">
        <v>87</v>
      </c>
      <c r="F1039" s="2" t="s">
        <v>3012</v>
      </c>
      <c r="G1039" s="2" t="s">
        <v>3013</v>
      </c>
      <c r="H1039" s="2" t="s">
        <v>24</v>
      </c>
      <c r="I1039" s="2" t="s">
        <v>25</v>
      </c>
      <c r="J1039" s="2" t="s">
        <v>52</v>
      </c>
      <c r="K1039" s="2" t="s">
        <v>53</v>
      </c>
      <c r="L1039" s="2" t="s">
        <v>54</v>
      </c>
      <c r="M1039" s="2" t="s">
        <v>319</v>
      </c>
      <c r="N1039" s="2" t="s">
        <v>30</v>
      </c>
      <c r="O1039" s="2" t="s">
        <v>56</v>
      </c>
      <c r="P1039" s="2" t="s">
        <v>320</v>
      </c>
      <c r="Q1039" s="2">
        <v>10.11</v>
      </c>
      <c r="R1039" s="2">
        <v>3</v>
      </c>
      <c r="S1039" s="2">
        <v>3.2351999999999999</v>
      </c>
      <c r="T1039" s="2" t="s">
        <v>33</v>
      </c>
      <c r="U1039" s="2" t="s">
        <v>34</v>
      </c>
    </row>
    <row r="1040" spans="1:21" ht="14.25" customHeight="1" x14ac:dyDescent="0.3">
      <c r="A1040" s="2" t="s">
        <v>3014</v>
      </c>
      <c r="B1040" s="5">
        <v>42722</v>
      </c>
      <c r="C1040" s="2" t="str">
        <f>TEXT(data[[#This Row],[Order Date]],"YYYY")</f>
        <v>2016</v>
      </c>
      <c r="D1040" s="2">
        <v>42728</v>
      </c>
      <c r="E1040" s="2" t="s">
        <v>39</v>
      </c>
      <c r="F1040" s="2" t="s">
        <v>537</v>
      </c>
      <c r="G1040" s="2" t="s">
        <v>538</v>
      </c>
      <c r="H1040" s="2" t="s">
        <v>24</v>
      </c>
      <c r="I1040" s="2" t="s">
        <v>25</v>
      </c>
      <c r="J1040" s="2" t="s">
        <v>639</v>
      </c>
      <c r="K1040" s="2" t="s">
        <v>53</v>
      </c>
      <c r="L1040" s="2" t="s">
        <v>54</v>
      </c>
      <c r="M1040" s="2" t="s">
        <v>2659</v>
      </c>
      <c r="N1040" s="2" t="s">
        <v>30</v>
      </c>
      <c r="O1040" s="2" t="s">
        <v>56</v>
      </c>
      <c r="P1040" s="2" t="s">
        <v>2660</v>
      </c>
      <c r="Q1040" s="2">
        <v>39.92</v>
      </c>
      <c r="R1040" s="2">
        <v>4</v>
      </c>
      <c r="S1040" s="2">
        <v>11.1776</v>
      </c>
      <c r="T1040" s="2" t="s">
        <v>129</v>
      </c>
      <c r="U1040" s="2" t="s">
        <v>96</v>
      </c>
    </row>
    <row r="1041" spans="1:21" ht="14.25" customHeight="1" x14ac:dyDescent="0.3">
      <c r="A1041" s="2" t="s">
        <v>3015</v>
      </c>
      <c r="B1041" s="5">
        <v>42945</v>
      </c>
      <c r="C1041" s="2" t="str">
        <f>TEXT(data[[#This Row],[Order Date]],"YYYY")</f>
        <v>2017</v>
      </c>
      <c r="D1041" s="2">
        <v>42950</v>
      </c>
      <c r="E1041" s="2" t="s">
        <v>39</v>
      </c>
      <c r="F1041" s="2" t="s">
        <v>773</v>
      </c>
      <c r="G1041" s="2" t="s">
        <v>774</v>
      </c>
      <c r="H1041" s="2" t="s">
        <v>24</v>
      </c>
      <c r="I1041" s="2" t="s">
        <v>25</v>
      </c>
      <c r="J1041" s="2" t="s">
        <v>3016</v>
      </c>
      <c r="K1041" s="2" t="s">
        <v>1522</v>
      </c>
      <c r="L1041" s="2" t="s">
        <v>93</v>
      </c>
      <c r="M1041" s="2" t="s">
        <v>3017</v>
      </c>
      <c r="N1041" s="2" t="s">
        <v>30</v>
      </c>
      <c r="O1041" s="2" t="s">
        <v>36</v>
      </c>
      <c r="P1041" s="2" t="s">
        <v>3018</v>
      </c>
      <c r="Q1041" s="2">
        <v>302.67</v>
      </c>
      <c r="R1041" s="2">
        <v>3</v>
      </c>
      <c r="S1041" s="2">
        <v>72.640799999999999</v>
      </c>
      <c r="T1041" s="2" t="s">
        <v>58</v>
      </c>
      <c r="U1041" s="2" t="s">
        <v>71</v>
      </c>
    </row>
    <row r="1042" spans="1:21" ht="14.25" customHeight="1" x14ac:dyDescent="0.3">
      <c r="A1042" s="2" t="s">
        <v>3019</v>
      </c>
      <c r="B1042" s="5">
        <v>42730</v>
      </c>
      <c r="C1042" s="2" t="str">
        <f>TEXT(data[[#This Row],[Order Date]],"YYYY")</f>
        <v>2016</v>
      </c>
      <c r="D1042" s="2">
        <v>42737</v>
      </c>
      <c r="E1042" s="2" t="s">
        <v>39</v>
      </c>
      <c r="F1042" s="2" t="s">
        <v>1935</v>
      </c>
      <c r="G1042" s="2" t="s">
        <v>1936</v>
      </c>
      <c r="H1042" s="2" t="s">
        <v>90</v>
      </c>
      <c r="I1042" s="2" t="s">
        <v>25</v>
      </c>
      <c r="J1042" s="2" t="s">
        <v>1295</v>
      </c>
      <c r="K1042" s="2" t="s">
        <v>362</v>
      </c>
      <c r="L1042" s="2" t="s">
        <v>67</v>
      </c>
      <c r="M1042" s="2" t="s">
        <v>121</v>
      </c>
      <c r="N1042" s="2" t="s">
        <v>30</v>
      </c>
      <c r="O1042" s="2" t="s">
        <v>36</v>
      </c>
      <c r="P1042" s="2" t="s">
        <v>122</v>
      </c>
      <c r="Q1042" s="2">
        <v>212.94</v>
      </c>
      <c r="R1042" s="2">
        <v>3</v>
      </c>
      <c r="S1042" s="2">
        <v>25.552800000000001</v>
      </c>
      <c r="T1042" s="2" t="s">
        <v>47</v>
      </c>
      <c r="U1042" s="2" t="s">
        <v>96</v>
      </c>
    </row>
    <row r="1043" spans="1:21" ht="14.25" customHeight="1" x14ac:dyDescent="0.3">
      <c r="A1043" s="2" t="s">
        <v>3020</v>
      </c>
      <c r="B1043" s="5">
        <v>42225</v>
      </c>
      <c r="C1043" s="2" t="str">
        <f>TEXT(data[[#This Row],[Order Date]],"YYYY")</f>
        <v>2015</v>
      </c>
      <c r="D1043" s="2">
        <v>42229</v>
      </c>
      <c r="E1043" s="2" t="s">
        <v>21</v>
      </c>
      <c r="F1043" s="2" t="s">
        <v>3021</v>
      </c>
      <c r="G1043" s="2" t="s">
        <v>3022</v>
      </c>
      <c r="H1043" s="2" t="s">
        <v>100</v>
      </c>
      <c r="I1043" s="2" t="s">
        <v>25</v>
      </c>
      <c r="J1043" s="2" t="s">
        <v>905</v>
      </c>
      <c r="K1043" s="2" t="s">
        <v>238</v>
      </c>
      <c r="L1043" s="2" t="s">
        <v>93</v>
      </c>
      <c r="M1043" s="2" t="s">
        <v>2804</v>
      </c>
      <c r="N1043" s="2" t="s">
        <v>30</v>
      </c>
      <c r="O1043" s="2" t="s">
        <v>31</v>
      </c>
      <c r="P1043" s="2" t="s">
        <v>2805</v>
      </c>
      <c r="Q1043" s="2">
        <v>687.4</v>
      </c>
      <c r="R1043" s="2">
        <v>5</v>
      </c>
      <c r="S1043" s="2">
        <v>48.118000000000002</v>
      </c>
      <c r="T1043" s="2" t="s">
        <v>83</v>
      </c>
      <c r="U1043" s="2" t="s">
        <v>253</v>
      </c>
    </row>
    <row r="1044" spans="1:21" ht="14.25" customHeight="1" x14ac:dyDescent="0.3">
      <c r="A1044" s="2" t="s">
        <v>3023</v>
      </c>
      <c r="B1044" s="5">
        <v>41735</v>
      </c>
      <c r="C1044" s="2" t="str">
        <f>TEXT(data[[#This Row],[Order Date]],"YYYY")</f>
        <v>2014</v>
      </c>
      <c r="D1044" s="2">
        <v>41741</v>
      </c>
      <c r="E1044" s="2" t="s">
        <v>39</v>
      </c>
      <c r="F1044" s="2" t="s">
        <v>1838</v>
      </c>
      <c r="G1044" s="2" t="s">
        <v>1839</v>
      </c>
      <c r="H1044" s="2" t="s">
        <v>90</v>
      </c>
      <c r="I1044" s="2" t="s">
        <v>25</v>
      </c>
      <c r="J1044" s="2" t="s">
        <v>191</v>
      </c>
      <c r="K1044" s="2" t="s">
        <v>192</v>
      </c>
      <c r="L1044" s="2" t="s">
        <v>54</v>
      </c>
      <c r="M1044" s="2" t="s">
        <v>699</v>
      </c>
      <c r="N1044" s="2" t="s">
        <v>30</v>
      </c>
      <c r="O1044" s="2" t="s">
        <v>45</v>
      </c>
      <c r="P1044" s="2" t="s">
        <v>700</v>
      </c>
      <c r="Q1044" s="2">
        <v>653.54999999999995</v>
      </c>
      <c r="R1044" s="2">
        <v>3</v>
      </c>
      <c r="S1044" s="2">
        <v>111.1035</v>
      </c>
      <c r="T1044" s="2" t="s">
        <v>129</v>
      </c>
      <c r="U1044" s="2" t="s">
        <v>113</v>
      </c>
    </row>
    <row r="1045" spans="1:21" ht="14.25" customHeight="1" x14ac:dyDescent="0.3">
      <c r="A1045" s="2" t="s">
        <v>3024</v>
      </c>
      <c r="B1045" s="5">
        <v>42196</v>
      </c>
      <c r="C1045" s="2" t="str">
        <f>TEXT(data[[#This Row],[Order Date]],"YYYY")</f>
        <v>2015</v>
      </c>
      <c r="D1045" s="2">
        <v>42197</v>
      </c>
      <c r="E1045" s="2" t="s">
        <v>87</v>
      </c>
      <c r="F1045" s="2" t="s">
        <v>1317</v>
      </c>
      <c r="G1045" s="2" t="s">
        <v>1318</v>
      </c>
      <c r="H1045" s="2" t="s">
        <v>90</v>
      </c>
      <c r="I1045" s="2" t="s">
        <v>25</v>
      </c>
      <c r="J1045" s="2" t="s">
        <v>199</v>
      </c>
      <c r="K1045" s="2" t="s">
        <v>200</v>
      </c>
      <c r="L1045" s="2" t="s">
        <v>67</v>
      </c>
      <c r="M1045" s="2" t="s">
        <v>907</v>
      </c>
      <c r="N1045" s="2" t="s">
        <v>30</v>
      </c>
      <c r="O1045" s="2" t="s">
        <v>45</v>
      </c>
      <c r="P1045" s="2" t="s">
        <v>908</v>
      </c>
      <c r="Q1045" s="2">
        <v>199.83600000000001</v>
      </c>
      <c r="R1045" s="2">
        <v>4</v>
      </c>
      <c r="S1045" s="2">
        <v>-37.112400000000001</v>
      </c>
      <c r="T1045" s="2" t="s">
        <v>123</v>
      </c>
      <c r="U1045" s="2" t="s">
        <v>71</v>
      </c>
    </row>
    <row r="1046" spans="1:21" ht="14.25" customHeight="1" x14ac:dyDescent="0.3">
      <c r="A1046" s="2" t="s">
        <v>3025</v>
      </c>
      <c r="B1046" s="5">
        <v>42684</v>
      </c>
      <c r="C1046" s="2" t="str">
        <f>TEXT(data[[#This Row],[Order Date]],"YYYY")</f>
        <v>2016</v>
      </c>
      <c r="D1046" s="2">
        <v>42687</v>
      </c>
      <c r="E1046" s="2" t="s">
        <v>21</v>
      </c>
      <c r="F1046" s="2" t="s">
        <v>1334</v>
      </c>
      <c r="G1046" s="2" t="s">
        <v>1335</v>
      </c>
      <c r="H1046" s="2" t="s">
        <v>24</v>
      </c>
      <c r="I1046" s="2" t="s">
        <v>25</v>
      </c>
      <c r="J1046" s="2" t="s">
        <v>52</v>
      </c>
      <c r="K1046" s="2" t="s">
        <v>53</v>
      </c>
      <c r="L1046" s="2" t="s">
        <v>54</v>
      </c>
      <c r="M1046" s="2" t="s">
        <v>879</v>
      </c>
      <c r="N1046" s="2" t="s">
        <v>30</v>
      </c>
      <c r="O1046" s="2" t="s">
        <v>56</v>
      </c>
      <c r="P1046" s="2" t="s">
        <v>880</v>
      </c>
      <c r="Q1046" s="2">
        <v>467.46</v>
      </c>
      <c r="R1046" s="2">
        <v>9</v>
      </c>
      <c r="S1046" s="2">
        <v>191.65860000000001</v>
      </c>
      <c r="T1046" s="2" t="s">
        <v>33</v>
      </c>
      <c r="U1046" s="2" t="s">
        <v>34</v>
      </c>
    </row>
    <row r="1047" spans="1:21" ht="14.25" customHeight="1" x14ac:dyDescent="0.3">
      <c r="A1047" s="2" t="s">
        <v>3026</v>
      </c>
      <c r="B1047" s="5">
        <v>42007</v>
      </c>
      <c r="C1047" s="2" t="str">
        <f>TEXT(data[[#This Row],[Order Date]],"YYYY")</f>
        <v>2015</v>
      </c>
      <c r="D1047" s="2">
        <v>42012</v>
      </c>
      <c r="E1047" s="2" t="s">
        <v>21</v>
      </c>
      <c r="F1047" s="2" t="s">
        <v>3027</v>
      </c>
      <c r="G1047" s="2" t="s">
        <v>3028</v>
      </c>
      <c r="H1047" s="2" t="s">
        <v>24</v>
      </c>
      <c r="I1047" s="2" t="s">
        <v>25</v>
      </c>
      <c r="J1047" s="2" t="s">
        <v>1739</v>
      </c>
      <c r="K1047" s="2" t="s">
        <v>92</v>
      </c>
      <c r="L1047" s="2" t="s">
        <v>93</v>
      </c>
      <c r="M1047" s="2" t="s">
        <v>736</v>
      </c>
      <c r="N1047" s="2" t="s">
        <v>30</v>
      </c>
      <c r="O1047" s="2" t="s">
        <v>31</v>
      </c>
      <c r="P1047" s="2" t="s">
        <v>737</v>
      </c>
      <c r="Q1047" s="2">
        <v>1352.3976</v>
      </c>
      <c r="R1047" s="2">
        <v>9</v>
      </c>
      <c r="S1047" s="2">
        <v>-437.54039999999998</v>
      </c>
      <c r="T1047" s="2" t="s">
        <v>58</v>
      </c>
      <c r="U1047" s="2" t="s">
        <v>169</v>
      </c>
    </row>
    <row r="1048" spans="1:21" ht="14.25" customHeight="1" x14ac:dyDescent="0.3">
      <c r="A1048" s="2" t="s">
        <v>3029</v>
      </c>
      <c r="B1048" s="5">
        <v>42132</v>
      </c>
      <c r="C1048" s="2" t="str">
        <f>TEXT(data[[#This Row],[Order Date]],"YYYY")</f>
        <v>2015</v>
      </c>
      <c r="D1048" s="2">
        <v>42136</v>
      </c>
      <c r="E1048" s="2" t="s">
        <v>39</v>
      </c>
      <c r="F1048" s="2" t="s">
        <v>933</v>
      </c>
      <c r="G1048" s="2" t="s">
        <v>934</v>
      </c>
      <c r="H1048" s="2" t="s">
        <v>24</v>
      </c>
      <c r="I1048" s="2" t="s">
        <v>25</v>
      </c>
      <c r="J1048" s="2" t="s">
        <v>165</v>
      </c>
      <c r="K1048" s="2" t="s">
        <v>166</v>
      </c>
      <c r="L1048" s="2" t="s">
        <v>93</v>
      </c>
      <c r="M1048" s="2" t="s">
        <v>596</v>
      </c>
      <c r="N1048" s="2" t="s">
        <v>30</v>
      </c>
      <c r="O1048" s="2" t="s">
        <v>56</v>
      </c>
      <c r="P1048" s="2" t="s">
        <v>597</v>
      </c>
      <c r="Q1048" s="2">
        <v>123.96</v>
      </c>
      <c r="R1048" s="2">
        <v>3</v>
      </c>
      <c r="S1048" s="2">
        <v>11.1564</v>
      </c>
      <c r="T1048" s="2" t="s">
        <v>83</v>
      </c>
      <c r="U1048" s="2" t="s">
        <v>161</v>
      </c>
    </row>
    <row r="1049" spans="1:21" ht="14.25" customHeight="1" x14ac:dyDescent="0.3">
      <c r="A1049" s="2" t="s">
        <v>3030</v>
      </c>
      <c r="B1049" s="5">
        <v>43069</v>
      </c>
      <c r="C1049" s="2" t="str">
        <f>TEXT(data[[#This Row],[Order Date]],"YYYY")</f>
        <v>2017</v>
      </c>
      <c r="D1049" s="2">
        <v>43076</v>
      </c>
      <c r="E1049" s="2" t="s">
        <v>39</v>
      </c>
      <c r="F1049" s="2" t="s">
        <v>2136</v>
      </c>
      <c r="G1049" s="2" t="s">
        <v>2137</v>
      </c>
      <c r="H1049" s="2" t="s">
        <v>24</v>
      </c>
      <c r="I1049" s="2" t="s">
        <v>25</v>
      </c>
      <c r="J1049" s="2" t="s">
        <v>3031</v>
      </c>
      <c r="K1049" s="2" t="s">
        <v>1036</v>
      </c>
      <c r="L1049" s="2" t="s">
        <v>28</v>
      </c>
      <c r="M1049" s="2" t="s">
        <v>521</v>
      </c>
      <c r="N1049" s="2" t="s">
        <v>30</v>
      </c>
      <c r="O1049" s="2" t="s">
        <v>45</v>
      </c>
      <c r="P1049" s="2" t="s">
        <v>522</v>
      </c>
      <c r="Q1049" s="2">
        <v>1781.682</v>
      </c>
      <c r="R1049" s="2">
        <v>7</v>
      </c>
      <c r="S1049" s="2">
        <v>-653.28340000000003</v>
      </c>
      <c r="T1049" s="2" t="s">
        <v>47</v>
      </c>
      <c r="U1049" s="2" t="s">
        <v>34</v>
      </c>
    </row>
    <row r="1050" spans="1:21" ht="14.25" customHeight="1" x14ac:dyDescent="0.3">
      <c r="A1050" s="2" t="s">
        <v>3032</v>
      </c>
      <c r="B1050" s="5">
        <v>41859</v>
      </c>
      <c r="C1050" s="2" t="str">
        <f>TEXT(data[[#This Row],[Order Date]],"YYYY")</f>
        <v>2014</v>
      </c>
      <c r="D1050" s="2">
        <v>41863</v>
      </c>
      <c r="E1050" s="2" t="s">
        <v>39</v>
      </c>
      <c r="F1050" s="2" t="s">
        <v>3033</v>
      </c>
      <c r="G1050" s="2" t="s">
        <v>3034</v>
      </c>
      <c r="H1050" s="2" t="s">
        <v>100</v>
      </c>
      <c r="I1050" s="2" t="s">
        <v>25</v>
      </c>
      <c r="J1050" s="2" t="s">
        <v>775</v>
      </c>
      <c r="K1050" s="2" t="s">
        <v>289</v>
      </c>
      <c r="L1050" s="2" t="s">
        <v>93</v>
      </c>
      <c r="M1050" s="2" t="s">
        <v>1451</v>
      </c>
      <c r="N1050" s="2" t="s">
        <v>30</v>
      </c>
      <c r="O1050" s="2" t="s">
        <v>56</v>
      </c>
      <c r="P1050" s="2" t="s">
        <v>1452</v>
      </c>
      <c r="Q1050" s="2">
        <v>53.88</v>
      </c>
      <c r="R1050" s="2">
        <v>6</v>
      </c>
      <c r="S1050" s="2">
        <v>22.6296</v>
      </c>
      <c r="T1050" s="2" t="s">
        <v>83</v>
      </c>
      <c r="U1050" s="2" t="s">
        <v>253</v>
      </c>
    </row>
    <row r="1051" spans="1:21" ht="14.25" customHeight="1" x14ac:dyDescent="0.3">
      <c r="A1051" s="2" t="s">
        <v>3035</v>
      </c>
      <c r="B1051" s="5">
        <v>41749</v>
      </c>
      <c r="C1051" s="2" t="str">
        <f>TEXT(data[[#This Row],[Order Date]],"YYYY")</f>
        <v>2014</v>
      </c>
      <c r="D1051" s="2">
        <v>41751</v>
      </c>
      <c r="E1051" s="2" t="s">
        <v>21</v>
      </c>
      <c r="F1051" s="2" t="s">
        <v>739</v>
      </c>
      <c r="G1051" s="2" t="s">
        <v>740</v>
      </c>
      <c r="H1051" s="2" t="s">
        <v>24</v>
      </c>
      <c r="I1051" s="2" t="s">
        <v>25</v>
      </c>
      <c r="J1051" s="2" t="s">
        <v>101</v>
      </c>
      <c r="K1051" s="2" t="s">
        <v>92</v>
      </c>
      <c r="L1051" s="2" t="s">
        <v>93</v>
      </c>
      <c r="M1051" s="2" t="s">
        <v>304</v>
      </c>
      <c r="N1051" s="2" t="s">
        <v>30</v>
      </c>
      <c r="O1051" s="2" t="s">
        <v>45</v>
      </c>
      <c r="P1051" s="2" t="s">
        <v>305</v>
      </c>
      <c r="Q1051" s="2">
        <v>744.1</v>
      </c>
      <c r="R1051" s="2">
        <v>5</v>
      </c>
      <c r="S1051" s="2">
        <v>-95.67</v>
      </c>
      <c r="T1051" s="2" t="s">
        <v>70</v>
      </c>
      <c r="U1051" s="2" t="s">
        <v>113</v>
      </c>
    </row>
    <row r="1052" spans="1:21" ht="14.25" customHeight="1" x14ac:dyDescent="0.3">
      <c r="A1052" s="2" t="s">
        <v>3035</v>
      </c>
      <c r="B1052" s="5">
        <v>41749</v>
      </c>
      <c r="C1052" s="2" t="str">
        <f>TEXT(data[[#This Row],[Order Date]],"YYYY")</f>
        <v>2014</v>
      </c>
      <c r="D1052" s="2">
        <v>41751</v>
      </c>
      <c r="E1052" s="2" t="s">
        <v>21</v>
      </c>
      <c r="F1052" s="2" t="s">
        <v>739</v>
      </c>
      <c r="G1052" s="2" t="s">
        <v>740</v>
      </c>
      <c r="H1052" s="2" t="s">
        <v>24</v>
      </c>
      <c r="I1052" s="2" t="s">
        <v>25</v>
      </c>
      <c r="J1052" s="2" t="s">
        <v>101</v>
      </c>
      <c r="K1052" s="2" t="s">
        <v>92</v>
      </c>
      <c r="L1052" s="2" t="s">
        <v>93</v>
      </c>
      <c r="M1052" s="2" t="s">
        <v>2831</v>
      </c>
      <c r="N1052" s="2" t="s">
        <v>30</v>
      </c>
      <c r="O1052" s="2" t="s">
        <v>45</v>
      </c>
      <c r="P1052" s="2" t="s">
        <v>2832</v>
      </c>
      <c r="Q1052" s="2">
        <v>401.59</v>
      </c>
      <c r="R1052" s="2">
        <v>2</v>
      </c>
      <c r="S1052" s="2">
        <v>-131.95099999999999</v>
      </c>
      <c r="T1052" s="2" t="s">
        <v>70</v>
      </c>
      <c r="U1052" s="2" t="s">
        <v>113</v>
      </c>
    </row>
    <row r="1053" spans="1:21" ht="14.25" customHeight="1" x14ac:dyDescent="0.3">
      <c r="A1053" s="2" t="s">
        <v>3036</v>
      </c>
      <c r="B1053" s="5">
        <v>43064</v>
      </c>
      <c r="C1053" s="2" t="str">
        <f>TEXT(data[[#This Row],[Order Date]],"YYYY")</f>
        <v>2017</v>
      </c>
      <c r="D1053" s="2">
        <v>43068</v>
      </c>
      <c r="E1053" s="2" t="s">
        <v>39</v>
      </c>
      <c r="F1053" s="2" t="s">
        <v>3037</v>
      </c>
      <c r="G1053" s="2" t="s">
        <v>3038</v>
      </c>
      <c r="H1053" s="2" t="s">
        <v>24</v>
      </c>
      <c r="I1053" s="2" t="s">
        <v>25</v>
      </c>
      <c r="J1053" s="2" t="s">
        <v>328</v>
      </c>
      <c r="K1053" s="2" t="s">
        <v>53</v>
      </c>
      <c r="L1053" s="2" t="s">
        <v>54</v>
      </c>
      <c r="M1053" s="2" t="s">
        <v>1695</v>
      </c>
      <c r="N1053" s="2" t="s">
        <v>30</v>
      </c>
      <c r="O1053" s="2" t="s">
        <v>31</v>
      </c>
      <c r="P1053" s="2" t="s">
        <v>1914</v>
      </c>
      <c r="Q1053" s="2">
        <v>359.49900000000002</v>
      </c>
      <c r="R1053" s="2">
        <v>3</v>
      </c>
      <c r="S1053" s="2">
        <v>-29.605799999999999</v>
      </c>
      <c r="T1053" s="2" t="s">
        <v>83</v>
      </c>
      <c r="U1053" s="2" t="s">
        <v>34</v>
      </c>
    </row>
    <row r="1054" spans="1:21" ht="14.25" customHeight="1" x14ac:dyDescent="0.3">
      <c r="A1054" s="2" t="s">
        <v>3039</v>
      </c>
      <c r="B1054" s="5">
        <v>41979</v>
      </c>
      <c r="C1054" s="2" t="str">
        <f>TEXT(data[[#This Row],[Order Date]],"YYYY")</f>
        <v>2014</v>
      </c>
      <c r="D1054" s="2">
        <v>41983</v>
      </c>
      <c r="E1054" s="2" t="s">
        <v>39</v>
      </c>
      <c r="F1054" s="2" t="s">
        <v>2149</v>
      </c>
      <c r="G1054" s="2" t="s">
        <v>2150</v>
      </c>
      <c r="H1054" s="2" t="s">
        <v>24</v>
      </c>
      <c r="I1054" s="2" t="s">
        <v>25</v>
      </c>
      <c r="J1054" s="2" t="s">
        <v>133</v>
      </c>
      <c r="K1054" s="2" t="s">
        <v>134</v>
      </c>
      <c r="L1054" s="2" t="s">
        <v>93</v>
      </c>
      <c r="M1054" s="2" t="s">
        <v>1062</v>
      </c>
      <c r="N1054" s="2" t="s">
        <v>30</v>
      </c>
      <c r="O1054" s="2" t="s">
        <v>45</v>
      </c>
      <c r="P1054" s="2" t="s">
        <v>1063</v>
      </c>
      <c r="Q1054" s="2">
        <v>214.95</v>
      </c>
      <c r="R1054" s="2">
        <v>5</v>
      </c>
      <c r="S1054" s="2">
        <v>-120.372</v>
      </c>
      <c r="T1054" s="2" t="s">
        <v>83</v>
      </c>
      <c r="U1054" s="2" t="s">
        <v>96</v>
      </c>
    </row>
    <row r="1055" spans="1:21" ht="14.25" customHeight="1" x14ac:dyDescent="0.3">
      <c r="A1055" s="2" t="s">
        <v>3039</v>
      </c>
      <c r="B1055" s="5">
        <v>41979</v>
      </c>
      <c r="C1055" s="2" t="str">
        <f>TEXT(data[[#This Row],[Order Date]],"YYYY")</f>
        <v>2014</v>
      </c>
      <c r="D1055" s="2">
        <v>41983</v>
      </c>
      <c r="E1055" s="2" t="s">
        <v>39</v>
      </c>
      <c r="F1055" s="2" t="s">
        <v>2149</v>
      </c>
      <c r="G1055" s="2" t="s">
        <v>2150</v>
      </c>
      <c r="H1055" s="2" t="s">
        <v>24</v>
      </c>
      <c r="I1055" s="2" t="s">
        <v>25</v>
      </c>
      <c r="J1055" s="2" t="s">
        <v>133</v>
      </c>
      <c r="K1055" s="2" t="s">
        <v>134</v>
      </c>
      <c r="L1055" s="2" t="s">
        <v>93</v>
      </c>
      <c r="M1055" s="2" t="s">
        <v>1451</v>
      </c>
      <c r="N1055" s="2" t="s">
        <v>30</v>
      </c>
      <c r="O1055" s="2" t="s">
        <v>56</v>
      </c>
      <c r="P1055" s="2" t="s">
        <v>1452</v>
      </c>
      <c r="Q1055" s="2">
        <v>10.776</v>
      </c>
      <c r="R1055" s="2">
        <v>3</v>
      </c>
      <c r="S1055" s="2">
        <v>-4.8491999999999997</v>
      </c>
      <c r="T1055" s="2" t="s">
        <v>83</v>
      </c>
      <c r="U1055" s="2" t="s">
        <v>96</v>
      </c>
    </row>
    <row r="1056" spans="1:21" ht="14.25" customHeight="1" x14ac:dyDescent="0.3">
      <c r="A1056" s="2" t="s">
        <v>3040</v>
      </c>
      <c r="B1056" s="5">
        <v>41987</v>
      </c>
      <c r="C1056" s="2" t="str">
        <f>TEXT(data[[#This Row],[Order Date]],"YYYY")</f>
        <v>2014</v>
      </c>
      <c r="D1056" s="2">
        <v>41993</v>
      </c>
      <c r="E1056" s="2" t="s">
        <v>39</v>
      </c>
      <c r="F1056" s="2" t="s">
        <v>808</v>
      </c>
      <c r="G1056" s="2" t="s">
        <v>809</v>
      </c>
      <c r="H1056" s="2" t="s">
        <v>24</v>
      </c>
      <c r="I1056" s="2" t="s">
        <v>25</v>
      </c>
      <c r="J1056" s="2" t="s">
        <v>3041</v>
      </c>
      <c r="K1056" s="2" t="s">
        <v>43</v>
      </c>
      <c r="L1056" s="2" t="s">
        <v>28</v>
      </c>
      <c r="M1056" s="2" t="s">
        <v>1892</v>
      </c>
      <c r="N1056" s="2" t="s">
        <v>30</v>
      </c>
      <c r="O1056" s="2" t="s">
        <v>36</v>
      </c>
      <c r="P1056" s="2" t="s">
        <v>1893</v>
      </c>
      <c r="Q1056" s="2">
        <v>186.304</v>
      </c>
      <c r="R1056" s="2">
        <v>4</v>
      </c>
      <c r="S1056" s="2">
        <v>13.972799999999999</v>
      </c>
      <c r="T1056" s="2" t="s">
        <v>129</v>
      </c>
      <c r="U1056" s="2" t="s">
        <v>96</v>
      </c>
    </row>
    <row r="1057" spans="1:21" ht="14.25" customHeight="1" x14ac:dyDescent="0.3">
      <c r="A1057" s="2" t="s">
        <v>3042</v>
      </c>
      <c r="B1057" s="5">
        <v>42321</v>
      </c>
      <c r="C1057" s="2" t="str">
        <f>TEXT(data[[#This Row],[Order Date]],"YYYY")</f>
        <v>2015</v>
      </c>
      <c r="D1057" s="2">
        <v>42321</v>
      </c>
      <c r="E1057" s="2" t="s">
        <v>425</v>
      </c>
      <c r="F1057" s="2" t="s">
        <v>2908</v>
      </c>
      <c r="G1057" s="2" t="s">
        <v>2909</v>
      </c>
      <c r="H1057" s="2" t="s">
        <v>24</v>
      </c>
      <c r="I1057" s="2" t="s">
        <v>25</v>
      </c>
      <c r="J1057" s="2" t="s">
        <v>133</v>
      </c>
      <c r="K1057" s="2" t="s">
        <v>134</v>
      </c>
      <c r="L1057" s="2" t="s">
        <v>93</v>
      </c>
      <c r="M1057" s="2" t="s">
        <v>3043</v>
      </c>
      <c r="N1057" s="2" t="s">
        <v>30</v>
      </c>
      <c r="O1057" s="2" t="s">
        <v>56</v>
      </c>
      <c r="P1057" s="2" t="s">
        <v>3044</v>
      </c>
      <c r="Q1057" s="2">
        <v>17.495999999999999</v>
      </c>
      <c r="R1057" s="2">
        <v>9</v>
      </c>
      <c r="S1057" s="2">
        <v>-7.4358000000000004</v>
      </c>
      <c r="T1057" s="2" t="s">
        <v>430</v>
      </c>
      <c r="U1057" s="2" t="s">
        <v>34</v>
      </c>
    </row>
    <row r="1058" spans="1:21" ht="14.25" customHeight="1" x14ac:dyDescent="0.3">
      <c r="A1058" s="2" t="s">
        <v>3045</v>
      </c>
      <c r="B1058" s="5">
        <v>41896</v>
      </c>
      <c r="C1058" s="2" t="str">
        <f>TEXT(data[[#This Row],[Order Date]],"YYYY")</f>
        <v>2014</v>
      </c>
      <c r="D1058" s="2">
        <v>41896</v>
      </c>
      <c r="E1058" s="2" t="s">
        <v>425</v>
      </c>
      <c r="F1058" s="2" t="s">
        <v>2116</v>
      </c>
      <c r="G1058" s="2" t="s">
        <v>2117</v>
      </c>
      <c r="H1058" s="2" t="s">
        <v>24</v>
      </c>
      <c r="I1058" s="2" t="s">
        <v>25</v>
      </c>
      <c r="J1058" s="2" t="s">
        <v>173</v>
      </c>
      <c r="K1058" s="2" t="s">
        <v>120</v>
      </c>
      <c r="L1058" s="2" t="s">
        <v>67</v>
      </c>
      <c r="M1058" s="2" t="s">
        <v>1259</v>
      </c>
      <c r="N1058" s="2" t="s">
        <v>30</v>
      </c>
      <c r="O1058" s="2" t="s">
        <v>45</v>
      </c>
      <c r="P1058" s="2" t="s">
        <v>1063</v>
      </c>
      <c r="Q1058" s="2">
        <v>464.29199999999997</v>
      </c>
      <c r="R1058" s="2">
        <v>9</v>
      </c>
      <c r="S1058" s="2">
        <v>-108.3348</v>
      </c>
      <c r="T1058" s="2" t="s">
        <v>430</v>
      </c>
      <c r="U1058" s="2" t="s">
        <v>77</v>
      </c>
    </row>
    <row r="1059" spans="1:21" ht="14.25" customHeight="1" x14ac:dyDescent="0.3">
      <c r="A1059" s="2" t="s">
        <v>3046</v>
      </c>
      <c r="B1059" s="5">
        <v>43098</v>
      </c>
      <c r="C1059" s="2" t="str">
        <f>TEXT(data[[#This Row],[Order Date]],"YYYY")</f>
        <v>2017</v>
      </c>
      <c r="D1059" s="2">
        <v>43105</v>
      </c>
      <c r="E1059" s="2" t="s">
        <v>39</v>
      </c>
      <c r="F1059" s="2" t="s">
        <v>376</v>
      </c>
      <c r="G1059" s="2" t="s">
        <v>377</v>
      </c>
      <c r="H1059" s="2" t="s">
        <v>90</v>
      </c>
      <c r="I1059" s="2" t="s">
        <v>25</v>
      </c>
      <c r="J1059" s="2" t="s">
        <v>3047</v>
      </c>
      <c r="K1059" s="2" t="s">
        <v>53</v>
      </c>
      <c r="L1059" s="2" t="s">
        <v>54</v>
      </c>
      <c r="M1059" s="2" t="s">
        <v>1834</v>
      </c>
      <c r="N1059" s="2" t="s">
        <v>30</v>
      </c>
      <c r="O1059" s="2" t="s">
        <v>56</v>
      </c>
      <c r="P1059" s="2" t="s">
        <v>1835</v>
      </c>
      <c r="Q1059" s="2">
        <v>101.12</v>
      </c>
      <c r="R1059" s="2">
        <v>8</v>
      </c>
      <c r="S1059" s="2">
        <v>37.414400000000001</v>
      </c>
      <c r="T1059" s="2" t="s">
        <v>47</v>
      </c>
      <c r="U1059" s="2" t="s">
        <v>96</v>
      </c>
    </row>
    <row r="1060" spans="1:21" ht="14.25" customHeight="1" x14ac:dyDescent="0.3">
      <c r="A1060" s="2" t="s">
        <v>3048</v>
      </c>
      <c r="B1060" s="5">
        <v>42687</v>
      </c>
      <c r="C1060" s="2" t="str">
        <f>TEXT(data[[#This Row],[Order Date]],"YYYY")</f>
        <v>2016</v>
      </c>
      <c r="D1060" s="2">
        <v>42691</v>
      </c>
      <c r="E1060" s="2" t="s">
        <v>39</v>
      </c>
      <c r="F1060" s="2" t="s">
        <v>3049</v>
      </c>
      <c r="G1060" s="2" t="s">
        <v>3050</v>
      </c>
      <c r="H1060" s="2" t="s">
        <v>90</v>
      </c>
      <c r="I1060" s="2" t="s">
        <v>25</v>
      </c>
      <c r="J1060" s="2" t="s">
        <v>3016</v>
      </c>
      <c r="K1060" s="2" t="s">
        <v>1522</v>
      </c>
      <c r="L1060" s="2" t="s">
        <v>93</v>
      </c>
      <c r="M1060" s="2" t="s">
        <v>694</v>
      </c>
      <c r="N1060" s="2" t="s">
        <v>30</v>
      </c>
      <c r="O1060" s="2" t="s">
        <v>56</v>
      </c>
      <c r="P1060" s="2" t="s">
        <v>695</v>
      </c>
      <c r="Q1060" s="2">
        <v>30.36</v>
      </c>
      <c r="R1060" s="2">
        <v>4</v>
      </c>
      <c r="S1060" s="2">
        <v>13.0548</v>
      </c>
      <c r="T1060" s="2" t="s">
        <v>83</v>
      </c>
      <c r="U1060" s="2" t="s">
        <v>34</v>
      </c>
    </row>
    <row r="1061" spans="1:21" ht="14.25" customHeight="1" x14ac:dyDescent="0.3">
      <c r="A1061" s="2" t="s">
        <v>3051</v>
      </c>
      <c r="B1061" s="5">
        <v>42461</v>
      </c>
      <c r="C1061" s="2" t="str">
        <f>TEXT(data[[#This Row],[Order Date]],"YYYY")</f>
        <v>2016</v>
      </c>
      <c r="D1061" s="2">
        <v>42465</v>
      </c>
      <c r="E1061" s="2" t="s">
        <v>39</v>
      </c>
      <c r="F1061" s="2" t="s">
        <v>3052</v>
      </c>
      <c r="G1061" s="2" t="s">
        <v>3053</v>
      </c>
      <c r="H1061" s="2" t="s">
        <v>24</v>
      </c>
      <c r="I1061" s="2" t="s">
        <v>25</v>
      </c>
      <c r="J1061" s="2" t="s">
        <v>173</v>
      </c>
      <c r="K1061" s="2" t="s">
        <v>120</v>
      </c>
      <c r="L1061" s="2" t="s">
        <v>67</v>
      </c>
      <c r="M1061" s="2" t="s">
        <v>35</v>
      </c>
      <c r="N1061" s="2" t="s">
        <v>30</v>
      </c>
      <c r="O1061" s="2" t="s">
        <v>36</v>
      </c>
      <c r="P1061" s="2" t="s">
        <v>37</v>
      </c>
      <c r="Q1061" s="2">
        <v>1317.492</v>
      </c>
      <c r="R1061" s="2">
        <v>6</v>
      </c>
      <c r="S1061" s="2">
        <v>292.77600000000001</v>
      </c>
      <c r="T1061" s="2" t="s">
        <v>83</v>
      </c>
      <c r="U1061" s="2" t="s">
        <v>113</v>
      </c>
    </row>
    <row r="1062" spans="1:21" ht="14.25" customHeight="1" x14ac:dyDescent="0.3">
      <c r="A1062" s="2" t="s">
        <v>3054</v>
      </c>
      <c r="B1062" s="5">
        <v>42768</v>
      </c>
      <c r="C1062" s="2" t="str">
        <f>TEXT(data[[#This Row],[Order Date]],"YYYY")</f>
        <v>2017</v>
      </c>
      <c r="D1062" s="2">
        <v>42773</v>
      </c>
      <c r="E1062" s="2" t="s">
        <v>39</v>
      </c>
      <c r="F1062" s="2" t="s">
        <v>2808</v>
      </c>
      <c r="G1062" s="2" t="s">
        <v>2809</v>
      </c>
      <c r="H1062" s="2" t="s">
        <v>24</v>
      </c>
      <c r="I1062" s="2" t="s">
        <v>25</v>
      </c>
      <c r="J1062" s="2" t="s">
        <v>52</v>
      </c>
      <c r="K1062" s="2" t="s">
        <v>53</v>
      </c>
      <c r="L1062" s="2" t="s">
        <v>54</v>
      </c>
      <c r="M1062" s="2" t="s">
        <v>607</v>
      </c>
      <c r="N1062" s="2" t="s">
        <v>30</v>
      </c>
      <c r="O1062" s="2" t="s">
        <v>56</v>
      </c>
      <c r="P1062" s="2" t="s">
        <v>608</v>
      </c>
      <c r="Q1062" s="2">
        <v>86.26</v>
      </c>
      <c r="R1062" s="2">
        <v>2</v>
      </c>
      <c r="S1062" s="2">
        <v>29.328399999999998</v>
      </c>
      <c r="T1062" s="2" t="s">
        <v>58</v>
      </c>
      <c r="U1062" s="2" t="s">
        <v>297</v>
      </c>
    </row>
    <row r="1063" spans="1:21" ht="14.25" customHeight="1" x14ac:dyDescent="0.3">
      <c r="A1063" s="2" t="s">
        <v>3055</v>
      </c>
      <c r="B1063" s="5">
        <v>43093</v>
      </c>
      <c r="C1063" s="2" t="str">
        <f>TEXT(data[[#This Row],[Order Date]],"YYYY")</f>
        <v>2017</v>
      </c>
      <c r="D1063" s="2">
        <v>43100</v>
      </c>
      <c r="E1063" s="2" t="s">
        <v>39</v>
      </c>
      <c r="F1063" s="2" t="s">
        <v>3056</v>
      </c>
      <c r="G1063" s="2" t="s">
        <v>3057</v>
      </c>
      <c r="H1063" s="2" t="s">
        <v>100</v>
      </c>
      <c r="I1063" s="2" t="s">
        <v>25</v>
      </c>
      <c r="J1063" s="2" t="s">
        <v>3058</v>
      </c>
      <c r="K1063" s="2" t="s">
        <v>520</v>
      </c>
      <c r="L1063" s="2" t="s">
        <v>54</v>
      </c>
      <c r="M1063" s="2" t="s">
        <v>2513</v>
      </c>
      <c r="N1063" s="2" t="s">
        <v>30</v>
      </c>
      <c r="O1063" s="2" t="s">
        <v>56</v>
      </c>
      <c r="P1063" s="2" t="s">
        <v>2514</v>
      </c>
      <c r="Q1063" s="2">
        <v>8.5440000000000005</v>
      </c>
      <c r="R1063" s="2">
        <v>4</v>
      </c>
      <c r="S1063" s="2">
        <v>1.9224000000000001</v>
      </c>
      <c r="T1063" s="2" t="s">
        <v>47</v>
      </c>
      <c r="U1063" s="2" t="s">
        <v>96</v>
      </c>
    </row>
    <row r="1064" spans="1:21" ht="14.25" customHeight="1" x14ac:dyDescent="0.3">
      <c r="A1064" s="2" t="s">
        <v>3055</v>
      </c>
      <c r="B1064" s="5">
        <v>43093</v>
      </c>
      <c r="C1064" s="2" t="str">
        <f>TEXT(data[[#This Row],[Order Date]],"YYYY")</f>
        <v>2017</v>
      </c>
      <c r="D1064" s="2">
        <v>43100</v>
      </c>
      <c r="E1064" s="2" t="s">
        <v>39</v>
      </c>
      <c r="F1064" s="2" t="s">
        <v>3056</v>
      </c>
      <c r="G1064" s="2" t="s">
        <v>3057</v>
      </c>
      <c r="H1064" s="2" t="s">
        <v>100</v>
      </c>
      <c r="I1064" s="2" t="s">
        <v>25</v>
      </c>
      <c r="J1064" s="2" t="s">
        <v>3058</v>
      </c>
      <c r="K1064" s="2" t="s">
        <v>520</v>
      </c>
      <c r="L1064" s="2" t="s">
        <v>54</v>
      </c>
      <c r="M1064" s="2" t="s">
        <v>851</v>
      </c>
      <c r="N1064" s="2" t="s">
        <v>30</v>
      </c>
      <c r="O1064" s="2" t="s">
        <v>36</v>
      </c>
      <c r="P1064" s="2" t="s">
        <v>852</v>
      </c>
      <c r="Q1064" s="2">
        <v>842.37599999999998</v>
      </c>
      <c r="R1064" s="2">
        <v>3</v>
      </c>
      <c r="S1064" s="2">
        <v>105.297</v>
      </c>
      <c r="T1064" s="2" t="s">
        <v>47</v>
      </c>
      <c r="U1064" s="2" t="s">
        <v>96</v>
      </c>
    </row>
    <row r="1065" spans="1:21" ht="14.25" customHeight="1" x14ac:dyDescent="0.3">
      <c r="A1065" s="2" t="s">
        <v>3059</v>
      </c>
      <c r="B1065" s="5">
        <v>42223</v>
      </c>
      <c r="C1065" s="2" t="str">
        <f>TEXT(data[[#This Row],[Order Date]],"YYYY")</f>
        <v>2015</v>
      </c>
      <c r="D1065" s="2">
        <v>42224</v>
      </c>
      <c r="E1065" s="2" t="s">
        <v>87</v>
      </c>
      <c r="F1065" s="2" t="s">
        <v>3060</v>
      </c>
      <c r="G1065" s="2" t="s">
        <v>3061</v>
      </c>
      <c r="H1065" s="2" t="s">
        <v>24</v>
      </c>
      <c r="I1065" s="2" t="s">
        <v>25</v>
      </c>
      <c r="J1065" s="2" t="s">
        <v>3062</v>
      </c>
      <c r="K1065" s="2" t="s">
        <v>565</v>
      </c>
      <c r="L1065" s="2" t="s">
        <v>93</v>
      </c>
      <c r="M1065" s="2" t="s">
        <v>2196</v>
      </c>
      <c r="N1065" s="2" t="s">
        <v>30</v>
      </c>
      <c r="O1065" s="2" t="s">
        <v>56</v>
      </c>
      <c r="P1065" s="2" t="s">
        <v>2197</v>
      </c>
      <c r="Q1065" s="2">
        <v>212.94</v>
      </c>
      <c r="R1065" s="2">
        <v>3</v>
      </c>
      <c r="S1065" s="2">
        <v>34.070399999999999</v>
      </c>
      <c r="T1065" s="2" t="s">
        <v>123</v>
      </c>
      <c r="U1065" s="2" t="s">
        <v>253</v>
      </c>
    </row>
    <row r="1066" spans="1:21" ht="14.25" customHeight="1" x14ac:dyDescent="0.3">
      <c r="A1066" s="2" t="s">
        <v>3063</v>
      </c>
      <c r="B1066" s="5">
        <v>42916</v>
      </c>
      <c r="C1066" s="2" t="str">
        <f>TEXT(data[[#This Row],[Order Date]],"YYYY")</f>
        <v>2017</v>
      </c>
      <c r="D1066" s="2">
        <v>42920</v>
      </c>
      <c r="E1066" s="2" t="s">
        <v>21</v>
      </c>
      <c r="F1066" s="2" t="s">
        <v>2599</v>
      </c>
      <c r="G1066" s="2" t="s">
        <v>2600</v>
      </c>
      <c r="H1066" s="2" t="s">
        <v>100</v>
      </c>
      <c r="I1066" s="2" t="s">
        <v>25</v>
      </c>
      <c r="J1066" s="2" t="s">
        <v>133</v>
      </c>
      <c r="K1066" s="2" t="s">
        <v>134</v>
      </c>
      <c r="L1066" s="2" t="s">
        <v>93</v>
      </c>
      <c r="M1066" s="2" t="s">
        <v>2730</v>
      </c>
      <c r="N1066" s="2" t="s">
        <v>30</v>
      </c>
      <c r="O1066" s="2" t="s">
        <v>36</v>
      </c>
      <c r="P1066" s="2" t="s">
        <v>2731</v>
      </c>
      <c r="Q1066" s="2">
        <v>569.05799999999999</v>
      </c>
      <c r="R1066" s="2">
        <v>3</v>
      </c>
      <c r="S1066" s="2">
        <v>-178.8468</v>
      </c>
      <c r="T1066" s="2" t="s">
        <v>83</v>
      </c>
      <c r="U1066" s="2" t="s">
        <v>59</v>
      </c>
    </row>
    <row r="1067" spans="1:21" ht="14.25" customHeight="1" x14ac:dyDescent="0.3">
      <c r="A1067" s="2" t="s">
        <v>3063</v>
      </c>
      <c r="B1067" s="5">
        <v>42916</v>
      </c>
      <c r="C1067" s="2" t="str">
        <f>TEXT(data[[#This Row],[Order Date]],"YYYY")</f>
        <v>2017</v>
      </c>
      <c r="D1067" s="2">
        <v>42920</v>
      </c>
      <c r="E1067" s="2" t="s">
        <v>21</v>
      </c>
      <c r="F1067" s="2" t="s">
        <v>2599</v>
      </c>
      <c r="G1067" s="2" t="s">
        <v>2600</v>
      </c>
      <c r="H1067" s="2" t="s">
        <v>100</v>
      </c>
      <c r="I1067" s="2" t="s">
        <v>25</v>
      </c>
      <c r="J1067" s="2" t="s">
        <v>133</v>
      </c>
      <c r="K1067" s="2" t="s">
        <v>134</v>
      </c>
      <c r="L1067" s="2" t="s">
        <v>93</v>
      </c>
      <c r="M1067" s="2" t="s">
        <v>167</v>
      </c>
      <c r="N1067" s="2" t="s">
        <v>30</v>
      </c>
      <c r="O1067" s="2" t="s">
        <v>56</v>
      </c>
      <c r="P1067" s="2" t="s">
        <v>168</v>
      </c>
      <c r="Q1067" s="2">
        <v>14.224</v>
      </c>
      <c r="R1067" s="2">
        <v>2</v>
      </c>
      <c r="S1067" s="2">
        <v>-10.3124</v>
      </c>
      <c r="T1067" s="2" t="s">
        <v>83</v>
      </c>
      <c r="U1067" s="2" t="s">
        <v>59</v>
      </c>
    </row>
    <row r="1068" spans="1:21" ht="14.25" customHeight="1" x14ac:dyDescent="0.3">
      <c r="A1068" s="2" t="s">
        <v>3064</v>
      </c>
      <c r="B1068" s="5">
        <v>41850</v>
      </c>
      <c r="C1068" s="2" t="str">
        <f>TEXT(data[[#This Row],[Order Date]],"YYYY")</f>
        <v>2014</v>
      </c>
      <c r="D1068" s="2">
        <v>41856</v>
      </c>
      <c r="E1068" s="2" t="s">
        <v>39</v>
      </c>
      <c r="F1068" s="2" t="s">
        <v>3049</v>
      </c>
      <c r="G1068" s="2" t="s">
        <v>3050</v>
      </c>
      <c r="H1068" s="2" t="s">
        <v>90</v>
      </c>
      <c r="I1068" s="2" t="s">
        <v>25</v>
      </c>
      <c r="J1068" s="2" t="s">
        <v>191</v>
      </c>
      <c r="K1068" s="2" t="s">
        <v>192</v>
      </c>
      <c r="L1068" s="2" t="s">
        <v>54</v>
      </c>
      <c r="M1068" s="2" t="s">
        <v>2400</v>
      </c>
      <c r="N1068" s="2" t="s">
        <v>30</v>
      </c>
      <c r="O1068" s="2" t="s">
        <v>31</v>
      </c>
      <c r="P1068" s="2" t="s">
        <v>2401</v>
      </c>
      <c r="Q1068" s="2">
        <v>1367.84</v>
      </c>
      <c r="R1068" s="2">
        <v>8</v>
      </c>
      <c r="S1068" s="2">
        <v>259.88959999999997</v>
      </c>
      <c r="T1068" s="2" t="s">
        <v>129</v>
      </c>
      <c r="U1068" s="2" t="s">
        <v>71</v>
      </c>
    </row>
    <row r="1069" spans="1:21" ht="14.25" customHeight="1" x14ac:dyDescent="0.3">
      <c r="A1069" s="2" t="s">
        <v>3065</v>
      </c>
      <c r="B1069" s="5">
        <v>42692</v>
      </c>
      <c r="C1069" s="2" t="str">
        <f>TEXT(data[[#This Row],[Order Date]],"YYYY")</f>
        <v>2016</v>
      </c>
      <c r="D1069" s="2">
        <v>42697</v>
      </c>
      <c r="E1069" s="2" t="s">
        <v>21</v>
      </c>
      <c r="F1069" s="2" t="s">
        <v>3066</v>
      </c>
      <c r="G1069" s="2" t="s">
        <v>3067</v>
      </c>
      <c r="H1069" s="2" t="s">
        <v>24</v>
      </c>
      <c r="I1069" s="2" t="s">
        <v>25</v>
      </c>
      <c r="J1069" s="2" t="s">
        <v>3068</v>
      </c>
      <c r="K1069" s="2" t="s">
        <v>289</v>
      </c>
      <c r="L1069" s="2" t="s">
        <v>93</v>
      </c>
      <c r="M1069" s="2" t="s">
        <v>159</v>
      </c>
      <c r="N1069" s="2" t="s">
        <v>30</v>
      </c>
      <c r="O1069" s="2" t="s">
        <v>36</v>
      </c>
      <c r="P1069" s="2" t="s">
        <v>160</v>
      </c>
      <c r="Q1069" s="2">
        <v>301.95999999999998</v>
      </c>
      <c r="R1069" s="2">
        <v>2</v>
      </c>
      <c r="S1069" s="2">
        <v>33.215600000000002</v>
      </c>
      <c r="T1069" s="2" t="s">
        <v>58</v>
      </c>
      <c r="U1069" s="2" t="s">
        <v>34</v>
      </c>
    </row>
    <row r="1070" spans="1:21" ht="14.25" customHeight="1" x14ac:dyDescent="0.3">
      <c r="A1070" s="2" t="s">
        <v>3069</v>
      </c>
      <c r="B1070" s="5">
        <v>42191</v>
      </c>
      <c r="C1070" s="2" t="str">
        <f>TEXT(data[[#This Row],[Order Date]],"YYYY")</f>
        <v>2015</v>
      </c>
      <c r="D1070" s="2">
        <v>42196</v>
      </c>
      <c r="E1070" s="2" t="s">
        <v>39</v>
      </c>
      <c r="F1070" s="2" t="s">
        <v>2359</v>
      </c>
      <c r="G1070" s="2" t="s">
        <v>2360</v>
      </c>
      <c r="H1070" s="2" t="s">
        <v>24</v>
      </c>
      <c r="I1070" s="2" t="s">
        <v>25</v>
      </c>
      <c r="J1070" s="2" t="s">
        <v>1185</v>
      </c>
      <c r="K1070" s="2" t="s">
        <v>53</v>
      </c>
      <c r="L1070" s="2" t="s">
        <v>54</v>
      </c>
      <c r="M1070" s="2" t="s">
        <v>121</v>
      </c>
      <c r="N1070" s="2" t="s">
        <v>30</v>
      </c>
      <c r="O1070" s="2" t="s">
        <v>36</v>
      </c>
      <c r="P1070" s="2" t="s">
        <v>122</v>
      </c>
      <c r="Q1070" s="2">
        <v>170.352</v>
      </c>
      <c r="R1070" s="2">
        <v>3</v>
      </c>
      <c r="S1070" s="2">
        <v>-17.0352</v>
      </c>
      <c r="T1070" s="2" t="s">
        <v>58</v>
      </c>
      <c r="U1070" s="2" t="s">
        <v>71</v>
      </c>
    </row>
    <row r="1071" spans="1:21" ht="14.25" customHeight="1" x14ac:dyDescent="0.3">
      <c r="A1071" s="2" t="s">
        <v>3070</v>
      </c>
      <c r="B1071" s="5">
        <v>41953</v>
      </c>
      <c r="C1071" s="2" t="str">
        <f>TEXT(data[[#This Row],[Order Date]],"YYYY")</f>
        <v>2014</v>
      </c>
      <c r="D1071" s="2">
        <v>41959</v>
      </c>
      <c r="E1071" s="2" t="s">
        <v>39</v>
      </c>
      <c r="F1071" s="2" t="s">
        <v>2476</v>
      </c>
      <c r="G1071" s="2" t="s">
        <v>2477</v>
      </c>
      <c r="H1071" s="2" t="s">
        <v>24</v>
      </c>
      <c r="I1071" s="2" t="s">
        <v>25</v>
      </c>
      <c r="J1071" s="2" t="s">
        <v>3071</v>
      </c>
      <c r="K1071" s="2" t="s">
        <v>289</v>
      </c>
      <c r="L1071" s="2" t="s">
        <v>93</v>
      </c>
      <c r="M1071" s="2" t="s">
        <v>625</v>
      </c>
      <c r="N1071" s="2" t="s">
        <v>30</v>
      </c>
      <c r="O1071" s="2" t="s">
        <v>36</v>
      </c>
      <c r="P1071" s="2" t="s">
        <v>626</v>
      </c>
      <c r="Q1071" s="2">
        <v>563.94000000000005</v>
      </c>
      <c r="R1071" s="2">
        <v>3</v>
      </c>
      <c r="S1071" s="2">
        <v>112.788</v>
      </c>
      <c r="T1071" s="2" t="s">
        <v>129</v>
      </c>
      <c r="U1071" s="2" t="s">
        <v>34</v>
      </c>
    </row>
    <row r="1072" spans="1:21" ht="14.25" customHeight="1" x14ac:dyDescent="0.3">
      <c r="A1072" s="2" t="s">
        <v>3072</v>
      </c>
      <c r="B1072" s="5">
        <v>42517</v>
      </c>
      <c r="C1072" s="2" t="str">
        <f>TEXT(data[[#This Row],[Order Date]],"YYYY")</f>
        <v>2016</v>
      </c>
      <c r="D1072" s="2">
        <v>42519</v>
      </c>
      <c r="E1072" s="2" t="s">
        <v>21</v>
      </c>
      <c r="F1072" s="2" t="s">
        <v>984</v>
      </c>
      <c r="G1072" s="2" t="s">
        <v>985</v>
      </c>
      <c r="H1072" s="2" t="s">
        <v>90</v>
      </c>
      <c r="I1072" s="2" t="s">
        <v>25</v>
      </c>
      <c r="J1072" s="2" t="s">
        <v>288</v>
      </c>
      <c r="K1072" s="2" t="s">
        <v>289</v>
      </c>
      <c r="L1072" s="2" t="s">
        <v>93</v>
      </c>
      <c r="M1072" s="2" t="s">
        <v>601</v>
      </c>
      <c r="N1072" s="2" t="s">
        <v>30</v>
      </c>
      <c r="O1072" s="2" t="s">
        <v>36</v>
      </c>
      <c r="P1072" s="2" t="s">
        <v>602</v>
      </c>
      <c r="Q1072" s="2">
        <v>3504.9</v>
      </c>
      <c r="R1072" s="2">
        <v>5</v>
      </c>
      <c r="S1072" s="2">
        <v>700.98</v>
      </c>
      <c r="T1072" s="2" t="s">
        <v>70</v>
      </c>
      <c r="U1072" s="2" t="s">
        <v>161</v>
      </c>
    </row>
    <row r="1073" spans="1:21" ht="14.25" customHeight="1" x14ac:dyDescent="0.3">
      <c r="A1073" s="2" t="s">
        <v>3073</v>
      </c>
      <c r="B1073" s="5">
        <v>43027</v>
      </c>
      <c r="C1073" s="2" t="str">
        <f>TEXT(data[[#This Row],[Order Date]],"YYYY")</f>
        <v>2017</v>
      </c>
      <c r="D1073" s="2">
        <v>43032</v>
      </c>
      <c r="E1073" s="2" t="s">
        <v>39</v>
      </c>
      <c r="F1073" s="2" t="s">
        <v>1231</v>
      </c>
      <c r="G1073" s="2" t="s">
        <v>1232</v>
      </c>
      <c r="H1073" s="2" t="s">
        <v>24</v>
      </c>
      <c r="I1073" s="2" t="s">
        <v>25</v>
      </c>
      <c r="J1073" s="2" t="s">
        <v>3074</v>
      </c>
      <c r="K1073" s="2" t="s">
        <v>92</v>
      </c>
      <c r="L1073" s="2" t="s">
        <v>93</v>
      </c>
      <c r="M1073" s="2" t="s">
        <v>2720</v>
      </c>
      <c r="N1073" s="2" t="s">
        <v>30</v>
      </c>
      <c r="O1073" s="2" t="s">
        <v>31</v>
      </c>
      <c r="P1073" s="2" t="s">
        <v>2721</v>
      </c>
      <c r="Q1073" s="2">
        <v>328.39920000000001</v>
      </c>
      <c r="R1073" s="2">
        <v>3</v>
      </c>
      <c r="S1073" s="2">
        <v>-91.758600000000001</v>
      </c>
      <c r="T1073" s="2" t="s">
        <v>58</v>
      </c>
      <c r="U1073" s="2" t="s">
        <v>48</v>
      </c>
    </row>
    <row r="1074" spans="1:21" ht="14.25" customHeight="1" x14ac:dyDescent="0.3">
      <c r="A1074" s="2" t="s">
        <v>3075</v>
      </c>
      <c r="B1074" s="5">
        <v>42107</v>
      </c>
      <c r="C1074" s="2" t="str">
        <f>TEXT(data[[#This Row],[Order Date]],"YYYY")</f>
        <v>2015</v>
      </c>
      <c r="D1074" s="2">
        <v>42113</v>
      </c>
      <c r="E1074" s="2" t="s">
        <v>39</v>
      </c>
      <c r="F1074" s="2" t="s">
        <v>1026</v>
      </c>
      <c r="G1074" s="2" t="s">
        <v>1027</v>
      </c>
      <c r="H1074" s="2" t="s">
        <v>90</v>
      </c>
      <c r="I1074" s="2" t="s">
        <v>25</v>
      </c>
      <c r="J1074" s="2" t="s">
        <v>52</v>
      </c>
      <c r="K1074" s="2" t="s">
        <v>53</v>
      </c>
      <c r="L1074" s="2" t="s">
        <v>54</v>
      </c>
      <c r="M1074" s="2" t="s">
        <v>1542</v>
      </c>
      <c r="N1074" s="2" t="s">
        <v>30</v>
      </c>
      <c r="O1074" s="2" t="s">
        <v>56</v>
      </c>
      <c r="P1074" s="2" t="s">
        <v>1543</v>
      </c>
      <c r="Q1074" s="2">
        <v>37.68</v>
      </c>
      <c r="R1074" s="2">
        <v>2</v>
      </c>
      <c r="S1074" s="2">
        <v>15.8256</v>
      </c>
      <c r="T1074" s="2" t="s">
        <v>129</v>
      </c>
      <c r="U1074" s="2" t="s">
        <v>113</v>
      </c>
    </row>
    <row r="1075" spans="1:21" ht="14.25" customHeight="1" x14ac:dyDescent="0.3">
      <c r="A1075" s="2" t="s">
        <v>3076</v>
      </c>
      <c r="B1075" s="5">
        <v>42260</v>
      </c>
      <c r="C1075" s="2" t="str">
        <f>TEXT(data[[#This Row],[Order Date]],"YYYY")</f>
        <v>2015</v>
      </c>
      <c r="D1075" s="2">
        <v>42265</v>
      </c>
      <c r="E1075" s="2" t="s">
        <v>39</v>
      </c>
      <c r="F1075" s="2" t="s">
        <v>843</v>
      </c>
      <c r="G1075" s="2" t="s">
        <v>844</v>
      </c>
      <c r="H1075" s="2" t="s">
        <v>24</v>
      </c>
      <c r="I1075" s="2" t="s">
        <v>25</v>
      </c>
      <c r="J1075" s="2" t="s">
        <v>347</v>
      </c>
      <c r="K1075" s="2" t="s">
        <v>110</v>
      </c>
      <c r="L1075" s="2" t="s">
        <v>93</v>
      </c>
      <c r="M1075" s="2" t="s">
        <v>479</v>
      </c>
      <c r="N1075" s="2" t="s">
        <v>30</v>
      </c>
      <c r="O1075" s="2" t="s">
        <v>36</v>
      </c>
      <c r="P1075" s="2" t="s">
        <v>480</v>
      </c>
      <c r="Q1075" s="2">
        <v>1516.2</v>
      </c>
      <c r="R1075" s="2">
        <v>7</v>
      </c>
      <c r="S1075" s="2">
        <v>394.21199999999999</v>
      </c>
      <c r="T1075" s="2" t="s">
        <v>58</v>
      </c>
      <c r="U1075" s="2" t="s">
        <v>77</v>
      </c>
    </row>
    <row r="1076" spans="1:21" ht="14.25" customHeight="1" x14ac:dyDescent="0.3">
      <c r="A1076" s="2" t="s">
        <v>3077</v>
      </c>
      <c r="B1076" s="5">
        <v>41971</v>
      </c>
      <c r="C1076" s="2" t="str">
        <f>TEXT(data[[#This Row],[Order Date]],"YYYY")</f>
        <v>2014</v>
      </c>
      <c r="D1076" s="2">
        <v>41974</v>
      </c>
      <c r="E1076" s="2" t="s">
        <v>21</v>
      </c>
      <c r="F1076" s="2" t="s">
        <v>3078</v>
      </c>
      <c r="G1076" s="2" t="s">
        <v>3079</v>
      </c>
      <c r="H1076" s="2" t="s">
        <v>90</v>
      </c>
      <c r="I1076" s="2" t="s">
        <v>25</v>
      </c>
      <c r="J1076" s="2" t="s">
        <v>157</v>
      </c>
      <c r="K1076" s="2" t="s">
        <v>158</v>
      </c>
      <c r="L1076" s="2" t="s">
        <v>28</v>
      </c>
      <c r="M1076" s="2" t="s">
        <v>218</v>
      </c>
      <c r="N1076" s="2" t="s">
        <v>30</v>
      </c>
      <c r="O1076" s="2" t="s">
        <v>56</v>
      </c>
      <c r="P1076" s="2" t="s">
        <v>219</v>
      </c>
      <c r="Q1076" s="2">
        <v>397.6</v>
      </c>
      <c r="R1076" s="2">
        <v>5</v>
      </c>
      <c r="S1076" s="2">
        <v>43.735999999999997</v>
      </c>
      <c r="T1076" s="2" t="s">
        <v>33</v>
      </c>
      <c r="U1076" s="2" t="s">
        <v>34</v>
      </c>
    </row>
    <row r="1077" spans="1:21" ht="14.25" customHeight="1" x14ac:dyDescent="0.3">
      <c r="A1077" s="2" t="s">
        <v>3080</v>
      </c>
      <c r="B1077" s="5">
        <v>42231</v>
      </c>
      <c r="C1077" s="2" t="str">
        <f>TEXT(data[[#This Row],[Order Date]],"YYYY")</f>
        <v>2015</v>
      </c>
      <c r="D1077" s="2">
        <v>42235</v>
      </c>
      <c r="E1077" s="2" t="s">
        <v>39</v>
      </c>
      <c r="F1077" s="2" t="s">
        <v>3081</v>
      </c>
      <c r="G1077" s="2" t="s">
        <v>3082</v>
      </c>
      <c r="H1077" s="2" t="s">
        <v>24</v>
      </c>
      <c r="I1077" s="2" t="s">
        <v>25</v>
      </c>
      <c r="J1077" s="2" t="s">
        <v>1470</v>
      </c>
      <c r="K1077" s="2" t="s">
        <v>53</v>
      </c>
      <c r="L1077" s="2" t="s">
        <v>54</v>
      </c>
      <c r="M1077" s="2" t="s">
        <v>1204</v>
      </c>
      <c r="N1077" s="2" t="s">
        <v>30</v>
      </c>
      <c r="O1077" s="2" t="s">
        <v>56</v>
      </c>
      <c r="P1077" s="2" t="s">
        <v>1205</v>
      </c>
      <c r="Q1077" s="2">
        <v>104.23</v>
      </c>
      <c r="R1077" s="2">
        <v>7</v>
      </c>
      <c r="S1077" s="2">
        <v>28.142099999999999</v>
      </c>
      <c r="T1077" s="2" t="s">
        <v>83</v>
      </c>
      <c r="U1077" s="2" t="s">
        <v>253</v>
      </c>
    </row>
    <row r="1078" spans="1:21" ht="14.25" customHeight="1" x14ac:dyDescent="0.3">
      <c r="A1078" s="2" t="s">
        <v>3083</v>
      </c>
      <c r="B1078" s="5">
        <v>42979</v>
      </c>
      <c r="C1078" s="2" t="str">
        <f>TEXT(data[[#This Row],[Order Date]],"YYYY")</f>
        <v>2017</v>
      </c>
      <c r="D1078" s="2">
        <v>42979</v>
      </c>
      <c r="E1078" s="2" t="s">
        <v>425</v>
      </c>
      <c r="F1078" s="2" t="s">
        <v>618</v>
      </c>
      <c r="G1078" s="2" t="s">
        <v>619</v>
      </c>
      <c r="H1078" s="2" t="s">
        <v>24</v>
      </c>
      <c r="I1078" s="2" t="s">
        <v>25</v>
      </c>
      <c r="J1078" s="2" t="s">
        <v>288</v>
      </c>
      <c r="K1078" s="2" t="s">
        <v>289</v>
      </c>
      <c r="L1078" s="2" t="s">
        <v>93</v>
      </c>
      <c r="M1078" s="2" t="s">
        <v>2194</v>
      </c>
      <c r="N1078" s="2" t="s">
        <v>30</v>
      </c>
      <c r="O1078" s="2" t="s">
        <v>36</v>
      </c>
      <c r="P1078" s="2" t="s">
        <v>2195</v>
      </c>
      <c r="Q1078" s="2">
        <v>498.26</v>
      </c>
      <c r="R1078" s="2">
        <v>7</v>
      </c>
      <c r="S1078" s="2">
        <v>134.53020000000001</v>
      </c>
      <c r="T1078" s="2" t="s">
        <v>430</v>
      </c>
      <c r="U1078" s="2" t="s">
        <v>77</v>
      </c>
    </row>
    <row r="1079" spans="1:21" ht="14.25" customHeight="1" x14ac:dyDescent="0.3">
      <c r="A1079" s="2" t="s">
        <v>3084</v>
      </c>
      <c r="B1079" s="5">
        <v>41804</v>
      </c>
      <c r="C1079" s="2" t="str">
        <f>TEXT(data[[#This Row],[Order Date]],"YYYY")</f>
        <v>2014</v>
      </c>
      <c r="D1079" s="2">
        <v>41810</v>
      </c>
      <c r="E1079" s="2" t="s">
        <v>39</v>
      </c>
      <c r="F1079" s="2" t="s">
        <v>3085</v>
      </c>
      <c r="G1079" s="2" t="s">
        <v>3086</v>
      </c>
      <c r="H1079" s="2" t="s">
        <v>100</v>
      </c>
      <c r="I1079" s="2" t="s">
        <v>25</v>
      </c>
      <c r="J1079" s="2" t="s">
        <v>288</v>
      </c>
      <c r="K1079" s="2" t="s">
        <v>289</v>
      </c>
      <c r="L1079" s="2" t="s">
        <v>93</v>
      </c>
      <c r="M1079" s="2" t="s">
        <v>2712</v>
      </c>
      <c r="N1079" s="2" t="s">
        <v>30</v>
      </c>
      <c r="O1079" s="2" t="s">
        <v>31</v>
      </c>
      <c r="P1079" s="2" t="s">
        <v>2713</v>
      </c>
      <c r="Q1079" s="2">
        <v>212.94</v>
      </c>
      <c r="R1079" s="2">
        <v>3</v>
      </c>
      <c r="S1079" s="2">
        <v>57.4938</v>
      </c>
      <c r="T1079" s="2" t="s">
        <v>129</v>
      </c>
      <c r="U1079" s="2" t="s">
        <v>59</v>
      </c>
    </row>
    <row r="1080" spans="1:21" ht="14.25" customHeight="1" x14ac:dyDescent="0.3">
      <c r="A1080" s="2" t="s">
        <v>3087</v>
      </c>
      <c r="B1080" s="5">
        <v>42542</v>
      </c>
      <c r="C1080" s="2" t="str">
        <f>TEXT(data[[#This Row],[Order Date]],"YYYY")</f>
        <v>2016</v>
      </c>
      <c r="D1080" s="2">
        <v>42547</v>
      </c>
      <c r="E1080" s="2" t="s">
        <v>39</v>
      </c>
      <c r="F1080" s="2" t="s">
        <v>1625</v>
      </c>
      <c r="G1080" s="2" t="s">
        <v>1626</v>
      </c>
      <c r="H1080" s="2" t="s">
        <v>24</v>
      </c>
      <c r="I1080" s="2" t="s">
        <v>25</v>
      </c>
      <c r="J1080" s="2" t="s">
        <v>173</v>
      </c>
      <c r="K1080" s="2" t="s">
        <v>120</v>
      </c>
      <c r="L1080" s="2" t="s">
        <v>67</v>
      </c>
      <c r="M1080" s="2" t="s">
        <v>736</v>
      </c>
      <c r="N1080" s="2" t="s">
        <v>30</v>
      </c>
      <c r="O1080" s="2" t="s">
        <v>31</v>
      </c>
      <c r="P1080" s="2" t="s">
        <v>737</v>
      </c>
      <c r="Q1080" s="2">
        <v>353.56799999999998</v>
      </c>
      <c r="R1080" s="2">
        <v>2</v>
      </c>
      <c r="S1080" s="2">
        <v>-44.195999999999998</v>
      </c>
      <c r="T1080" s="2" t="s">
        <v>58</v>
      </c>
      <c r="U1080" s="2" t="s">
        <v>59</v>
      </c>
    </row>
    <row r="1081" spans="1:21" ht="14.25" customHeight="1" x14ac:dyDescent="0.3">
      <c r="A1081" s="2" t="s">
        <v>3088</v>
      </c>
      <c r="B1081" s="5">
        <v>42813</v>
      </c>
      <c r="C1081" s="2" t="str">
        <f>TEXT(data[[#This Row],[Order Date]],"YYYY")</f>
        <v>2017</v>
      </c>
      <c r="D1081" s="2">
        <v>42816</v>
      </c>
      <c r="E1081" s="2" t="s">
        <v>21</v>
      </c>
      <c r="F1081" s="2" t="s">
        <v>819</v>
      </c>
      <c r="G1081" s="2" t="s">
        <v>820</v>
      </c>
      <c r="H1081" s="2" t="s">
        <v>24</v>
      </c>
      <c r="I1081" s="2" t="s">
        <v>25</v>
      </c>
      <c r="J1081" s="2" t="s">
        <v>1133</v>
      </c>
      <c r="K1081" s="2" t="s">
        <v>53</v>
      </c>
      <c r="L1081" s="2" t="s">
        <v>54</v>
      </c>
      <c r="M1081" s="2" t="s">
        <v>784</v>
      </c>
      <c r="N1081" s="2" t="s">
        <v>30</v>
      </c>
      <c r="O1081" s="2" t="s">
        <v>45</v>
      </c>
      <c r="P1081" s="2" t="s">
        <v>785</v>
      </c>
      <c r="Q1081" s="2">
        <v>697.16</v>
      </c>
      <c r="R1081" s="2">
        <v>5</v>
      </c>
      <c r="S1081" s="2">
        <v>8.7144999999999992</v>
      </c>
      <c r="T1081" s="2" t="s">
        <v>33</v>
      </c>
      <c r="U1081" s="2" t="s">
        <v>195</v>
      </c>
    </row>
    <row r="1082" spans="1:21" ht="14.25" customHeight="1" x14ac:dyDescent="0.3">
      <c r="A1082" s="2" t="s">
        <v>3088</v>
      </c>
      <c r="B1082" s="5">
        <v>42813</v>
      </c>
      <c r="C1082" s="2" t="str">
        <f>TEXT(data[[#This Row],[Order Date]],"YYYY")</f>
        <v>2017</v>
      </c>
      <c r="D1082" s="2">
        <v>42816</v>
      </c>
      <c r="E1082" s="2" t="s">
        <v>21</v>
      </c>
      <c r="F1082" s="2" t="s">
        <v>819</v>
      </c>
      <c r="G1082" s="2" t="s">
        <v>820</v>
      </c>
      <c r="H1082" s="2" t="s">
        <v>24</v>
      </c>
      <c r="I1082" s="2" t="s">
        <v>25</v>
      </c>
      <c r="J1082" s="2" t="s">
        <v>1133</v>
      </c>
      <c r="K1082" s="2" t="s">
        <v>53</v>
      </c>
      <c r="L1082" s="2" t="s">
        <v>54</v>
      </c>
      <c r="M1082" s="2" t="s">
        <v>2110</v>
      </c>
      <c r="N1082" s="2" t="s">
        <v>30</v>
      </c>
      <c r="O1082" s="2" t="s">
        <v>56</v>
      </c>
      <c r="P1082" s="2" t="s">
        <v>2111</v>
      </c>
      <c r="Q1082" s="2">
        <v>30.93</v>
      </c>
      <c r="R1082" s="2">
        <v>1</v>
      </c>
      <c r="S1082" s="2">
        <v>12.6813</v>
      </c>
      <c r="T1082" s="2" t="s">
        <v>33</v>
      </c>
      <c r="U1082" s="2" t="s">
        <v>195</v>
      </c>
    </row>
    <row r="1083" spans="1:21" ht="14.25" customHeight="1" x14ac:dyDescent="0.3">
      <c r="A1083" s="2" t="s">
        <v>3089</v>
      </c>
      <c r="B1083" s="5">
        <v>41930</v>
      </c>
      <c r="C1083" s="2" t="str">
        <f>TEXT(data[[#This Row],[Order Date]],"YYYY")</f>
        <v>2014</v>
      </c>
      <c r="D1083" s="2">
        <v>41934</v>
      </c>
      <c r="E1083" s="2" t="s">
        <v>39</v>
      </c>
      <c r="F1083" s="2" t="s">
        <v>2164</v>
      </c>
      <c r="G1083" s="2" t="s">
        <v>2165</v>
      </c>
      <c r="H1083" s="2" t="s">
        <v>90</v>
      </c>
      <c r="I1083" s="2" t="s">
        <v>25</v>
      </c>
      <c r="J1083" s="2" t="s">
        <v>3090</v>
      </c>
      <c r="K1083" s="2" t="s">
        <v>1058</v>
      </c>
      <c r="L1083" s="2" t="s">
        <v>28</v>
      </c>
      <c r="M1083" s="2" t="s">
        <v>3017</v>
      </c>
      <c r="N1083" s="2" t="s">
        <v>30</v>
      </c>
      <c r="O1083" s="2" t="s">
        <v>36</v>
      </c>
      <c r="P1083" s="2" t="s">
        <v>3018</v>
      </c>
      <c r="Q1083" s="2">
        <v>605.34</v>
      </c>
      <c r="R1083" s="2">
        <v>6</v>
      </c>
      <c r="S1083" s="2">
        <v>145.2816</v>
      </c>
      <c r="T1083" s="2" t="s">
        <v>83</v>
      </c>
      <c r="U1083" s="2" t="s">
        <v>48</v>
      </c>
    </row>
    <row r="1084" spans="1:21" ht="14.25" customHeight="1" x14ac:dyDescent="0.3">
      <c r="A1084" s="2" t="s">
        <v>3091</v>
      </c>
      <c r="B1084" s="5">
        <v>42969</v>
      </c>
      <c r="C1084" s="2" t="str">
        <f>TEXT(data[[#This Row],[Order Date]],"YYYY")</f>
        <v>2017</v>
      </c>
      <c r="D1084" s="2">
        <v>42970</v>
      </c>
      <c r="E1084" s="2" t="s">
        <v>87</v>
      </c>
      <c r="F1084" s="2" t="s">
        <v>3092</v>
      </c>
      <c r="G1084" s="2" t="s">
        <v>3093</v>
      </c>
      <c r="H1084" s="2" t="s">
        <v>24</v>
      </c>
      <c r="I1084" s="2" t="s">
        <v>25</v>
      </c>
      <c r="J1084" s="2" t="s">
        <v>328</v>
      </c>
      <c r="K1084" s="2" t="s">
        <v>53</v>
      </c>
      <c r="L1084" s="2" t="s">
        <v>54</v>
      </c>
      <c r="M1084" s="2" t="s">
        <v>193</v>
      </c>
      <c r="N1084" s="2" t="s">
        <v>30</v>
      </c>
      <c r="O1084" s="2" t="s">
        <v>45</v>
      </c>
      <c r="P1084" s="2" t="s">
        <v>194</v>
      </c>
      <c r="Q1084" s="2">
        <v>210.00800000000001</v>
      </c>
      <c r="R1084" s="2">
        <v>1</v>
      </c>
      <c r="S1084" s="2">
        <v>2.6251000000000002</v>
      </c>
      <c r="T1084" s="2" t="s">
        <v>123</v>
      </c>
      <c r="U1084" s="2" t="s">
        <v>253</v>
      </c>
    </row>
    <row r="1085" spans="1:21" ht="14.25" customHeight="1" x14ac:dyDescent="0.3">
      <c r="A1085" s="2" t="s">
        <v>3094</v>
      </c>
      <c r="B1085" s="5">
        <v>41902</v>
      </c>
      <c r="C1085" s="2" t="str">
        <f>TEXT(data[[#This Row],[Order Date]],"YYYY")</f>
        <v>2014</v>
      </c>
      <c r="D1085" s="2">
        <v>41906</v>
      </c>
      <c r="E1085" s="2" t="s">
        <v>39</v>
      </c>
      <c r="F1085" s="2" t="s">
        <v>2642</v>
      </c>
      <c r="G1085" s="2" t="s">
        <v>2643</v>
      </c>
      <c r="H1085" s="2" t="s">
        <v>24</v>
      </c>
      <c r="I1085" s="2" t="s">
        <v>25</v>
      </c>
      <c r="J1085" s="2" t="s">
        <v>157</v>
      </c>
      <c r="K1085" s="2" t="s">
        <v>1089</v>
      </c>
      <c r="L1085" s="2" t="s">
        <v>67</v>
      </c>
      <c r="M1085" s="2" t="s">
        <v>1085</v>
      </c>
      <c r="N1085" s="2" t="s">
        <v>30</v>
      </c>
      <c r="O1085" s="2" t="s">
        <v>56</v>
      </c>
      <c r="P1085" s="2" t="s">
        <v>1086</v>
      </c>
      <c r="Q1085" s="2">
        <v>164.22</v>
      </c>
      <c r="R1085" s="2">
        <v>3</v>
      </c>
      <c r="S1085" s="2">
        <v>50.908200000000001</v>
      </c>
      <c r="T1085" s="2" t="s">
        <v>83</v>
      </c>
      <c r="U1085" s="2" t="s">
        <v>77</v>
      </c>
    </row>
    <row r="1086" spans="1:21" ht="14.25" customHeight="1" x14ac:dyDescent="0.3">
      <c r="A1086" s="2" t="s">
        <v>3094</v>
      </c>
      <c r="B1086" s="5">
        <v>41902</v>
      </c>
      <c r="C1086" s="2" t="str">
        <f>TEXT(data[[#This Row],[Order Date]],"YYYY")</f>
        <v>2014</v>
      </c>
      <c r="D1086" s="2">
        <v>41906</v>
      </c>
      <c r="E1086" s="2" t="s">
        <v>39</v>
      </c>
      <c r="F1086" s="2" t="s">
        <v>2642</v>
      </c>
      <c r="G1086" s="2" t="s">
        <v>2643</v>
      </c>
      <c r="H1086" s="2" t="s">
        <v>24</v>
      </c>
      <c r="I1086" s="2" t="s">
        <v>25</v>
      </c>
      <c r="J1086" s="2" t="s">
        <v>157</v>
      </c>
      <c r="K1086" s="2" t="s">
        <v>1089</v>
      </c>
      <c r="L1086" s="2" t="s">
        <v>67</v>
      </c>
      <c r="M1086" s="2" t="s">
        <v>542</v>
      </c>
      <c r="N1086" s="2" t="s">
        <v>30</v>
      </c>
      <c r="O1086" s="2" t="s">
        <v>31</v>
      </c>
      <c r="P1086" s="2" t="s">
        <v>543</v>
      </c>
      <c r="Q1086" s="2">
        <v>362.94</v>
      </c>
      <c r="R1086" s="2">
        <v>3</v>
      </c>
      <c r="S1086" s="2">
        <v>36.293999999999997</v>
      </c>
      <c r="T1086" s="2" t="s">
        <v>83</v>
      </c>
      <c r="U1086" s="2" t="s">
        <v>77</v>
      </c>
    </row>
    <row r="1087" spans="1:21" ht="14.25" customHeight="1" x14ac:dyDescent="0.3">
      <c r="A1087" s="2" t="s">
        <v>3095</v>
      </c>
      <c r="B1087" s="5">
        <v>42584</v>
      </c>
      <c r="C1087" s="2" t="str">
        <f>TEXT(data[[#This Row],[Order Date]],"YYYY")</f>
        <v>2016</v>
      </c>
      <c r="D1087" s="2">
        <v>42586</v>
      </c>
      <c r="E1087" s="2" t="s">
        <v>21</v>
      </c>
      <c r="F1087" s="2" t="s">
        <v>1856</v>
      </c>
      <c r="G1087" s="2" t="s">
        <v>1857</v>
      </c>
      <c r="H1087" s="2" t="s">
        <v>90</v>
      </c>
      <c r="I1087" s="2" t="s">
        <v>25</v>
      </c>
      <c r="J1087" s="2" t="s">
        <v>52</v>
      </c>
      <c r="K1087" s="2" t="s">
        <v>53</v>
      </c>
      <c r="L1087" s="2" t="s">
        <v>54</v>
      </c>
      <c r="M1087" s="2" t="s">
        <v>3096</v>
      </c>
      <c r="N1087" s="2" t="s">
        <v>30</v>
      </c>
      <c r="O1087" s="2" t="s">
        <v>45</v>
      </c>
      <c r="P1087" s="2" t="s">
        <v>3097</v>
      </c>
      <c r="Q1087" s="2">
        <v>136.464</v>
      </c>
      <c r="R1087" s="2">
        <v>2</v>
      </c>
      <c r="S1087" s="2">
        <v>15.3522</v>
      </c>
      <c r="T1087" s="2" t="s">
        <v>70</v>
      </c>
      <c r="U1087" s="2" t="s">
        <v>253</v>
      </c>
    </row>
    <row r="1088" spans="1:21" ht="14.25" customHeight="1" x14ac:dyDescent="0.3">
      <c r="A1088" s="2" t="s">
        <v>3098</v>
      </c>
      <c r="B1088" s="5">
        <v>42068</v>
      </c>
      <c r="C1088" s="2" t="str">
        <f>TEXT(data[[#This Row],[Order Date]],"YYYY")</f>
        <v>2015</v>
      </c>
      <c r="D1088" s="2">
        <v>42070</v>
      </c>
      <c r="E1088" s="2" t="s">
        <v>21</v>
      </c>
      <c r="F1088" s="2" t="s">
        <v>3099</v>
      </c>
      <c r="G1088" s="2" t="s">
        <v>3100</v>
      </c>
      <c r="H1088" s="2" t="s">
        <v>90</v>
      </c>
      <c r="I1088" s="2" t="s">
        <v>25</v>
      </c>
      <c r="J1088" s="2" t="s">
        <v>3101</v>
      </c>
      <c r="K1088" s="2" t="s">
        <v>66</v>
      </c>
      <c r="L1088" s="2" t="s">
        <v>67</v>
      </c>
      <c r="M1088" s="2" t="s">
        <v>590</v>
      </c>
      <c r="N1088" s="2" t="s">
        <v>30</v>
      </c>
      <c r="O1088" s="2" t="s">
        <v>36</v>
      </c>
      <c r="P1088" s="2" t="s">
        <v>591</v>
      </c>
      <c r="Q1088" s="2">
        <v>99.372</v>
      </c>
      <c r="R1088" s="2">
        <v>2</v>
      </c>
      <c r="S1088" s="2">
        <v>-7.0979999999999999</v>
      </c>
      <c r="T1088" s="2" t="s">
        <v>70</v>
      </c>
      <c r="U1088" s="2" t="s">
        <v>195</v>
      </c>
    </row>
    <row r="1089" spans="1:21" ht="14.25" customHeight="1" x14ac:dyDescent="0.3">
      <c r="A1089" s="2" t="s">
        <v>3098</v>
      </c>
      <c r="B1089" s="5">
        <v>42068</v>
      </c>
      <c r="C1089" s="2" t="str">
        <f>TEXT(data[[#This Row],[Order Date]],"YYYY")</f>
        <v>2015</v>
      </c>
      <c r="D1089" s="2">
        <v>42070</v>
      </c>
      <c r="E1089" s="2" t="s">
        <v>21</v>
      </c>
      <c r="F1089" s="2" t="s">
        <v>3099</v>
      </c>
      <c r="G1089" s="2" t="s">
        <v>3100</v>
      </c>
      <c r="H1089" s="2" t="s">
        <v>90</v>
      </c>
      <c r="I1089" s="2" t="s">
        <v>25</v>
      </c>
      <c r="J1089" s="2" t="s">
        <v>3101</v>
      </c>
      <c r="K1089" s="2" t="s">
        <v>66</v>
      </c>
      <c r="L1089" s="2" t="s">
        <v>67</v>
      </c>
      <c r="M1089" s="2" t="s">
        <v>2281</v>
      </c>
      <c r="N1089" s="2" t="s">
        <v>30</v>
      </c>
      <c r="O1089" s="2" t="s">
        <v>56</v>
      </c>
      <c r="P1089" s="2" t="s">
        <v>2282</v>
      </c>
      <c r="Q1089" s="2">
        <v>33.567999999999998</v>
      </c>
      <c r="R1089" s="2">
        <v>2</v>
      </c>
      <c r="S1089" s="2">
        <v>-5.4547999999999996</v>
      </c>
      <c r="T1089" s="2" t="s">
        <v>70</v>
      </c>
      <c r="U1089" s="2" t="s">
        <v>195</v>
      </c>
    </row>
    <row r="1090" spans="1:21" ht="14.25" customHeight="1" x14ac:dyDescent="0.3">
      <c r="A1090" s="2" t="s">
        <v>3102</v>
      </c>
      <c r="B1090" s="5">
        <v>41889</v>
      </c>
      <c r="C1090" s="2" t="str">
        <f>TEXT(data[[#This Row],[Order Date]],"YYYY")</f>
        <v>2014</v>
      </c>
      <c r="D1090" s="2">
        <v>41892</v>
      </c>
      <c r="E1090" s="2" t="s">
        <v>87</v>
      </c>
      <c r="F1090" s="2" t="s">
        <v>1224</v>
      </c>
      <c r="G1090" s="2" t="s">
        <v>1225</v>
      </c>
      <c r="H1090" s="2" t="s">
        <v>100</v>
      </c>
      <c r="I1090" s="2" t="s">
        <v>25</v>
      </c>
      <c r="J1090" s="2" t="s">
        <v>101</v>
      </c>
      <c r="K1090" s="2" t="s">
        <v>92</v>
      </c>
      <c r="L1090" s="2" t="s">
        <v>93</v>
      </c>
      <c r="M1090" s="2" t="s">
        <v>922</v>
      </c>
      <c r="N1090" s="2" t="s">
        <v>30</v>
      </c>
      <c r="O1090" s="2" t="s">
        <v>45</v>
      </c>
      <c r="P1090" s="2" t="s">
        <v>923</v>
      </c>
      <c r="Q1090" s="2">
        <v>200.79499999999999</v>
      </c>
      <c r="R1090" s="2">
        <v>1</v>
      </c>
      <c r="S1090" s="2">
        <v>-22.948</v>
      </c>
      <c r="T1090" s="2" t="s">
        <v>33</v>
      </c>
      <c r="U1090" s="2" t="s">
        <v>77</v>
      </c>
    </row>
    <row r="1091" spans="1:21" ht="14.25" customHeight="1" x14ac:dyDescent="0.3">
      <c r="A1091" s="2" t="s">
        <v>3103</v>
      </c>
      <c r="B1091" s="5">
        <v>42989</v>
      </c>
      <c r="C1091" s="2" t="str">
        <f>TEXT(data[[#This Row],[Order Date]],"YYYY")</f>
        <v>2017</v>
      </c>
      <c r="D1091" s="2">
        <v>42989</v>
      </c>
      <c r="E1091" s="2" t="s">
        <v>425</v>
      </c>
      <c r="F1091" s="2" t="s">
        <v>687</v>
      </c>
      <c r="G1091" s="2" t="s">
        <v>688</v>
      </c>
      <c r="H1091" s="2" t="s">
        <v>24</v>
      </c>
      <c r="I1091" s="2" t="s">
        <v>25</v>
      </c>
      <c r="J1091" s="2" t="s">
        <v>328</v>
      </c>
      <c r="K1091" s="2" t="s">
        <v>53</v>
      </c>
      <c r="L1091" s="2" t="s">
        <v>54</v>
      </c>
      <c r="M1091" s="2" t="s">
        <v>149</v>
      </c>
      <c r="N1091" s="2" t="s">
        <v>30</v>
      </c>
      <c r="O1091" s="2" t="s">
        <v>56</v>
      </c>
      <c r="P1091" s="2" t="s">
        <v>150</v>
      </c>
      <c r="Q1091" s="2">
        <v>32.36</v>
      </c>
      <c r="R1091" s="2">
        <v>4</v>
      </c>
      <c r="S1091" s="2">
        <v>11.6496</v>
      </c>
      <c r="T1091" s="2" t="s">
        <v>430</v>
      </c>
      <c r="U1091" s="2" t="s">
        <v>77</v>
      </c>
    </row>
    <row r="1092" spans="1:21" ht="14.25" customHeight="1" x14ac:dyDescent="0.3">
      <c r="A1092" s="2" t="s">
        <v>3104</v>
      </c>
      <c r="B1092" s="5">
        <v>42751</v>
      </c>
      <c r="C1092" s="2" t="str">
        <f>TEXT(data[[#This Row],[Order Date]],"YYYY")</f>
        <v>2017</v>
      </c>
      <c r="D1092" s="2">
        <v>42751</v>
      </c>
      <c r="E1092" s="2" t="s">
        <v>425</v>
      </c>
      <c r="F1092" s="2" t="s">
        <v>2696</v>
      </c>
      <c r="G1092" s="2" t="s">
        <v>2697</v>
      </c>
      <c r="H1092" s="2" t="s">
        <v>90</v>
      </c>
      <c r="I1092" s="2" t="s">
        <v>25</v>
      </c>
      <c r="J1092" s="2" t="s">
        <v>52</v>
      </c>
      <c r="K1092" s="2" t="s">
        <v>53</v>
      </c>
      <c r="L1092" s="2" t="s">
        <v>54</v>
      </c>
      <c r="M1092" s="2" t="s">
        <v>55</v>
      </c>
      <c r="N1092" s="2" t="s">
        <v>30</v>
      </c>
      <c r="O1092" s="2" t="s">
        <v>56</v>
      </c>
      <c r="P1092" s="2" t="s">
        <v>57</v>
      </c>
      <c r="Q1092" s="2">
        <v>27.92</v>
      </c>
      <c r="R1092" s="2">
        <v>4</v>
      </c>
      <c r="S1092" s="2">
        <v>8.0968</v>
      </c>
      <c r="T1092" s="2" t="s">
        <v>430</v>
      </c>
      <c r="U1092" s="2" t="s">
        <v>169</v>
      </c>
    </row>
    <row r="1093" spans="1:21" ht="14.25" customHeight="1" x14ac:dyDescent="0.3">
      <c r="A1093" s="2" t="s">
        <v>3104</v>
      </c>
      <c r="B1093" s="5">
        <v>42751</v>
      </c>
      <c r="C1093" s="2" t="str">
        <f>TEXT(data[[#This Row],[Order Date]],"YYYY")</f>
        <v>2017</v>
      </c>
      <c r="D1093" s="2">
        <v>42751</v>
      </c>
      <c r="E1093" s="2" t="s">
        <v>425</v>
      </c>
      <c r="F1093" s="2" t="s">
        <v>2696</v>
      </c>
      <c r="G1093" s="2" t="s">
        <v>2697</v>
      </c>
      <c r="H1093" s="2" t="s">
        <v>90</v>
      </c>
      <c r="I1093" s="2" t="s">
        <v>25</v>
      </c>
      <c r="J1093" s="2" t="s">
        <v>52</v>
      </c>
      <c r="K1093" s="2" t="s">
        <v>53</v>
      </c>
      <c r="L1093" s="2" t="s">
        <v>54</v>
      </c>
      <c r="M1093" s="2" t="s">
        <v>907</v>
      </c>
      <c r="N1093" s="2" t="s">
        <v>30</v>
      </c>
      <c r="O1093" s="2" t="s">
        <v>45</v>
      </c>
      <c r="P1093" s="2" t="s">
        <v>908</v>
      </c>
      <c r="Q1093" s="2">
        <v>399.67200000000003</v>
      </c>
      <c r="R1093" s="2">
        <v>7</v>
      </c>
      <c r="S1093" s="2">
        <v>-14.9877</v>
      </c>
      <c r="T1093" s="2" t="s">
        <v>430</v>
      </c>
      <c r="U1093" s="2" t="s">
        <v>169</v>
      </c>
    </row>
    <row r="1094" spans="1:21" ht="14.25" customHeight="1" x14ac:dyDescent="0.3">
      <c r="A1094" s="2" t="s">
        <v>3105</v>
      </c>
      <c r="B1094" s="5">
        <v>42315</v>
      </c>
      <c r="C1094" s="2" t="str">
        <f>TEXT(data[[#This Row],[Order Date]],"YYYY")</f>
        <v>2015</v>
      </c>
      <c r="D1094" s="2">
        <v>42317</v>
      </c>
      <c r="E1094" s="2" t="s">
        <v>21</v>
      </c>
      <c r="F1094" s="2" t="s">
        <v>2917</v>
      </c>
      <c r="G1094" s="2" t="s">
        <v>2918</v>
      </c>
      <c r="H1094" s="2" t="s">
        <v>24</v>
      </c>
      <c r="I1094" s="2" t="s">
        <v>25</v>
      </c>
      <c r="J1094" s="2" t="s">
        <v>3031</v>
      </c>
      <c r="K1094" s="2" t="s">
        <v>3106</v>
      </c>
      <c r="L1094" s="2" t="s">
        <v>67</v>
      </c>
      <c r="M1094" s="2" t="s">
        <v>580</v>
      </c>
      <c r="N1094" s="2" t="s">
        <v>30</v>
      </c>
      <c r="O1094" s="2" t="s">
        <v>36</v>
      </c>
      <c r="P1094" s="2" t="s">
        <v>581</v>
      </c>
      <c r="Q1094" s="2">
        <v>715.2</v>
      </c>
      <c r="R1094" s="2">
        <v>3</v>
      </c>
      <c r="S1094" s="2">
        <v>178.8</v>
      </c>
      <c r="T1094" s="2" t="s">
        <v>70</v>
      </c>
      <c r="U1094" s="2" t="s">
        <v>34</v>
      </c>
    </row>
    <row r="1095" spans="1:21" ht="14.25" customHeight="1" x14ac:dyDescent="0.3">
      <c r="A1095" s="2" t="s">
        <v>3107</v>
      </c>
      <c r="B1095" s="5">
        <v>41895</v>
      </c>
      <c r="C1095" s="2" t="str">
        <f>TEXT(data[[#This Row],[Order Date]],"YYYY")</f>
        <v>2014</v>
      </c>
      <c r="D1095" s="2">
        <v>41899</v>
      </c>
      <c r="E1095" s="2" t="s">
        <v>39</v>
      </c>
      <c r="F1095" s="2" t="s">
        <v>1820</v>
      </c>
      <c r="G1095" s="2" t="s">
        <v>1821</v>
      </c>
      <c r="H1095" s="2" t="s">
        <v>100</v>
      </c>
      <c r="I1095" s="2" t="s">
        <v>25</v>
      </c>
      <c r="J1095" s="2" t="s">
        <v>2548</v>
      </c>
      <c r="K1095" s="2" t="s">
        <v>92</v>
      </c>
      <c r="L1095" s="2" t="s">
        <v>93</v>
      </c>
      <c r="M1095" s="2" t="s">
        <v>255</v>
      </c>
      <c r="N1095" s="2" t="s">
        <v>30</v>
      </c>
      <c r="O1095" s="2" t="s">
        <v>36</v>
      </c>
      <c r="P1095" s="2" t="s">
        <v>256</v>
      </c>
      <c r="Q1095" s="2">
        <v>340.11599999999999</v>
      </c>
      <c r="R1095" s="2">
        <v>6</v>
      </c>
      <c r="S1095" s="2">
        <v>-9.7175999999999991</v>
      </c>
      <c r="T1095" s="2" t="s">
        <v>83</v>
      </c>
      <c r="U1095" s="2" t="s">
        <v>77</v>
      </c>
    </row>
    <row r="1096" spans="1:21" ht="14.25" customHeight="1" x14ac:dyDescent="0.3">
      <c r="A1096" s="2" t="s">
        <v>3108</v>
      </c>
      <c r="B1096" s="5">
        <v>42252</v>
      </c>
      <c r="C1096" s="2" t="str">
        <f>TEXT(data[[#This Row],[Order Date]],"YYYY")</f>
        <v>2015</v>
      </c>
      <c r="D1096" s="2">
        <v>42257</v>
      </c>
      <c r="E1096" s="2" t="s">
        <v>39</v>
      </c>
      <c r="F1096" s="2" t="s">
        <v>2617</v>
      </c>
      <c r="G1096" s="2" t="s">
        <v>2618</v>
      </c>
      <c r="H1096" s="2" t="s">
        <v>90</v>
      </c>
      <c r="I1096" s="2" t="s">
        <v>25</v>
      </c>
      <c r="J1096" s="2" t="s">
        <v>894</v>
      </c>
      <c r="K1096" s="2" t="s">
        <v>166</v>
      </c>
      <c r="L1096" s="2" t="s">
        <v>93</v>
      </c>
      <c r="M1096" s="2" t="s">
        <v>111</v>
      </c>
      <c r="N1096" s="2" t="s">
        <v>30</v>
      </c>
      <c r="O1096" s="2" t="s">
        <v>56</v>
      </c>
      <c r="P1096" s="2" t="s">
        <v>112</v>
      </c>
      <c r="Q1096" s="2">
        <v>6.16</v>
      </c>
      <c r="R1096" s="2">
        <v>2</v>
      </c>
      <c r="S1096" s="2">
        <v>2.9567999999999999</v>
      </c>
      <c r="T1096" s="2" t="s">
        <v>58</v>
      </c>
      <c r="U1096" s="2" t="s">
        <v>77</v>
      </c>
    </row>
    <row r="1097" spans="1:21" ht="14.25" customHeight="1" x14ac:dyDescent="0.3">
      <c r="A1097" s="2" t="s">
        <v>3109</v>
      </c>
      <c r="B1097" s="5">
        <v>42860</v>
      </c>
      <c r="C1097" s="2" t="str">
        <f>TEXT(data[[#This Row],[Order Date]],"YYYY")</f>
        <v>2017</v>
      </c>
      <c r="D1097" s="2">
        <v>42861</v>
      </c>
      <c r="E1097" s="2" t="s">
        <v>87</v>
      </c>
      <c r="F1097" s="2" t="s">
        <v>2186</v>
      </c>
      <c r="G1097" s="2" t="s">
        <v>2187</v>
      </c>
      <c r="H1097" s="2" t="s">
        <v>24</v>
      </c>
      <c r="I1097" s="2" t="s">
        <v>25</v>
      </c>
      <c r="J1097" s="2" t="s">
        <v>865</v>
      </c>
      <c r="K1097" s="2" t="s">
        <v>180</v>
      </c>
      <c r="L1097" s="2" t="s">
        <v>54</v>
      </c>
      <c r="M1097" s="2" t="s">
        <v>1136</v>
      </c>
      <c r="N1097" s="2" t="s">
        <v>30</v>
      </c>
      <c r="O1097" s="2" t="s">
        <v>31</v>
      </c>
      <c r="P1097" s="2" t="s">
        <v>1137</v>
      </c>
      <c r="Q1097" s="2">
        <v>89.991</v>
      </c>
      <c r="R1097" s="2">
        <v>3</v>
      </c>
      <c r="S1097" s="2">
        <v>-152.9847</v>
      </c>
      <c r="T1097" s="2" t="s">
        <v>123</v>
      </c>
      <c r="U1097" s="2" t="s">
        <v>161</v>
      </c>
    </row>
    <row r="1098" spans="1:21" ht="14.25" customHeight="1" x14ac:dyDescent="0.3">
      <c r="A1098" s="2" t="s">
        <v>3110</v>
      </c>
      <c r="B1098" s="5">
        <v>41890</v>
      </c>
      <c r="C1098" s="2" t="str">
        <f>TEXT(data[[#This Row],[Order Date]],"YYYY")</f>
        <v>2014</v>
      </c>
      <c r="D1098" s="2">
        <v>41897</v>
      </c>
      <c r="E1098" s="2" t="s">
        <v>39</v>
      </c>
      <c r="F1098" s="2" t="s">
        <v>1215</v>
      </c>
      <c r="G1098" s="2" t="s">
        <v>1216</v>
      </c>
      <c r="H1098" s="2" t="s">
        <v>24</v>
      </c>
      <c r="I1098" s="2" t="s">
        <v>25</v>
      </c>
      <c r="J1098" s="2" t="s">
        <v>101</v>
      </c>
      <c r="K1098" s="2" t="s">
        <v>92</v>
      </c>
      <c r="L1098" s="2" t="s">
        <v>93</v>
      </c>
      <c r="M1098" s="2" t="s">
        <v>246</v>
      </c>
      <c r="N1098" s="2" t="s">
        <v>30</v>
      </c>
      <c r="O1098" s="2" t="s">
        <v>36</v>
      </c>
      <c r="P1098" s="2" t="s">
        <v>247</v>
      </c>
      <c r="Q1098" s="2">
        <v>966.7</v>
      </c>
      <c r="R1098" s="2">
        <v>5</v>
      </c>
      <c r="S1098" s="2">
        <v>-13.81</v>
      </c>
      <c r="T1098" s="2" t="s">
        <v>47</v>
      </c>
      <c r="U1098" s="2" t="s">
        <v>77</v>
      </c>
    </row>
    <row r="1099" spans="1:21" ht="14.25" customHeight="1" x14ac:dyDescent="0.3">
      <c r="A1099" s="2" t="s">
        <v>3111</v>
      </c>
      <c r="B1099" s="5">
        <v>42364</v>
      </c>
      <c r="C1099" s="2" t="str">
        <f>TEXT(data[[#This Row],[Order Date]],"YYYY")</f>
        <v>2015</v>
      </c>
      <c r="D1099" s="2">
        <v>42368</v>
      </c>
      <c r="E1099" s="2" t="s">
        <v>39</v>
      </c>
      <c r="F1099" s="2" t="s">
        <v>1372</v>
      </c>
      <c r="G1099" s="2" t="s">
        <v>1373</v>
      </c>
      <c r="H1099" s="2" t="s">
        <v>24</v>
      </c>
      <c r="I1099" s="2" t="s">
        <v>25</v>
      </c>
      <c r="J1099" s="2" t="s">
        <v>276</v>
      </c>
      <c r="K1099" s="2" t="s">
        <v>231</v>
      </c>
      <c r="L1099" s="2" t="s">
        <v>67</v>
      </c>
      <c r="M1099" s="2" t="s">
        <v>1062</v>
      </c>
      <c r="N1099" s="2" t="s">
        <v>30</v>
      </c>
      <c r="O1099" s="2" t="s">
        <v>45</v>
      </c>
      <c r="P1099" s="2" t="s">
        <v>1063</v>
      </c>
      <c r="Q1099" s="2">
        <v>51.588000000000001</v>
      </c>
      <c r="R1099" s="2">
        <v>1</v>
      </c>
      <c r="S1099" s="2">
        <v>-15.4764</v>
      </c>
      <c r="T1099" s="2" t="s">
        <v>83</v>
      </c>
      <c r="U1099" s="2" t="s">
        <v>96</v>
      </c>
    </row>
    <row r="1100" spans="1:21" ht="14.25" customHeight="1" x14ac:dyDescent="0.3">
      <c r="A1100" s="2" t="s">
        <v>3112</v>
      </c>
      <c r="B1100" s="5">
        <v>42943</v>
      </c>
      <c r="C1100" s="2" t="str">
        <f>TEXT(data[[#This Row],[Order Date]],"YYYY")</f>
        <v>2017</v>
      </c>
      <c r="D1100" s="2">
        <v>42947</v>
      </c>
      <c r="E1100" s="2" t="s">
        <v>39</v>
      </c>
      <c r="F1100" s="2" t="s">
        <v>3092</v>
      </c>
      <c r="G1100" s="2" t="s">
        <v>3093</v>
      </c>
      <c r="H1100" s="2" t="s">
        <v>24</v>
      </c>
      <c r="I1100" s="2" t="s">
        <v>25</v>
      </c>
      <c r="J1100" s="2" t="s">
        <v>1033</v>
      </c>
      <c r="K1100" s="2" t="s">
        <v>120</v>
      </c>
      <c r="L1100" s="2" t="s">
        <v>67</v>
      </c>
      <c r="M1100" s="2" t="s">
        <v>1204</v>
      </c>
      <c r="N1100" s="2" t="s">
        <v>30</v>
      </c>
      <c r="O1100" s="2" t="s">
        <v>56</v>
      </c>
      <c r="P1100" s="2" t="s">
        <v>1205</v>
      </c>
      <c r="Q1100" s="2">
        <v>14.89</v>
      </c>
      <c r="R1100" s="2">
        <v>1</v>
      </c>
      <c r="S1100" s="2">
        <v>4.0202999999999998</v>
      </c>
      <c r="T1100" s="2" t="s">
        <v>83</v>
      </c>
      <c r="U1100" s="2" t="s">
        <v>71</v>
      </c>
    </row>
    <row r="1101" spans="1:21" ht="14.25" customHeight="1" x14ac:dyDescent="0.3">
      <c r="A1101" s="2" t="s">
        <v>3113</v>
      </c>
      <c r="B1101" s="5">
        <v>42520</v>
      </c>
      <c r="C1101" s="2" t="str">
        <f>TEXT(data[[#This Row],[Order Date]],"YYYY")</f>
        <v>2016</v>
      </c>
      <c r="D1101" s="2">
        <v>42524</v>
      </c>
      <c r="E1101" s="2" t="s">
        <v>39</v>
      </c>
      <c r="F1101" s="2" t="s">
        <v>2576</v>
      </c>
      <c r="G1101" s="2" t="s">
        <v>2577</v>
      </c>
      <c r="H1101" s="2" t="s">
        <v>90</v>
      </c>
      <c r="I1101" s="2" t="s">
        <v>25</v>
      </c>
      <c r="J1101" s="2" t="s">
        <v>878</v>
      </c>
      <c r="K1101" s="2" t="s">
        <v>716</v>
      </c>
      <c r="L1101" s="2" t="s">
        <v>28</v>
      </c>
      <c r="M1101" s="2" t="s">
        <v>1883</v>
      </c>
      <c r="N1101" s="2" t="s">
        <v>30</v>
      </c>
      <c r="O1101" s="2" t="s">
        <v>45</v>
      </c>
      <c r="P1101" s="2" t="s">
        <v>1884</v>
      </c>
      <c r="Q1101" s="2">
        <v>2275.5</v>
      </c>
      <c r="R1101" s="2">
        <v>10</v>
      </c>
      <c r="S1101" s="2">
        <v>386.83499999999998</v>
      </c>
      <c r="T1101" s="2" t="s">
        <v>83</v>
      </c>
      <c r="U1101" s="2" t="s">
        <v>161</v>
      </c>
    </row>
    <row r="1102" spans="1:21" ht="14.25" customHeight="1" x14ac:dyDescent="0.3">
      <c r="A1102" s="2" t="s">
        <v>3114</v>
      </c>
      <c r="B1102" s="5">
        <v>41959</v>
      </c>
      <c r="C1102" s="2" t="str">
        <f>TEXT(data[[#This Row],[Order Date]],"YYYY")</f>
        <v>2014</v>
      </c>
      <c r="D1102" s="2">
        <v>41963</v>
      </c>
      <c r="E1102" s="2" t="s">
        <v>39</v>
      </c>
      <c r="F1102" s="2" t="s">
        <v>3115</v>
      </c>
      <c r="G1102" s="2" t="s">
        <v>3116</v>
      </c>
      <c r="H1102" s="2" t="s">
        <v>24</v>
      </c>
      <c r="I1102" s="2" t="s">
        <v>25</v>
      </c>
      <c r="J1102" s="2" t="s">
        <v>513</v>
      </c>
      <c r="K1102" s="2" t="s">
        <v>134</v>
      </c>
      <c r="L1102" s="2" t="s">
        <v>93</v>
      </c>
      <c r="M1102" s="2" t="s">
        <v>2008</v>
      </c>
      <c r="N1102" s="2" t="s">
        <v>30</v>
      </c>
      <c r="O1102" s="2" t="s">
        <v>36</v>
      </c>
      <c r="P1102" s="2" t="s">
        <v>2009</v>
      </c>
      <c r="Q1102" s="2">
        <v>37.295999999999999</v>
      </c>
      <c r="R1102" s="2">
        <v>2</v>
      </c>
      <c r="S1102" s="2">
        <v>-1.0656000000000001</v>
      </c>
      <c r="T1102" s="2" t="s">
        <v>83</v>
      </c>
      <c r="U1102" s="2" t="s">
        <v>34</v>
      </c>
    </row>
    <row r="1103" spans="1:21" ht="14.25" customHeight="1" x14ac:dyDescent="0.3">
      <c r="A1103" s="2" t="s">
        <v>3117</v>
      </c>
      <c r="B1103" s="5">
        <v>41903</v>
      </c>
      <c r="C1103" s="2" t="str">
        <f>TEXT(data[[#This Row],[Order Date]],"YYYY")</f>
        <v>2014</v>
      </c>
      <c r="D1103" s="2">
        <v>41905</v>
      </c>
      <c r="E1103" s="2" t="s">
        <v>87</v>
      </c>
      <c r="F1103" s="2" t="s">
        <v>524</v>
      </c>
      <c r="G1103" s="2" t="s">
        <v>525</v>
      </c>
      <c r="H1103" s="2" t="s">
        <v>100</v>
      </c>
      <c r="I1103" s="2" t="s">
        <v>25</v>
      </c>
      <c r="J1103" s="2" t="s">
        <v>3118</v>
      </c>
      <c r="K1103" s="2" t="s">
        <v>92</v>
      </c>
      <c r="L1103" s="2" t="s">
        <v>93</v>
      </c>
      <c r="M1103" s="2" t="s">
        <v>2140</v>
      </c>
      <c r="N1103" s="2" t="s">
        <v>30</v>
      </c>
      <c r="O1103" s="2" t="s">
        <v>56</v>
      </c>
      <c r="P1103" s="2" t="s">
        <v>2141</v>
      </c>
      <c r="Q1103" s="2">
        <v>8.5440000000000005</v>
      </c>
      <c r="R1103" s="2">
        <v>2</v>
      </c>
      <c r="S1103" s="2">
        <v>-7.476</v>
      </c>
      <c r="T1103" s="2" t="s">
        <v>70</v>
      </c>
      <c r="U1103" s="2" t="s">
        <v>77</v>
      </c>
    </row>
    <row r="1104" spans="1:21" ht="14.25" customHeight="1" x14ac:dyDescent="0.3">
      <c r="A1104" s="2" t="s">
        <v>3119</v>
      </c>
      <c r="B1104" s="5">
        <v>42421</v>
      </c>
      <c r="C1104" s="2" t="str">
        <f>TEXT(data[[#This Row],[Order Date]],"YYYY")</f>
        <v>2016</v>
      </c>
      <c r="D1104" s="2">
        <v>42426</v>
      </c>
      <c r="E1104" s="2" t="s">
        <v>39</v>
      </c>
      <c r="F1104" s="2" t="s">
        <v>798</v>
      </c>
      <c r="G1104" s="2" t="s">
        <v>799</v>
      </c>
      <c r="H1104" s="2" t="s">
        <v>90</v>
      </c>
      <c r="I1104" s="2" t="s">
        <v>25</v>
      </c>
      <c r="J1104" s="2" t="s">
        <v>761</v>
      </c>
      <c r="K1104" s="2" t="s">
        <v>120</v>
      </c>
      <c r="L1104" s="2" t="s">
        <v>67</v>
      </c>
      <c r="M1104" s="2" t="s">
        <v>174</v>
      </c>
      <c r="N1104" s="2" t="s">
        <v>30</v>
      </c>
      <c r="O1104" s="2" t="s">
        <v>56</v>
      </c>
      <c r="P1104" s="2" t="s">
        <v>175</v>
      </c>
      <c r="Q1104" s="2">
        <v>68.95</v>
      </c>
      <c r="R1104" s="2">
        <v>5</v>
      </c>
      <c r="S1104" s="2">
        <v>28.959</v>
      </c>
      <c r="T1104" s="2" t="s">
        <v>58</v>
      </c>
      <c r="U1104" s="2" t="s">
        <v>297</v>
      </c>
    </row>
    <row r="1105" spans="1:21" ht="14.25" customHeight="1" x14ac:dyDescent="0.3">
      <c r="A1105" s="2" t="s">
        <v>3120</v>
      </c>
      <c r="B1105" s="5">
        <v>43058</v>
      </c>
      <c r="C1105" s="2" t="str">
        <f>TEXT(data[[#This Row],[Order Date]],"YYYY")</f>
        <v>2017</v>
      </c>
      <c r="D1105" s="2">
        <v>43060</v>
      </c>
      <c r="E1105" s="2" t="s">
        <v>87</v>
      </c>
      <c r="F1105" s="2" t="s">
        <v>2571</v>
      </c>
      <c r="G1105" s="2" t="s">
        <v>2572</v>
      </c>
      <c r="H1105" s="2" t="s">
        <v>24</v>
      </c>
      <c r="I1105" s="2" t="s">
        <v>25</v>
      </c>
      <c r="J1105" s="2" t="s">
        <v>101</v>
      </c>
      <c r="K1105" s="2" t="s">
        <v>92</v>
      </c>
      <c r="L1105" s="2" t="s">
        <v>93</v>
      </c>
      <c r="M1105" s="2" t="s">
        <v>1617</v>
      </c>
      <c r="N1105" s="2" t="s">
        <v>30</v>
      </c>
      <c r="O1105" s="2" t="s">
        <v>36</v>
      </c>
      <c r="P1105" s="2" t="s">
        <v>1618</v>
      </c>
      <c r="Q1105" s="2">
        <v>191.05799999999999</v>
      </c>
      <c r="R1105" s="2">
        <v>3</v>
      </c>
      <c r="S1105" s="2">
        <v>-46.399799999999999</v>
      </c>
      <c r="T1105" s="2" t="s">
        <v>70</v>
      </c>
      <c r="U1105" s="2" t="s">
        <v>34</v>
      </c>
    </row>
    <row r="1106" spans="1:21" ht="14.25" customHeight="1" x14ac:dyDescent="0.3">
      <c r="A1106" s="2" t="s">
        <v>3121</v>
      </c>
      <c r="B1106" s="5">
        <v>42855</v>
      </c>
      <c r="C1106" s="2" t="str">
        <f>TEXT(data[[#This Row],[Order Date]],"YYYY")</f>
        <v>2017</v>
      </c>
      <c r="D1106" s="2">
        <v>42860</v>
      </c>
      <c r="E1106" s="2" t="s">
        <v>39</v>
      </c>
      <c r="F1106" s="2" t="s">
        <v>397</v>
      </c>
      <c r="G1106" s="2" t="s">
        <v>398</v>
      </c>
      <c r="H1106" s="2" t="s">
        <v>90</v>
      </c>
      <c r="I1106" s="2" t="s">
        <v>25</v>
      </c>
      <c r="J1106" s="2" t="s">
        <v>328</v>
      </c>
      <c r="K1106" s="2" t="s">
        <v>53</v>
      </c>
      <c r="L1106" s="2" t="s">
        <v>54</v>
      </c>
      <c r="M1106" s="2" t="s">
        <v>756</v>
      </c>
      <c r="N1106" s="2" t="s">
        <v>30</v>
      </c>
      <c r="O1106" s="2" t="s">
        <v>56</v>
      </c>
      <c r="P1106" s="2" t="s">
        <v>757</v>
      </c>
      <c r="Q1106" s="2">
        <v>64.959999999999994</v>
      </c>
      <c r="R1106" s="2">
        <v>2</v>
      </c>
      <c r="S1106" s="2">
        <v>21.436800000000002</v>
      </c>
      <c r="T1106" s="2" t="s">
        <v>58</v>
      </c>
      <c r="U1106" s="2" t="s">
        <v>113</v>
      </c>
    </row>
    <row r="1107" spans="1:21" ht="14.25" customHeight="1" x14ac:dyDescent="0.3">
      <c r="A1107" s="2" t="s">
        <v>3122</v>
      </c>
      <c r="B1107" s="5">
        <v>42492</v>
      </c>
      <c r="C1107" s="2" t="str">
        <f>TEXT(data[[#This Row],[Order Date]],"YYYY")</f>
        <v>2016</v>
      </c>
      <c r="D1107" s="2">
        <v>42498</v>
      </c>
      <c r="E1107" s="2" t="s">
        <v>39</v>
      </c>
      <c r="F1107" s="2" t="s">
        <v>2048</v>
      </c>
      <c r="G1107" s="2" t="s">
        <v>2049</v>
      </c>
      <c r="H1107" s="2" t="s">
        <v>24</v>
      </c>
      <c r="I1107" s="2" t="s">
        <v>25</v>
      </c>
      <c r="J1107" s="2" t="s">
        <v>2569</v>
      </c>
      <c r="K1107" s="2" t="s">
        <v>1036</v>
      </c>
      <c r="L1107" s="2" t="s">
        <v>28</v>
      </c>
      <c r="M1107" s="2" t="s">
        <v>1003</v>
      </c>
      <c r="N1107" s="2" t="s">
        <v>30</v>
      </c>
      <c r="O1107" s="2" t="s">
        <v>36</v>
      </c>
      <c r="P1107" s="2" t="s">
        <v>1004</v>
      </c>
      <c r="Q1107" s="2">
        <v>187.05600000000001</v>
      </c>
      <c r="R1107" s="2">
        <v>9</v>
      </c>
      <c r="S1107" s="2">
        <v>11.691000000000001</v>
      </c>
      <c r="T1107" s="2" t="s">
        <v>129</v>
      </c>
      <c r="U1107" s="2" t="s">
        <v>161</v>
      </c>
    </row>
    <row r="1108" spans="1:21" ht="14.25" customHeight="1" x14ac:dyDescent="0.3">
      <c r="A1108" s="2" t="s">
        <v>3123</v>
      </c>
      <c r="B1108" s="5">
        <v>43010</v>
      </c>
      <c r="C1108" s="2" t="str">
        <f>TEXT(data[[#This Row],[Order Date]],"YYYY")</f>
        <v>2017</v>
      </c>
      <c r="D1108" s="2">
        <v>43013</v>
      </c>
      <c r="E1108" s="2" t="s">
        <v>87</v>
      </c>
      <c r="F1108" s="2" t="s">
        <v>2431</v>
      </c>
      <c r="G1108" s="2" t="s">
        <v>2432</v>
      </c>
      <c r="H1108" s="2" t="s">
        <v>100</v>
      </c>
      <c r="I1108" s="2" t="s">
        <v>25</v>
      </c>
      <c r="J1108" s="2" t="s">
        <v>3124</v>
      </c>
      <c r="K1108" s="2" t="s">
        <v>141</v>
      </c>
      <c r="L1108" s="2" t="s">
        <v>28</v>
      </c>
      <c r="M1108" s="2" t="s">
        <v>1718</v>
      </c>
      <c r="N1108" s="2" t="s">
        <v>30</v>
      </c>
      <c r="O1108" s="2" t="s">
        <v>56</v>
      </c>
      <c r="P1108" s="2" t="s">
        <v>1719</v>
      </c>
      <c r="Q1108" s="2">
        <v>11.808</v>
      </c>
      <c r="R1108" s="2">
        <v>2</v>
      </c>
      <c r="S1108" s="2">
        <v>1.3284</v>
      </c>
      <c r="T1108" s="2" t="s">
        <v>33</v>
      </c>
      <c r="U1108" s="2" t="s">
        <v>48</v>
      </c>
    </row>
    <row r="1109" spans="1:21" ht="14.25" customHeight="1" x14ac:dyDescent="0.3">
      <c r="A1109" s="2" t="s">
        <v>3123</v>
      </c>
      <c r="B1109" s="5">
        <v>43010</v>
      </c>
      <c r="C1109" s="2" t="str">
        <f>TEXT(data[[#This Row],[Order Date]],"YYYY")</f>
        <v>2017</v>
      </c>
      <c r="D1109" s="2">
        <v>43013</v>
      </c>
      <c r="E1109" s="2" t="s">
        <v>87</v>
      </c>
      <c r="F1109" s="2" t="s">
        <v>2431</v>
      </c>
      <c r="G1109" s="2" t="s">
        <v>2432</v>
      </c>
      <c r="H1109" s="2" t="s">
        <v>100</v>
      </c>
      <c r="I1109" s="2" t="s">
        <v>25</v>
      </c>
      <c r="J1109" s="2" t="s">
        <v>3124</v>
      </c>
      <c r="K1109" s="2" t="s">
        <v>141</v>
      </c>
      <c r="L1109" s="2" t="s">
        <v>28</v>
      </c>
      <c r="M1109" s="2" t="s">
        <v>551</v>
      </c>
      <c r="N1109" s="2" t="s">
        <v>30</v>
      </c>
      <c r="O1109" s="2" t="s">
        <v>56</v>
      </c>
      <c r="P1109" s="2" t="s">
        <v>3125</v>
      </c>
      <c r="Q1109" s="2">
        <v>9.6560000000000006</v>
      </c>
      <c r="R1109" s="2">
        <v>1</v>
      </c>
      <c r="S1109" s="2">
        <v>1.5690999999999999</v>
      </c>
      <c r="T1109" s="2" t="s">
        <v>33</v>
      </c>
      <c r="U1109" s="2" t="s">
        <v>48</v>
      </c>
    </row>
    <row r="1110" spans="1:21" ht="14.25" customHeight="1" x14ac:dyDescent="0.3">
      <c r="A1110" s="2" t="s">
        <v>3123</v>
      </c>
      <c r="B1110" s="5">
        <v>43010</v>
      </c>
      <c r="C1110" s="2" t="str">
        <f>TEXT(data[[#This Row],[Order Date]],"YYYY")</f>
        <v>2017</v>
      </c>
      <c r="D1110" s="2">
        <v>43013</v>
      </c>
      <c r="E1110" s="2" t="s">
        <v>87</v>
      </c>
      <c r="F1110" s="2" t="s">
        <v>2431</v>
      </c>
      <c r="G1110" s="2" t="s">
        <v>2432</v>
      </c>
      <c r="H1110" s="2" t="s">
        <v>100</v>
      </c>
      <c r="I1110" s="2" t="s">
        <v>25</v>
      </c>
      <c r="J1110" s="2" t="s">
        <v>3124</v>
      </c>
      <c r="K1110" s="2" t="s">
        <v>141</v>
      </c>
      <c r="L1110" s="2" t="s">
        <v>28</v>
      </c>
      <c r="M1110" s="2" t="s">
        <v>751</v>
      </c>
      <c r="N1110" s="2" t="s">
        <v>30</v>
      </c>
      <c r="O1110" s="2" t="s">
        <v>45</v>
      </c>
      <c r="P1110" s="2" t="s">
        <v>752</v>
      </c>
      <c r="Q1110" s="2">
        <v>2314.116</v>
      </c>
      <c r="R1110" s="2">
        <v>7</v>
      </c>
      <c r="S1110" s="2">
        <v>-1002.7836</v>
      </c>
      <c r="T1110" s="2" t="s">
        <v>33</v>
      </c>
      <c r="U1110" s="2" t="s">
        <v>48</v>
      </c>
    </row>
    <row r="1111" spans="1:21" ht="14.25" customHeight="1" x14ac:dyDescent="0.3">
      <c r="A1111" s="2" t="s">
        <v>3123</v>
      </c>
      <c r="B1111" s="5">
        <v>43010</v>
      </c>
      <c r="C1111" s="2" t="str">
        <f>TEXT(data[[#This Row],[Order Date]],"YYYY")</f>
        <v>2017</v>
      </c>
      <c r="D1111" s="2">
        <v>43013</v>
      </c>
      <c r="E1111" s="2" t="s">
        <v>87</v>
      </c>
      <c r="F1111" s="2" t="s">
        <v>2431</v>
      </c>
      <c r="G1111" s="2" t="s">
        <v>2432</v>
      </c>
      <c r="H1111" s="2" t="s">
        <v>100</v>
      </c>
      <c r="I1111" s="2" t="s">
        <v>25</v>
      </c>
      <c r="J1111" s="2" t="s">
        <v>3124</v>
      </c>
      <c r="K1111" s="2" t="s">
        <v>141</v>
      </c>
      <c r="L1111" s="2" t="s">
        <v>28</v>
      </c>
      <c r="M1111" s="2" t="s">
        <v>1128</v>
      </c>
      <c r="N1111" s="2" t="s">
        <v>30</v>
      </c>
      <c r="O1111" s="2" t="s">
        <v>56</v>
      </c>
      <c r="P1111" s="2" t="s">
        <v>1129</v>
      </c>
      <c r="Q1111" s="2">
        <v>19.760000000000002</v>
      </c>
      <c r="R1111" s="2">
        <v>2</v>
      </c>
      <c r="S1111" s="2">
        <v>5.9279999999999999</v>
      </c>
      <c r="T1111" s="2" t="s">
        <v>33</v>
      </c>
      <c r="U1111" s="2" t="s">
        <v>48</v>
      </c>
    </row>
    <row r="1112" spans="1:21" ht="14.25" customHeight="1" x14ac:dyDescent="0.3">
      <c r="A1112" s="2" t="s">
        <v>3126</v>
      </c>
      <c r="B1112" s="5">
        <v>42342</v>
      </c>
      <c r="C1112" s="2" t="str">
        <f>TEXT(data[[#This Row],[Order Date]],"YYYY")</f>
        <v>2015</v>
      </c>
      <c r="D1112" s="2">
        <v>42347</v>
      </c>
      <c r="E1112" s="2" t="s">
        <v>39</v>
      </c>
      <c r="F1112" s="2" t="s">
        <v>947</v>
      </c>
      <c r="G1112" s="2" t="s">
        <v>948</v>
      </c>
      <c r="H1112" s="2" t="s">
        <v>24</v>
      </c>
      <c r="I1112" s="2" t="s">
        <v>25</v>
      </c>
      <c r="J1112" s="2" t="s">
        <v>2060</v>
      </c>
      <c r="K1112" s="2" t="s">
        <v>53</v>
      </c>
      <c r="L1112" s="2" t="s">
        <v>54</v>
      </c>
      <c r="M1112" s="2" t="s">
        <v>1311</v>
      </c>
      <c r="N1112" s="2" t="s">
        <v>30</v>
      </c>
      <c r="O1112" s="2" t="s">
        <v>56</v>
      </c>
      <c r="P1112" s="2" t="s">
        <v>1312</v>
      </c>
      <c r="Q1112" s="2">
        <v>25.08</v>
      </c>
      <c r="R1112" s="2">
        <v>6</v>
      </c>
      <c r="S1112" s="2">
        <v>9.0288000000000004</v>
      </c>
      <c r="T1112" s="2" t="s">
        <v>58</v>
      </c>
      <c r="U1112" s="2" t="s">
        <v>96</v>
      </c>
    </row>
    <row r="1113" spans="1:21" ht="14.25" customHeight="1" x14ac:dyDescent="0.3">
      <c r="A1113" s="2" t="s">
        <v>3127</v>
      </c>
      <c r="B1113" s="5">
        <v>42617</v>
      </c>
      <c r="C1113" s="2" t="str">
        <f>TEXT(data[[#This Row],[Order Date]],"YYYY")</f>
        <v>2016</v>
      </c>
      <c r="D1113" s="2">
        <v>42621</v>
      </c>
      <c r="E1113" s="2" t="s">
        <v>39</v>
      </c>
      <c r="F1113" s="2" t="s">
        <v>3128</v>
      </c>
      <c r="G1113" s="2" t="s">
        <v>3129</v>
      </c>
      <c r="H1113" s="2" t="s">
        <v>24</v>
      </c>
      <c r="I1113" s="2" t="s">
        <v>25</v>
      </c>
      <c r="J1113" s="2" t="s">
        <v>173</v>
      </c>
      <c r="K1113" s="2" t="s">
        <v>120</v>
      </c>
      <c r="L1113" s="2" t="s">
        <v>67</v>
      </c>
      <c r="M1113" s="2" t="s">
        <v>1755</v>
      </c>
      <c r="N1113" s="2" t="s">
        <v>30</v>
      </c>
      <c r="O1113" s="2" t="s">
        <v>56</v>
      </c>
      <c r="P1113" s="2" t="s">
        <v>1756</v>
      </c>
      <c r="Q1113" s="2">
        <v>63.94</v>
      </c>
      <c r="R1113" s="2">
        <v>1</v>
      </c>
      <c r="S1113" s="2">
        <v>24.936599999999999</v>
      </c>
      <c r="T1113" s="2" t="s">
        <v>83</v>
      </c>
      <c r="U1113" s="2" t="s">
        <v>77</v>
      </c>
    </row>
    <row r="1114" spans="1:21" ht="14.25" customHeight="1" x14ac:dyDescent="0.3">
      <c r="A1114" s="2" t="s">
        <v>3130</v>
      </c>
      <c r="B1114" s="5">
        <v>41877</v>
      </c>
      <c r="C1114" s="2" t="str">
        <f>TEXT(data[[#This Row],[Order Date]],"YYYY")</f>
        <v>2014</v>
      </c>
      <c r="D1114" s="2">
        <v>41883</v>
      </c>
      <c r="E1114" s="2" t="s">
        <v>39</v>
      </c>
      <c r="F1114" s="2" t="s">
        <v>163</v>
      </c>
      <c r="G1114" s="2" t="s">
        <v>164</v>
      </c>
      <c r="H1114" s="2" t="s">
        <v>24</v>
      </c>
      <c r="I1114" s="2" t="s">
        <v>25</v>
      </c>
      <c r="J1114" s="2" t="s">
        <v>230</v>
      </c>
      <c r="K1114" s="2" t="s">
        <v>200</v>
      </c>
      <c r="L1114" s="2" t="s">
        <v>67</v>
      </c>
      <c r="M1114" s="2" t="s">
        <v>2513</v>
      </c>
      <c r="N1114" s="2" t="s">
        <v>30</v>
      </c>
      <c r="O1114" s="2" t="s">
        <v>56</v>
      </c>
      <c r="P1114" s="2" t="s">
        <v>2514</v>
      </c>
      <c r="Q1114" s="2">
        <v>10.68</v>
      </c>
      <c r="R1114" s="2">
        <v>4</v>
      </c>
      <c r="S1114" s="2">
        <v>4.0583999999999998</v>
      </c>
      <c r="T1114" s="2" t="s">
        <v>129</v>
      </c>
      <c r="U1114" s="2" t="s">
        <v>253</v>
      </c>
    </row>
    <row r="1115" spans="1:21" ht="14.25" customHeight="1" x14ac:dyDescent="0.3">
      <c r="A1115" s="2" t="s">
        <v>3131</v>
      </c>
      <c r="B1115" s="5">
        <v>41772</v>
      </c>
      <c r="C1115" s="2" t="str">
        <f>TEXT(data[[#This Row],[Order Date]],"YYYY")</f>
        <v>2014</v>
      </c>
      <c r="D1115" s="2">
        <v>41778</v>
      </c>
      <c r="E1115" s="2" t="s">
        <v>39</v>
      </c>
      <c r="F1115" s="2" t="s">
        <v>2371</v>
      </c>
      <c r="G1115" s="2" t="s">
        <v>2372</v>
      </c>
      <c r="H1115" s="2" t="s">
        <v>90</v>
      </c>
      <c r="I1115" s="2" t="s">
        <v>25</v>
      </c>
      <c r="J1115" s="2" t="s">
        <v>52</v>
      </c>
      <c r="K1115" s="2" t="s">
        <v>53</v>
      </c>
      <c r="L1115" s="2" t="s">
        <v>54</v>
      </c>
      <c r="M1115" s="2" t="s">
        <v>1892</v>
      </c>
      <c r="N1115" s="2" t="s">
        <v>30</v>
      </c>
      <c r="O1115" s="2" t="s">
        <v>36</v>
      </c>
      <c r="P1115" s="2" t="s">
        <v>1893</v>
      </c>
      <c r="Q1115" s="2">
        <v>279.45600000000002</v>
      </c>
      <c r="R1115" s="2">
        <v>6</v>
      </c>
      <c r="S1115" s="2">
        <v>20.959199999999999</v>
      </c>
      <c r="T1115" s="2" t="s">
        <v>129</v>
      </c>
      <c r="U1115" s="2" t="s">
        <v>161</v>
      </c>
    </row>
    <row r="1116" spans="1:21" ht="14.25" customHeight="1" x14ac:dyDescent="0.3">
      <c r="A1116" s="2" t="s">
        <v>3132</v>
      </c>
      <c r="B1116" s="5">
        <v>42839</v>
      </c>
      <c r="C1116" s="2" t="str">
        <f>TEXT(data[[#This Row],[Order Date]],"YYYY")</f>
        <v>2017</v>
      </c>
      <c r="D1116" s="2">
        <v>42843</v>
      </c>
      <c r="E1116" s="2" t="s">
        <v>39</v>
      </c>
      <c r="F1116" s="2" t="s">
        <v>1938</v>
      </c>
      <c r="G1116" s="2" t="s">
        <v>1939</v>
      </c>
      <c r="H1116" s="2" t="s">
        <v>90</v>
      </c>
      <c r="I1116" s="2" t="s">
        <v>25</v>
      </c>
      <c r="J1116" s="2" t="s">
        <v>1911</v>
      </c>
      <c r="K1116" s="2" t="s">
        <v>1036</v>
      </c>
      <c r="L1116" s="2" t="s">
        <v>28</v>
      </c>
      <c r="M1116" s="2" t="s">
        <v>1175</v>
      </c>
      <c r="N1116" s="2" t="s">
        <v>30</v>
      </c>
      <c r="O1116" s="2" t="s">
        <v>31</v>
      </c>
      <c r="P1116" s="2" t="s">
        <v>1176</v>
      </c>
      <c r="Q1116" s="2">
        <v>198.27199999999999</v>
      </c>
      <c r="R1116" s="2">
        <v>8</v>
      </c>
      <c r="S1116" s="2">
        <v>-32.219200000000001</v>
      </c>
      <c r="T1116" s="2" t="s">
        <v>83</v>
      </c>
      <c r="U1116" s="2" t="s">
        <v>113</v>
      </c>
    </row>
    <row r="1117" spans="1:21" ht="14.25" customHeight="1" x14ac:dyDescent="0.3">
      <c r="A1117" s="2" t="s">
        <v>3133</v>
      </c>
      <c r="B1117" s="5">
        <v>42733</v>
      </c>
      <c r="C1117" s="2" t="str">
        <f>TEXT(data[[#This Row],[Order Date]],"YYYY")</f>
        <v>2016</v>
      </c>
      <c r="D1117" s="2">
        <v>42737</v>
      </c>
      <c r="E1117" s="2" t="s">
        <v>39</v>
      </c>
      <c r="F1117" s="2" t="s">
        <v>824</v>
      </c>
      <c r="G1117" s="2" t="s">
        <v>825</v>
      </c>
      <c r="H1117" s="2" t="s">
        <v>24</v>
      </c>
      <c r="I1117" s="2" t="s">
        <v>25</v>
      </c>
      <c r="J1117" s="2" t="s">
        <v>3134</v>
      </c>
      <c r="K1117" s="2" t="s">
        <v>3135</v>
      </c>
      <c r="L1117" s="2" t="s">
        <v>93</v>
      </c>
      <c r="M1117" s="2" t="s">
        <v>2409</v>
      </c>
      <c r="N1117" s="2" t="s">
        <v>30</v>
      </c>
      <c r="O1117" s="2" t="s">
        <v>56</v>
      </c>
      <c r="P1117" s="2" t="s">
        <v>2410</v>
      </c>
      <c r="Q1117" s="2">
        <v>70.56</v>
      </c>
      <c r="R1117" s="2">
        <v>6</v>
      </c>
      <c r="S1117" s="2">
        <v>23.990400000000001</v>
      </c>
      <c r="T1117" s="2" t="s">
        <v>83</v>
      </c>
      <c r="U1117" s="2" t="s">
        <v>96</v>
      </c>
    </row>
    <row r="1118" spans="1:21" ht="14.25" customHeight="1" x14ac:dyDescent="0.3">
      <c r="A1118" s="2" t="s">
        <v>3136</v>
      </c>
      <c r="B1118" s="5">
        <v>42833</v>
      </c>
      <c r="C1118" s="2" t="str">
        <f>TEXT(data[[#This Row],[Order Date]],"YYYY")</f>
        <v>2017</v>
      </c>
      <c r="D1118" s="2">
        <v>42837</v>
      </c>
      <c r="E1118" s="2" t="s">
        <v>39</v>
      </c>
      <c r="F1118" s="2" t="s">
        <v>3137</v>
      </c>
      <c r="G1118" s="2" t="s">
        <v>3138</v>
      </c>
      <c r="H1118" s="2" t="s">
        <v>90</v>
      </c>
      <c r="I1118" s="2" t="s">
        <v>25</v>
      </c>
      <c r="J1118" s="2" t="s">
        <v>3139</v>
      </c>
      <c r="K1118" s="2" t="s">
        <v>289</v>
      </c>
      <c r="L1118" s="2" t="s">
        <v>93</v>
      </c>
      <c r="M1118" s="2" t="s">
        <v>1957</v>
      </c>
      <c r="N1118" s="2" t="s">
        <v>30</v>
      </c>
      <c r="O1118" s="2" t="s">
        <v>56</v>
      </c>
      <c r="P1118" s="2" t="s">
        <v>1958</v>
      </c>
      <c r="Q1118" s="2">
        <v>273.95999999999998</v>
      </c>
      <c r="R1118" s="2">
        <v>2</v>
      </c>
      <c r="S1118" s="2">
        <v>71.229600000000005</v>
      </c>
      <c r="T1118" s="2" t="s">
        <v>83</v>
      </c>
      <c r="U1118" s="2" t="s">
        <v>113</v>
      </c>
    </row>
    <row r="1119" spans="1:21" ht="14.25" customHeight="1" x14ac:dyDescent="0.3">
      <c r="A1119" s="2" t="s">
        <v>3136</v>
      </c>
      <c r="B1119" s="5">
        <v>42833</v>
      </c>
      <c r="C1119" s="2" t="str">
        <f>TEXT(data[[#This Row],[Order Date]],"YYYY")</f>
        <v>2017</v>
      </c>
      <c r="D1119" s="2">
        <v>42837</v>
      </c>
      <c r="E1119" s="2" t="s">
        <v>39</v>
      </c>
      <c r="F1119" s="2" t="s">
        <v>3137</v>
      </c>
      <c r="G1119" s="2" t="s">
        <v>3138</v>
      </c>
      <c r="H1119" s="2" t="s">
        <v>90</v>
      </c>
      <c r="I1119" s="2" t="s">
        <v>25</v>
      </c>
      <c r="J1119" s="2" t="s">
        <v>3139</v>
      </c>
      <c r="K1119" s="2" t="s">
        <v>289</v>
      </c>
      <c r="L1119" s="2" t="s">
        <v>93</v>
      </c>
      <c r="M1119" s="2" t="s">
        <v>935</v>
      </c>
      <c r="N1119" s="2" t="s">
        <v>30</v>
      </c>
      <c r="O1119" s="2" t="s">
        <v>56</v>
      </c>
      <c r="P1119" s="2" t="s">
        <v>936</v>
      </c>
      <c r="Q1119" s="2">
        <v>306.89999999999998</v>
      </c>
      <c r="R1119" s="2">
        <v>3</v>
      </c>
      <c r="S1119" s="2">
        <v>79.793999999999997</v>
      </c>
      <c r="T1119" s="2" t="s">
        <v>83</v>
      </c>
      <c r="U1119" s="2" t="s">
        <v>113</v>
      </c>
    </row>
    <row r="1120" spans="1:21" ht="14.25" customHeight="1" x14ac:dyDescent="0.3">
      <c r="A1120" s="2" t="s">
        <v>3140</v>
      </c>
      <c r="B1120" s="5">
        <v>42301</v>
      </c>
      <c r="C1120" s="2" t="str">
        <f>TEXT(data[[#This Row],[Order Date]],"YYYY")</f>
        <v>2015</v>
      </c>
      <c r="D1120" s="2">
        <v>42307</v>
      </c>
      <c r="E1120" s="2" t="s">
        <v>39</v>
      </c>
      <c r="F1120" s="2" t="s">
        <v>3141</v>
      </c>
      <c r="G1120" s="2" t="s">
        <v>3142</v>
      </c>
      <c r="H1120" s="2" t="s">
        <v>90</v>
      </c>
      <c r="I1120" s="2" t="s">
        <v>25</v>
      </c>
      <c r="J1120" s="2" t="s">
        <v>101</v>
      </c>
      <c r="K1120" s="2" t="s">
        <v>92</v>
      </c>
      <c r="L1120" s="2" t="s">
        <v>93</v>
      </c>
      <c r="M1120" s="2" t="s">
        <v>317</v>
      </c>
      <c r="N1120" s="2" t="s">
        <v>30</v>
      </c>
      <c r="O1120" s="2" t="s">
        <v>45</v>
      </c>
      <c r="P1120" s="2" t="s">
        <v>318</v>
      </c>
      <c r="Q1120" s="2">
        <v>347.36099999999999</v>
      </c>
      <c r="R1120" s="2">
        <v>7</v>
      </c>
      <c r="S1120" s="2">
        <v>-69.472200000000001</v>
      </c>
      <c r="T1120" s="2" t="s">
        <v>129</v>
      </c>
      <c r="U1120" s="2" t="s">
        <v>48</v>
      </c>
    </row>
    <row r="1121" spans="1:21" ht="14.25" customHeight="1" x14ac:dyDescent="0.3">
      <c r="A1121" s="2" t="s">
        <v>3143</v>
      </c>
      <c r="B1121" s="5">
        <v>41962</v>
      </c>
      <c r="C1121" s="2" t="str">
        <f>TEXT(data[[#This Row],[Order Date]],"YYYY")</f>
        <v>2014</v>
      </c>
      <c r="D1121" s="2">
        <v>41968</v>
      </c>
      <c r="E1121" s="2" t="s">
        <v>39</v>
      </c>
      <c r="F1121" s="2" t="s">
        <v>3144</v>
      </c>
      <c r="G1121" s="2" t="s">
        <v>3145</v>
      </c>
      <c r="H1121" s="2" t="s">
        <v>90</v>
      </c>
      <c r="I1121" s="2" t="s">
        <v>25</v>
      </c>
      <c r="J1121" s="2" t="s">
        <v>199</v>
      </c>
      <c r="K1121" s="2" t="s">
        <v>200</v>
      </c>
      <c r="L1121" s="2" t="s">
        <v>67</v>
      </c>
      <c r="M1121" s="2" t="s">
        <v>1380</v>
      </c>
      <c r="N1121" s="2" t="s">
        <v>30</v>
      </c>
      <c r="O1121" s="2" t="s">
        <v>31</v>
      </c>
      <c r="P1121" s="2" t="s">
        <v>1381</v>
      </c>
      <c r="Q1121" s="2">
        <v>1025.8800000000001</v>
      </c>
      <c r="R1121" s="2">
        <v>6</v>
      </c>
      <c r="S1121" s="2">
        <v>235.95240000000001</v>
      </c>
      <c r="T1121" s="2" t="s">
        <v>129</v>
      </c>
      <c r="U1121" s="2" t="s">
        <v>34</v>
      </c>
    </row>
    <row r="1122" spans="1:21" ht="14.25" customHeight="1" x14ac:dyDescent="0.3">
      <c r="A1122" s="2" t="s">
        <v>3146</v>
      </c>
      <c r="B1122" s="5">
        <v>42637</v>
      </c>
      <c r="C1122" s="2" t="str">
        <f>TEXT(data[[#This Row],[Order Date]],"YYYY")</f>
        <v>2016</v>
      </c>
      <c r="D1122" s="2">
        <v>42637</v>
      </c>
      <c r="E1122" s="2" t="s">
        <v>425</v>
      </c>
      <c r="F1122" s="2" t="s">
        <v>2381</v>
      </c>
      <c r="G1122" s="2" t="s">
        <v>2382</v>
      </c>
      <c r="H1122" s="2" t="s">
        <v>90</v>
      </c>
      <c r="I1122" s="2" t="s">
        <v>25</v>
      </c>
      <c r="J1122" s="2" t="s">
        <v>328</v>
      </c>
      <c r="K1122" s="2" t="s">
        <v>53</v>
      </c>
      <c r="L1122" s="2" t="s">
        <v>54</v>
      </c>
      <c r="M1122" s="2" t="s">
        <v>1834</v>
      </c>
      <c r="N1122" s="2" t="s">
        <v>30</v>
      </c>
      <c r="O1122" s="2" t="s">
        <v>56</v>
      </c>
      <c r="P1122" s="2" t="s">
        <v>1835</v>
      </c>
      <c r="Q1122" s="2">
        <v>63.2</v>
      </c>
      <c r="R1122" s="2">
        <v>5</v>
      </c>
      <c r="S1122" s="2">
        <v>23.384</v>
      </c>
      <c r="T1122" s="2" t="s">
        <v>430</v>
      </c>
      <c r="U1122" s="2" t="s">
        <v>77</v>
      </c>
    </row>
    <row r="1123" spans="1:21" ht="14.25" customHeight="1" x14ac:dyDescent="0.3">
      <c r="A1123" s="2" t="s">
        <v>3147</v>
      </c>
      <c r="B1123" s="5">
        <v>42469</v>
      </c>
      <c r="C1123" s="2" t="str">
        <f>TEXT(data[[#This Row],[Order Date]],"YYYY")</f>
        <v>2016</v>
      </c>
      <c r="D1123" s="2">
        <v>42474</v>
      </c>
      <c r="E1123" s="2" t="s">
        <v>39</v>
      </c>
      <c r="F1123" s="2" t="s">
        <v>2035</v>
      </c>
      <c r="G1123" s="2" t="s">
        <v>2036</v>
      </c>
      <c r="H1123" s="2" t="s">
        <v>24</v>
      </c>
      <c r="I1123" s="2" t="s">
        <v>25</v>
      </c>
      <c r="J1123" s="2" t="s">
        <v>52</v>
      </c>
      <c r="K1123" s="2" t="s">
        <v>53</v>
      </c>
      <c r="L1123" s="2" t="s">
        <v>54</v>
      </c>
      <c r="M1123" s="2" t="s">
        <v>29</v>
      </c>
      <c r="N1123" s="2" t="s">
        <v>30</v>
      </c>
      <c r="O1123" s="2" t="s">
        <v>31</v>
      </c>
      <c r="P1123" s="2" t="s">
        <v>32</v>
      </c>
      <c r="Q1123" s="2">
        <v>556.66499999999996</v>
      </c>
      <c r="R1123" s="2">
        <v>5</v>
      </c>
      <c r="S1123" s="2">
        <v>6.5490000000000004</v>
      </c>
      <c r="T1123" s="2" t="s">
        <v>58</v>
      </c>
      <c r="U1123" s="2" t="s">
        <v>113</v>
      </c>
    </row>
    <row r="1124" spans="1:21" ht="14.25" customHeight="1" x14ac:dyDescent="0.3">
      <c r="A1124" s="2" t="s">
        <v>3148</v>
      </c>
      <c r="B1124" s="5">
        <v>42707</v>
      </c>
      <c r="C1124" s="2" t="str">
        <f>TEXT(data[[#This Row],[Order Date]],"YYYY")</f>
        <v>2016</v>
      </c>
      <c r="D1124" s="2">
        <v>42710</v>
      </c>
      <c r="E1124" s="2" t="s">
        <v>87</v>
      </c>
      <c r="F1124" s="2" t="s">
        <v>1309</v>
      </c>
      <c r="G1124" s="2" t="s">
        <v>1310</v>
      </c>
      <c r="H1124" s="2" t="s">
        <v>24</v>
      </c>
      <c r="I1124" s="2" t="s">
        <v>25</v>
      </c>
      <c r="J1124" s="2" t="s">
        <v>52</v>
      </c>
      <c r="K1124" s="2" t="s">
        <v>53</v>
      </c>
      <c r="L1124" s="2" t="s">
        <v>54</v>
      </c>
      <c r="M1124" s="2" t="s">
        <v>2648</v>
      </c>
      <c r="N1124" s="2" t="s">
        <v>30</v>
      </c>
      <c r="O1124" s="2" t="s">
        <v>56</v>
      </c>
      <c r="P1124" s="2" t="s">
        <v>2649</v>
      </c>
      <c r="Q1124" s="2">
        <v>111.9</v>
      </c>
      <c r="R1124" s="2">
        <v>6</v>
      </c>
      <c r="S1124" s="2">
        <v>51.473999999999997</v>
      </c>
      <c r="T1124" s="2" t="s">
        <v>33</v>
      </c>
      <c r="U1124" s="2" t="s">
        <v>96</v>
      </c>
    </row>
    <row r="1125" spans="1:21" ht="14.25" customHeight="1" x14ac:dyDescent="0.3">
      <c r="A1125" s="2" t="s">
        <v>3149</v>
      </c>
      <c r="B1125" s="5">
        <v>42535</v>
      </c>
      <c r="C1125" s="2" t="str">
        <f>TEXT(data[[#This Row],[Order Date]],"YYYY")</f>
        <v>2016</v>
      </c>
      <c r="D1125" s="2">
        <v>42535</v>
      </c>
      <c r="E1125" s="2" t="s">
        <v>425</v>
      </c>
      <c r="F1125" s="2" t="s">
        <v>3150</v>
      </c>
      <c r="G1125" s="2" t="s">
        <v>3151</v>
      </c>
      <c r="H1125" s="2" t="s">
        <v>100</v>
      </c>
      <c r="I1125" s="2" t="s">
        <v>25</v>
      </c>
      <c r="J1125" s="2" t="s">
        <v>52</v>
      </c>
      <c r="K1125" s="2" t="s">
        <v>53</v>
      </c>
      <c r="L1125" s="2" t="s">
        <v>54</v>
      </c>
      <c r="M1125" s="2" t="s">
        <v>2622</v>
      </c>
      <c r="N1125" s="2" t="s">
        <v>30</v>
      </c>
      <c r="O1125" s="2" t="s">
        <v>31</v>
      </c>
      <c r="P1125" s="2" t="s">
        <v>2623</v>
      </c>
      <c r="Q1125" s="2">
        <v>599.16499999999996</v>
      </c>
      <c r="R1125" s="2">
        <v>5</v>
      </c>
      <c r="S1125" s="2">
        <v>35.244999999999997</v>
      </c>
      <c r="T1125" s="2" t="s">
        <v>430</v>
      </c>
      <c r="U1125" s="2" t="s">
        <v>59</v>
      </c>
    </row>
    <row r="1126" spans="1:21" ht="14.25" customHeight="1" x14ac:dyDescent="0.3">
      <c r="A1126" s="2" t="s">
        <v>3152</v>
      </c>
      <c r="B1126" s="5">
        <v>41887</v>
      </c>
      <c r="C1126" s="2" t="str">
        <f>TEXT(data[[#This Row],[Order Date]],"YYYY")</f>
        <v>2014</v>
      </c>
      <c r="D1126" s="2">
        <v>41889</v>
      </c>
      <c r="E1126" s="2" t="s">
        <v>87</v>
      </c>
      <c r="F1126" s="2" t="s">
        <v>2393</v>
      </c>
      <c r="G1126" s="2" t="s">
        <v>2394</v>
      </c>
      <c r="H1126" s="2" t="s">
        <v>24</v>
      </c>
      <c r="I1126" s="2" t="s">
        <v>25</v>
      </c>
      <c r="J1126" s="2" t="s">
        <v>789</v>
      </c>
      <c r="K1126" s="2" t="s">
        <v>43</v>
      </c>
      <c r="L1126" s="2" t="s">
        <v>28</v>
      </c>
      <c r="M1126" s="2" t="s">
        <v>400</v>
      </c>
      <c r="N1126" s="2" t="s">
        <v>30</v>
      </c>
      <c r="O1126" s="2" t="s">
        <v>56</v>
      </c>
      <c r="P1126" s="2" t="s">
        <v>401</v>
      </c>
      <c r="Q1126" s="2">
        <v>31.984000000000002</v>
      </c>
      <c r="R1126" s="2">
        <v>2</v>
      </c>
      <c r="S1126" s="2">
        <v>1.9990000000000001</v>
      </c>
      <c r="T1126" s="2" t="s">
        <v>70</v>
      </c>
      <c r="U1126" s="2" t="s">
        <v>77</v>
      </c>
    </row>
    <row r="1127" spans="1:21" ht="14.25" customHeight="1" x14ac:dyDescent="0.3">
      <c r="A1127" s="2" t="s">
        <v>3153</v>
      </c>
      <c r="B1127" s="5">
        <v>41825</v>
      </c>
      <c r="C1127" s="2" t="str">
        <f>TEXT(data[[#This Row],[Order Date]],"YYYY")</f>
        <v>2014</v>
      </c>
      <c r="D1127" s="2">
        <v>41828</v>
      </c>
      <c r="E1127" s="2" t="s">
        <v>87</v>
      </c>
      <c r="F1127" s="2" t="s">
        <v>3154</v>
      </c>
      <c r="G1127" s="2" t="s">
        <v>3155</v>
      </c>
      <c r="H1127" s="2" t="s">
        <v>90</v>
      </c>
      <c r="I1127" s="2" t="s">
        <v>25</v>
      </c>
      <c r="J1127" s="2" t="s">
        <v>3156</v>
      </c>
      <c r="K1127" s="2" t="s">
        <v>43</v>
      </c>
      <c r="L1127" s="2" t="s">
        <v>28</v>
      </c>
      <c r="M1127" s="2" t="s">
        <v>1482</v>
      </c>
      <c r="N1127" s="2" t="s">
        <v>30</v>
      </c>
      <c r="O1127" s="2" t="s">
        <v>56</v>
      </c>
      <c r="P1127" s="2" t="s">
        <v>1483</v>
      </c>
      <c r="Q1127" s="2">
        <v>19.52</v>
      </c>
      <c r="R1127" s="2">
        <v>2</v>
      </c>
      <c r="S1127" s="2">
        <v>5.3680000000000003</v>
      </c>
      <c r="T1127" s="2" t="s">
        <v>33</v>
      </c>
      <c r="U1127" s="2" t="s">
        <v>71</v>
      </c>
    </row>
    <row r="1128" spans="1:21" ht="14.25" customHeight="1" x14ac:dyDescent="0.3">
      <c r="A1128" s="2" t="s">
        <v>3153</v>
      </c>
      <c r="B1128" s="5">
        <v>41825</v>
      </c>
      <c r="C1128" s="2" t="str">
        <f>TEXT(data[[#This Row],[Order Date]],"YYYY")</f>
        <v>2014</v>
      </c>
      <c r="D1128" s="2">
        <v>41828</v>
      </c>
      <c r="E1128" s="2" t="s">
        <v>87</v>
      </c>
      <c r="F1128" s="2" t="s">
        <v>3154</v>
      </c>
      <c r="G1128" s="2" t="s">
        <v>3155</v>
      </c>
      <c r="H1128" s="2" t="s">
        <v>90</v>
      </c>
      <c r="I1128" s="2" t="s">
        <v>25</v>
      </c>
      <c r="J1128" s="2" t="s">
        <v>3156</v>
      </c>
      <c r="K1128" s="2" t="s">
        <v>43</v>
      </c>
      <c r="L1128" s="2" t="s">
        <v>28</v>
      </c>
      <c r="M1128" s="2" t="s">
        <v>3157</v>
      </c>
      <c r="N1128" s="2" t="s">
        <v>30</v>
      </c>
      <c r="O1128" s="2" t="s">
        <v>56</v>
      </c>
      <c r="P1128" s="2" t="s">
        <v>3158</v>
      </c>
      <c r="Q1128" s="2">
        <v>213.21600000000001</v>
      </c>
      <c r="R1128" s="2">
        <v>3</v>
      </c>
      <c r="S1128" s="2">
        <v>15.991199999999999</v>
      </c>
      <c r="T1128" s="2" t="s">
        <v>33</v>
      </c>
      <c r="U1128" s="2" t="s">
        <v>71</v>
      </c>
    </row>
    <row r="1129" spans="1:21" ht="14.25" customHeight="1" x14ac:dyDescent="0.3">
      <c r="A1129" s="2" t="s">
        <v>3159</v>
      </c>
      <c r="B1129" s="5">
        <v>41894</v>
      </c>
      <c r="C1129" s="2" t="str">
        <f>TEXT(data[[#This Row],[Order Date]],"YYYY")</f>
        <v>2014</v>
      </c>
      <c r="D1129" s="2">
        <v>41901</v>
      </c>
      <c r="E1129" s="2" t="s">
        <v>39</v>
      </c>
      <c r="F1129" s="2" t="s">
        <v>3160</v>
      </c>
      <c r="G1129" s="2" t="s">
        <v>3161</v>
      </c>
      <c r="H1129" s="2" t="s">
        <v>100</v>
      </c>
      <c r="I1129" s="2" t="s">
        <v>25</v>
      </c>
      <c r="J1129" s="2" t="s">
        <v>3162</v>
      </c>
      <c r="K1129" s="2" t="s">
        <v>3135</v>
      </c>
      <c r="L1129" s="2" t="s">
        <v>93</v>
      </c>
      <c r="M1129" s="2" t="s">
        <v>2318</v>
      </c>
      <c r="N1129" s="2" t="s">
        <v>30</v>
      </c>
      <c r="O1129" s="2" t="s">
        <v>56</v>
      </c>
      <c r="P1129" s="2" t="s">
        <v>2319</v>
      </c>
      <c r="Q1129" s="2">
        <v>40.56</v>
      </c>
      <c r="R1129" s="2">
        <v>2</v>
      </c>
      <c r="S1129" s="2">
        <v>12.979200000000001</v>
      </c>
      <c r="T1129" s="2" t="s">
        <v>47</v>
      </c>
      <c r="U1129" s="2" t="s">
        <v>77</v>
      </c>
    </row>
    <row r="1130" spans="1:21" ht="14.25" customHeight="1" x14ac:dyDescent="0.3">
      <c r="A1130" s="2" t="s">
        <v>3163</v>
      </c>
      <c r="B1130" s="5">
        <v>43098</v>
      </c>
      <c r="C1130" s="2" t="str">
        <f>TEXT(data[[#This Row],[Order Date]],"YYYY")</f>
        <v>2017</v>
      </c>
      <c r="D1130" s="2">
        <v>43102</v>
      </c>
      <c r="E1130" s="2" t="s">
        <v>39</v>
      </c>
      <c r="F1130" s="2" t="s">
        <v>263</v>
      </c>
      <c r="G1130" s="2" t="s">
        <v>264</v>
      </c>
      <c r="H1130" s="2" t="s">
        <v>24</v>
      </c>
      <c r="I1130" s="2" t="s">
        <v>25</v>
      </c>
      <c r="J1130" s="2" t="s">
        <v>845</v>
      </c>
      <c r="K1130" s="2" t="s">
        <v>192</v>
      </c>
      <c r="L1130" s="2" t="s">
        <v>54</v>
      </c>
      <c r="M1130" s="2" t="s">
        <v>1590</v>
      </c>
      <c r="N1130" s="2" t="s">
        <v>30</v>
      </c>
      <c r="O1130" s="2" t="s">
        <v>56</v>
      </c>
      <c r="P1130" s="2" t="s">
        <v>1591</v>
      </c>
      <c r="Q1130" s="2">
        <v>68.459999999999994</v>
      </c>
      <c r="R1130" s="2">
        <v>2</v>
      </c>
      <c r="S1130" s="2">
        <v>20.538</v>
      </c>
      <c r="T1130" s="2" t="s">
        <v>83</v>
      </c>
      <c r="U1130" s="2" t="s">
        <v>96</v>
      </c>
    </row>
    <row r="1131" spans="1:21" ht="14.25" customHeight="1" x14ac:dyDescent="0.3">
      <c r="A1131" s="2" t="s">
        <v>3164</v>
      </c>
      <c r="B1131" s="5">
        <v>42982</v>
      </c>
      <c r="C1131" s="2" t="str">
        <f>TEXT(data[[#This Row],[Order Date]],"YYYY")</f>
        <v>2017</v>
      </c>
      <c r="D1131" s="2">
        <v>42984</v>
      </c>
      <c r="E1131" s="2" t="s">
        <v>21</v>
      </c>
      <c r="F1131" s="2" t="s">
        <v>491</v>
      </c>
      <c r="G1131" s="2" t="s">
        <v>492</v>
      </c>
      <c r="H1131" s="2" t="s">
        <v>24</v>
      </c>
      <c r="I1131" s="2" t="s">
        <v>25</v>
      </c>
      <c r="J1131" s="2" t="s">
        <v>328</v>
      </c>
      <c r="K1131" s="2" t="s">
        <v>53</v>
      </c>
      <c r="L1131" s="2" t="s">
        <v>54</v>
      </c>
      <c r="M1131" s="2" t="s">
        <v>3165</v>
      </c>
      <c r="N1131" s="2" t="s">
        <v>30</v>
      </c>
      <c r="O1131" s="2" t="s">
        <v>45</v>
      </c>
      <c r="P1131" s="2" t="s">
        <v>3166</v>
      </c>
      <c r="Q1131" s="2">
        <v>1478.2719999999999</v>
      </c>
      <c r="R1131" s="2">
        <v>8</v>
      </c>
      <c r="S1131" s="2">
        <v>92.391999999999996</v>
      </c>
      <c r="T1131" s="2" t="s">
        <v>70</v>
      </c>
      <c r="U1131" s="2" t="s">
        <v>77</v>
      </c>
    </row>
    <row r="1132" spans="1:21" ht="14.25" customHeight="1" x14ac:dyDescent="0.3">
      <c r="A1132" s="2" t="s">
        <v>3167</v>
      </c>
      <c r="B1132" s="5">
        <v>43006</v>
      </c>
      <c r="C1132" s="2" t="str">
        <f>TEXT(data[[#This Row],[Order Date]],"YYYY")</f>
        <v>2017</v>
      </c>
      <c r="D1132" s="2">
        <v>43012</v>
      </c>
      <c r="E1132" s="2" t="s">
        <v>39</v>
      </c>
      <c r="F1132" s="2" t="s">
        <v>633</v>
      </c>
      <c r="G1132" s="2" t="s">
        <v>634</v>
      </c>
      <c r="H1132" s="2" t="s">
        <v>24</v>
      </c>
      <c r="I1132" s="2" t="s">
        <v>25</v>
      </c>
      <c r="J1132" s="2" t="s">
        <v>52</v>
      </c>
      <c r="K1132" s="2" t="s">
        <v>53</v>
      </c>
      <c r="L1132" s="2" t="s">
        <v>54</v>
      </c>
      <c r="M1132" s="2" t="s">
        <v>111</v>
      </c>
      <c r="N1132" s="2" t="s">
        <v>30</v>
      </c>
      <c r="O1132" s="2" t="s">
        <v>56</v>
      </c>
      <c r="P1132" s="2" t="s">
        <v>112</v>
      </c>
      <c r="Q1132" s="2">
        <v>9.24</v>
      </c>
      <c r="R1132" s="2">
        <v>3</v>
      </c>
      <c r="S1132" s="2">
        <v>4.4352</v>
      </c>
      <c r="T1132" s="2" t="s">
        <v>129</v>
      </c>
      <c r="U1132" s="2" t="s">
        <v>77</v>
      </c>
    </row>
    <row r="1133" spans="1:21" ht="14.25" customHeight="1" x14ac:dyDescent="0.3">
      <c r="A1133" s="2" t="s">
        <v>3168</v>
      </c>
      <c r="B1133" s="5">
        <v>41658</v>
      </c>
      <c r="C1133" s="2" t="str">
        <f>TEXT(data[[#This Row],[Order Date]],"YYYY")</f>
        <v>2014</v>
      </c>
      <c r="D1133" s="2">
        <v>41659</v>
      </c>
      <c r="E1133" s="2" t="s">
        <v>87</v>
      </c>
      <c r="F1133" s="2" t="s">
        <v>2637</v>
      </c>
      <c r="G1133" s="2" t="s">
        <v>2638</v>
      </c>
      <c r="H1133" s="2" t="s">
        <v>24</v>
      </c>
      <c r="I1133" s="2" t="s">
        <v>25</v>
      </c>
      <c r="J1133" s="2" t="s">
        <v>1948</v>
      </c>
      <c r="K1133" s="2" t="s">
        <v>520</v>
      </c>
      <c r="L1133" s="2" t="s">
        <v>54</v>
      </c>
      <c r="M1133" s="2" t="s">
        <v>456</v>
      </c>
      <c r="N1133" s="2" t="s">
        <v>30</v>
      </c>
      <c r="O1133" s="2" t="s">
        <v>31</v>
      </c>
      <c r="P1133" s="2" t="s">
        <v>457</v>
      </c>
      <c r="Q1133" s="2">
        <v>181.47</v>
      </c>
      <c r="R1133" s="2">
        <v>5</v>
      </c>
      <c r="S1133" s="2">
        <v>-320.59699999999998</v>
      </c>
      <c r="T1133" s="2" t="s">
        <v>123</v>
      </c>
      <c r="U1133" s="2" t="s">
        <v>169</v>
      </c>
    </row>
    <row r="1134" spans="1:21" ht="14.25" customHeight="1" x14ac:dyDescent="0.3">
      <c r="A1134" s="2" t="s">
        <v>3169</v>
      </c>
      <c r="B1134" s="5">
        <v>42530</v>
      </c>
      <c r="C1134" s="2" t="str">
        <f>TEXT(data[[#This Row],[Order Date]],"YYYY")</f>
        <v>2016</v>
      </c>
      <c r="D1134" s="2">
        <v>42535</v>
      </c>
      <c r="E1134" s="2" t="s">
        <v>39</v>
      </c>
      <c r="F1134" s="2" t="s">
        <v>3170</v>
      </c>
      <c r="G1134" s="2" t="s">
        <v>3171</v>
      </c>
      <c r="H1134" s="2" t="s">
        <v>24</v>
      </c>
      <c r="I1134" s="2" t="s">
        <v>25</v>
      </c>
      <c r="J1134" s="2" t="s">
        <v>328</v>
      </c>
      <c r="K1134" s="2" t="s">
        <v>53</v>
      </c>
      <c r="L1134" s="2" t="s">
        <v>54</v>
      </c>
      <c r="M1134" s="2" t="s">
        <v>68</v>
      </c>
      <c r="N1134" s="2" t="s">
        <v>30</v>
      </c>
      <c r="O1134" s="2" t="s">
        <v>36</v>
      </c>
      <c r="P1134" s="2" t="s">
        <v>69</v>
      </c>
      <c r="Q1134" s="2">
        <v>122.352</v>
      </c>
      <c r="R1134" s="2">
        <v>3</v>
      </c>
      <c r="S1134" s="2">
        <v>13.7646</v>
      </c>
      <c r="T1134" s="2" t="s">
        <v>58</v>
      </c>
      <c r="U1134" s="2" t="s">
        <v>59</v>
      </c>
    </row>
    <row r="1135" spans="1:21" ht="14.25" customHeight="1" x14ac:dyDescent="0.3">
      <c r="A1135" s="2" t="s">
        <v>3172</v>
      </c>
      <c r="B1135" s="5">
        <v>41908</v>
      </c>
      <c r="C1135" s="2" t="str">
        <f>TEXT(data[[#This Row],[Order Date]],"YYYY")</f>
        <v>2014</v>
      </c>
      <c r="D1135" s="2">
        <v>41909</v>
      </c>
      <c r="E1135" s="2" t="s">
        <v>87</v>
      </c>
      <c r="F1135" s="2" t="s">
        <v>2271</v>
      </c>
      <c r="G1135" s="2" t="s">
        <v>2272</v>
      </c>
      <c r="H1135" s="2" t="s">
        <v>100</v>
      </c>
      <c r="I1135" s="2" t="s">
        <v>25</v>
      </c>
      <c r="J1135" s="2" t="s">
        <v>639</v>
      </c>
      <c r="K1135" s="2" t="s">
        <v>53</v>
      </c>
      <c r="L1135" s="2" t="s">
        <v>54</v>
      </c>
      <c r="M1135" s="2" t="s">
        <v>35</v>
      </c>
      <c r="N1135" s="2" t="s">
        <v>30</v>
      </c>
      <c r="O1135" s="2" t="s">
        <v>36</v>
      </c>
      <c r="P1135" s="2" t="s">
        <v>37</v>
      </c>
      <c r="Q1135" s="2">
        <v>585.55200000000002</v>
      </c>
      <c r="R1135" s="2">
        <v>3</v>
      </c>
      <c r="S1135" s="2">
        <v>73.194000000000003</v>
      </c>
      <c r="T1135" s="2" t="s">
        <v>123</v>
      </c>
      <c r="U1135" s="2" t="s">
        <v>77</v>
      </c>
    </row>
    <row r="1136" spans="1:21" ht="14.25" customHeight="1" x14ac:dyDescent="0.3">
      <c r="A1136" s="2" t="s">
        <v>3173</v>
      </c>
      <c r="B1136" s="5">
        <v>43088</v>
      </c>
      <c r="C1136" s="2" t="str">
        <f>TEXT(data[[#This Row],[Order Date]],"YYYY")</f>
        <v>2017</v>
      </c>
      <c r="D1136" s="2">
        <v>43092</v>
      </c>
      <c r="E1136" s="2" t="s">
        <v>39</v>
      </c>
      <c r="F1136" s="2" t="s">
        <v>2384</v>
      </c>
      <c r="G1136" s="2" t="s">
        <v>2385</v>
      </c>
      <c r="H1136" s="2" t="s">
        <v>24</v>
      </c>
      <c r="I1136" s="2" t="s">
        <v>25</v>
      </c>
      <c r="J1136" s="2" t="s">
        <v>558</v>
      </c>
      <c r="K1136" s="2" t="s">
        <v>180</v>
      </c>
      <c r="L1136" s="2" t="s">
        <v>54</v>
      </c>
      <c r="M1136" s="2" t="s">
        <v>2425</v>
      </c>
      <c r="N1136" s="2" t="s">
        <v>30</v>
      </c>
      <c r="O1136" s="2" t="s">
        <v>56</v>
      </c>
      <c r="P1136" s="2" t="s">
        <v>2426</v>
      </c>
      <c r="Q1136" s="2">
        <v>13.36</v>
      </c>
      <c r="R1136" s="2">
        <v>5</v>
      </c>
      <c r="S1136" s="2">
        <v>4.008</v>
      </c>
      <c r="T1136" s="2" t="s">
        <v>83</v>
      </c>
      <c r="U1136" s="2" t="s">
        <v>96</v>
      </c>
    </row>
    <row r="1137" spans="1:21" ht="14.25" customHeight="1" x14ac:dyDescent="0.3">
      <c r="A1137" s="2" t="s">
        <v>3173</v>
      </c>
      <c r="B1137" s="5">
        <v>43088</v>
      </c>
      <c r="C1137" s="2" t="str">
        <f>TEXT(data[[#This Row],[Order Date]],"YYYY")</f>
        <v>2017</v>
      </c>
      <c r="D1137" s="2">
        <v>43092</v>
      </c>
      <c r="E1137" s="2" t="s">
        <v>39</v>
      </c>
      <c r="F1137" s="2" t="s">
        <v>2384</v>
      </c>
      <c r="G1137" s="2" t="s">
        <v>2385</v>
      </c>
      <c r="H1137" s="2" t="s">
        <v>24</v>
      </c>
      <c r="I1137" s="2" t="s">
        <v>25</v>
      </c>
      <c r="J1137" s="2" t="s">
        <v>558</v>
      </c>
      <c r="K1137" s="2" t="s">
        <v>180</v>
      </c>
      <c r="L1137" s="2" t="s">
        <v>54</v>
      </c>
      <c r="M1137" s="2" t="s">
        <v>1603</v>
      </c>
      <c r="N1137" s="2" t="s">
        <v>30</v>
      </c>
      <c r="O1137" s="2" t="s">
        <v>31</v>
      </c>
      <c r="P1137" s="2" t="s">
        <v>1604</v>
      </c>
      <c r="Q1137" s="2">
        <v>102.018</v>
      </c>
      <c r="R1137" s="2">
        <v>7</v>
      </c>
      <c r="S1137" s="2">
        <v>-183.63239999999999</v>
      </c>
      <c r="T1137" s="2" t="s">
        <v>83</v>
      </c>
      <c r="U1137" s="2" t="s">
        <v>96</v>
      </c>
    </row>
    <row r="1138" spans="1:21" ht="14.25" customHeight="1" x14ac:dyDescent="0.3">
      <c r="A1138" s="2" t="s">
        <v>3174</v>
      </c>
      <c r="B1138" s="5">
        <v>42765</v>
      </c>
      <c r="C1138" s="2" t="str">
        <f>TEXT(data[[#This Row],[Order Date]],"YYYY")</f>
        <v>2017</v>
      </c>
      <c r="D1138" s="2">
        <v>42770</v>
      </c>
      <c r="E1138" s="2" t="s">
        <v>39</v>
      </c>
      <c r="F1138" s="2" t="s">
        <v>73</v>
      </c>
      <c r="G1138" s="2" t="s">
        <v>74</v>
      </c>
      <c r="H1138" s="2" t="s">
        <v>24</v>
      </c>
      <c r="I1138" s="2" t="s">
        <v>25</v>
      </c>
      <c r="J1138" s="2" t="s">
        <v>1006</v>
      </c>
      <c r="K1138" s="2" t="s">
        <v>43</v>
      </c>
      <c r="L1138" s="2" t="s">
        <v>28</v>
      </c>
      <c r="M1138" s="2" t="s">
        <v>3175</v>
      </c>
      <c r="N1138" s="2" t="s">
        <v>30</v>
      </c>
      <c r="O1138" s="2" t="s">
        <v>36</v>
      </c>
      <c r="P1138" s="2" t="s">
        <v>3176</v>
      </c>
      <c r="Q1138" s="2">
        <v>419.13600000000002</v>
      </c>
      <c r="R1138" s="2">
        <v>4</v>
      </c>
      <c r="S1138" s="2">
        <v>-68.1096</v>
      </c>
      <c r="T1138" s="2" t="s">
        <v>58</v>
      </c>
      <c r="U1138" s="2" t="s">
        <v>169</v>
      </c>
    </row>
    <row r="1139" spans="1:21" ht="14.25" customHeight="1" x14ac:dyDescent="0.3">
      <c r="A1139" s="2" t="s">
        <v>3177</v>
      </c>
      <c r="B1139" s="5">
        <v>42826</v>
      </c>
      <c r="C1139" s="2" t="str">
        <f>TEXT(data[[#This Row],[Order Date]],"YYYY")</f>
        <v>2017</v>
      </c>
      <c r="D1139" s="2">
        <v>42829</v>
      </c>
      <c r="E1139" s="2" t="s">
        <v>21</v>
      </c>
      <c r="F1139" s="2" t="s">
        <v>1856</v>
      </c>
      <c r="G1139" s="2" t="s">
        <v>1857</v>
      </c>
      <c r="H1139" s="2" t="s">
        <v>90</v>
      </c>
      <c r="I1139" s="2" t="s">
        <v>25</v>
      </c>
      <c r="J1139" s="2" t="s">
        <v>606</v>
      </c>
      <c r="K1139" s="2" t="s">
        <v>43</v>
      </c>
      <c r="L1139" s="2" t="s">
        <v>28</v>
      </c>
      <c r="M1139" s="2" t="s">
        <v>1617</v>
      </c>
      <c r="N1139" s="2" t="s">
        <v>30</v>
      </c>
      <c r="O1139" s="2" t="s">
        <v>36</v>
      </c>
      <c r="P1139" s="2" t="s">
        <v>1618</v>
      </c>
      <c r="Q1139" s="2">
        <v>218.352</v>
      </c>
      <c r="R1139" s="2">
        <v>3</v>
      </c>
      <c r="S1139" s="2">
        <v>-19.105799999999999</v>
      </c>
      <c r="T1139" s="2" t="s">
        <v>33</v>
      </c>
      <c r="U1139" s="2" t="s">
        <v>113</v>
      </c>
    </row>
    <row r="1140" spans="1:21" ht="14.25" customHeight="1" x14ac:dyDescent="0.3">
      <c r="A1140" s="2" t="s">
        <v>3178</v>
      </c>
      <c r="B1140" s="5">
        <v>41971</v>
      </c>
      <c r="C1140" s="2" t="str">
        <f>TEXT(data[[#This Row],[Order Date]],"YYYY")</f>
        <v>2014</v>
      </c>
      <c r="D1140" s="2">
        <v>41971</v>
      </c>
      <c r="E1140" s="2" t="s">
        <v>425</v>
      </c>
      <c r="F1140" s="2" t="s">
        <v>2596</v>
      </c>
      <c r="G1140" s="2" t="s">
        <v>2597</v>
      </c>
      <c r="H1140" s="2" t="s">
        <v>100</v>
      </c>
      <c r="I1140" s="2" t="s">
        <v>25</v>
      </c>
      <c r="J1140" s="2" t="s">
        <v>328</v>
      </c>
      <c r="K1140" s="2" t="s">
        <v>53</v>
      </c>
      <c r="L1140" s="2" t="s">
        <v>54</v>
      </c>
      <c r="M1140" s="2" t="s">
        <v>1474</v>
      </c>
      <c r="N1140" s="2" t="s">
        <v>30</v>
      </c>
      <c r="O1140" s="2" t="s">
        <v>31</v>
      </c>
      <c r="P1140" s="2" t="s">
        <v>1475</v>
      </c>
      <c r="Q1140" s="2">
        <v>411.33199999999999</v>
      </c>
      <c r="R1140" s="2">
        <v>4</v>
      </c>
      <c r="S1140" s="2">
        <v>-4.8391999999999999</v>
      </c>
      <c r="T1140" s="2" t="s">
        <v>430</v>
      </c>
      <c r="U1140" s="2" t="s">
        <v>34</v>
      </c>
    </row>
    <row r="1141" spans="1:21" ht="14.25" customHeight="1" x14ac:dyDescent="0.3">
      <c r="A1141" s="2" t="s">
        <v>3179</v>
      </c>
      <c r="B1141" s="5">
        <v>42931</v>
      </c>
      <c r="C1141" s="2" t="str">
        <f>TEXT(data[[#This Row],[Order Date]],"YYYY")</f>
        <v>2017</v>
      </c>
      <c r="D1141" s="2">
        <v>42934</v>
      </c>
      <c r="E1141" s="2" t="s">
        <v>21</v>
      </c>
      <c r="F1141" s="2" t="s">
        <v>1441</v>
      </c>
      <c r="G1141" s="2" t="s">
        <v>1442</v>
      </c>
      <c r="H1141" s="2" t="s">
        <v>24</v>
      </c>
      <c r="I1141" s="2" t="s">
        <v>25</v>
      </c>
      <c r="J1141" s="2" t="s">
        <v>173</v>
      </c>
      <c r="K1141" s="2" t="s">
        <v>120</v>
      </c>
      <c r="L1141" s="2" t="s">
        <v>67</v>
      </c>
      <c r="M1141" s="2" t="s">
        <v>1747</v>
      </c>
      <c r="N1141" s="2" t="s">
        <v>30</v>
      </c>
      <c r="O1141" s="2" t="s">
        <v>36</v>
      </c>
      <c r="P1141" s="2" t="s">
        <v>1748</v>
      </c>
      <c r="Q1141" s="2">
        <v>664.14599999999996</v>
      </c>
      <c r="R1141" s="2">
        <v>6</v>
      </c>
      <c r="S1141" s="2">
        <v>88.552800000000005</v>
      </c>
      <c r="T1141" s="2" t="s">
        <v>33</v>
      </c>
      <c r="U1141" s="2" t="s">
        <v>71</v>
      </c>
    </row>
    <row r="1142" spans="1:21" ht="14.25" customHeight="1" x14ac:dyDescent="0.3">
      <c r="A1142" s="2" t="s">
        <v>3180</v>
      </c>
      <c r="B1142" s="5">
        <v>43041</v>
      </c>
      <c r="C1142" s="2" t="str">
        <f>TEXT(data[[#This Row],[Order Date]],"YYYY")</f>
        <v>2017</v>
      </c>
      <c r="D1142" s="2">
        <v>43045</v>
      </c>
      <c r="E1142" s="2" t="s">
        <v>39</v>
      </c>
      <c r="F1142" s="2" t="s">
        <v>3181</v>
      </c>
      <c r="G1142" s="2" t="s">
        <v>3182</v>
      </c>
      <c r="H1142" s="2" t="s">
        <v>90</v>
      </c>
      <c r="I1142" s="2" t="s">
        <v>25</v>
      </c>
      <c r="J1142" s="2" t="s">
        <v>65</v>
      </c>
      <c r="K1142" s="2" t="s">
        <v>66</v>
      </c>
      <c r="L1142" s="2" t="s">
        <v>67</v>
      </c>
      <c r="M1142" s="2" t="s">
        <v>1980</v>
      </c>
      <c r="N1142" s="2" t="s">
        <v>30</v>
      </c>
      <c r="O1142" s="2" t="s">
        <v>56</v>
      </c>
      <c r="P1142" s="2" t="s">
        <v>1981</v>
      </c>
      <c r="Q1142" s="2">
        <v>3.3119999999999998</v>
      </c>
      <c r="R1142" s="2">
        <v>1</v>
      </c>
      <c r="S1142" s="2">
        <v>0.66239999999999999</v>
      </c>
      <c r="T1142" s="2" t="s">
        <v>83</v>
      </c>
      <c r="U1142" s="2" t="s">
        <v>34</v>
      </c>
    </row>
    <row r="1143" spans="1:21" ht="14.25" customHeight="1" x14ac:dyDescent="0.3">
      <c r="A1143" s="2" t="s">
        <v>3183</v>
      </c>
      <c r="B1143" s="5">
        <v>42285</v>
      </c>
      <c r="C1143" s="2" t="str">
        <f>TEXT(data[[#This Row],[Order Date]],"YYYY")</f>
        <v>2015</v>
      </c>
      <c r="D1143" s="2">
        <v>42289</v>
      </c>
      <c r="E1143" s="2" t="s">
        <v>39</v>
      </c>
      <c r="F1143" s="2" t="s">
        <v>1300</v>
      </c>
      <c r="G1143" s="2" t="s">
        <v>1301</v>
      </c>
      <c r="H1143" s="2" t="s">
        <v>24</v>
      </c>
      <c r="I1143" s="2" t="s">
        <v>25</v>
      </c>
      <c r="J1143" s="2" t="s">
        <v>328</v>
      </c>
      <c r="K1143" s="2" t="s">
        <v>53</v>
      </c>
      <c r="L1143" s="2" t="s">
        <v>54</v>
      </c>
      <c r="M1143" s="2" t="s">
        <v>389</v>
      </c>
      <c r="N1143" s="2" t="s">
        <v>30</v>
      </c>
      <c r="O1143" s="2" t="s">
        <v>56</v>
      </c>
      <c r="P1143" s="2" t="s">
        <v>390</v>
      </c>
      <c r="Q1143" s="2">
        <v>145.9</v>
      </c>
      <c r="R1143" s="2">
        <v>5</v>
      </c>
      <c r="S1143" s="2">
        <v>62.737000000000002</v>
      </c>
      <c r="T1143" s="2" t="s">
        <v>83</v>
      </c>
      <c r="U1143" s="2" t="s">
        <v>48</v>
      </c>
    </row>
    <row r="1144" spans="1:21" ht="14.25" customHeight="1" x14ac:dyDescent="0.3">
      <c r="A1144" s="2" t="s">
        <v>3184</v>
      </c>
      <c r="B1144" s="5">
        <v>43073</v>
      </c>
      <c r="C1144" s="2" t="str">
        <f>TEXT(data[[#This Row],[Order Date]],"YYYY")</f>
        <v>2017</v>
      </c>
      <c r="D1144" s="2">
        <v>43078</v>
      </c>
      <c r="E1144" s="2" t="s">
        <v>39</v>
      </c>
      <c r="F1144" s="2" t="s">
        <v>3185</v>
      </c>
      <c r="G1144" s="2" t="s">
        <v>3186</v>
      </c>
      <c r="H1144" s="2" t="s">
        <v>90</v>
      </c>
      <c r="I1144" s="2" t="s">
        <v>25</v>
      </c>
      <c r="J1144" s="2" t="s">
        <v>65</v>
      </c>
      <c r="K1144" s="2" t="s">
        <v>66</v>
      </c>
      <c r="L1144" s="2" t="s">
        <v>67</v>
      </c>
      <c r="M1144" s="2" t="s">
        <v>1102</v>
      </c>
      <c r="N1144" s="2" t="s">
        <v>30</v>
      </c>
      <c r="O1144" s="2" t="s">
        <v>36</v>
      </c>
      <c r="P1144" s="2" t="s">
        <v>1103</v>
      </c>
      <c r="Q1144" s="2">
        <v>239.96</v>
      </c>
      <c r="R1144" s="2">
        <v>10</v>
      </c>
      <c r="S1144" s="2">
        <v>-10.284000000000001</v>
      </c>
      <c r="T1144" s="2" t="s">
        <v>58</v>
      </c>
      <c r="U1144" s="2" t="s">
        <v>96</v>
      </c>
    </row>
    <row r="1145" spans="1:21" ht="14.25" customHeight="1" x14ac:dyDescent="0.3">
      <c r="A1145" s="2" t="s">
        <v>3184</v>
      </c>
      <c r="B1145" s="5">
        <v>43073</v>
      </c>
      <c r="C1145" s="2" t="str">
        <f>TEXT(data[[#This Row],[Order Date]],"YYYY")</f>
        <v>2017</v>
      </c>
      <c r="D1145" s="2">
        <v>43078</v>
      </c>
      <c r="E1145" s="2" t="s">
        <v>39</v>
      </c>
      <c r="F1145" s="2" t="s">
        <v>3185</v>
      </c>
      <c r="G1145" s="2" t="s">
        <v>3186</v>
      </c>
      <c r="H1145" s="2" t="s">
        <v>90</v>
      </c>
      <c r="I1145" s="2" t="s">
        <v>25</v>
      </c>
      <c r="J1145" s="2" t="s">
        <v>65</v>
      </c>
      <c r="K1145" s="2" t="s">
        <v>66</v>
      </c>
      <c r="L1145" s="2" t="s">
        <v>67</v>
      </c>
      <c r="M1145" s="2" t="s">
        <v>1590</v>
      </c>
      <c r="N1145" s="2" t="s">
        <v>30</v>
      </c>
      <c r="O1145" s="2" t="s">
        <v>56</v>
      </c>
      <c r="P1145" s="2" t="s">
        <v>1591</v>
      </c>
      <c r="Q1145" s="2">
        <v>54.768000000000001</v>
      </c>
      <c r="R1145" s="2">
        <v>2</v>
      </c>
      <c r="S1145" s="2">
        <v>6.8460000000000001</v>
      </c>
      <c r="T1145" s="2" t="s">
        <v>58</v>
      </c>
      <c r="U1145" s="2" t="s">
        <v>96</v>
      </c>
    </row>
    <row r="1146" spans="1:21" ht="14.25" customHeight="1" x14ac:dyDescent="0.3">
      <c r="A1146" s="2" t="s">
        <v>3187</v>
      </c>
      <c r="B1146" s="5">
        <v>42877</v>
      </c>
      <c r="C1146" s="2" t="str">
        <f>TEXT(data[[#This Row],[Order Date]],"YYYY")</f>
        <v>2017</v>
      </c>
      <c r="D1146" s="2">
        <v>42881</v>
      </c>
      <c r="E1146" s="2" t="s">
        <v>39</v>
      </c>
      <c r="F1146" s="2" t="s">
        <v>793</v>
      </c>
      <c r="G1146" s="2" t="s">
        <v>794</v>
      </c>
      <c r="H1146" s="2" t="s">
        <v>24</v>
      </c>
      <c r="I1146" s="2" t="s">
        <v>25</v>
      </c>
      <c r="J1146" s="2" t="s">
        <v>133</v>
      </c>
      <c r="K1146" s="2" t="s">
        <v>134</v>
      </c>
      <c r="L1146" s="2" t="s">
        <v>93</v>
      </c>
      <c r="M1146" s="2" t="s">
        <v>142</v>
      </c>
      <c r="N1146" s="2" t="s">
        <v>30</v>
      </c>
      <c r="O1146" s="2" t="s">
        <v>36</v>
      </c>
      <c r="P1146" s="2" t="s">
        <v>143</v>
      </c>
      <c r="Q1146" s="2">
        <v>181.98599999999999</v>
      </c>
      <c r="R1146" s="2">
        <v>2</v>
      </c>
      <c r="S1146" s="2">
        <v>-54.595799999999997</v>
      </c>
      <c r="T1146" s="2" t="s">
        <v>83</v>
      </c>
      <c r="U1146" s="2" t="s">
        <v>161</v>
      </c>
    </row>
    <row r="1147" spans="1:21" ht="14.25" customHeight="1" x14ac:dyDescent="0.3">
      <c r="A1147" s="2" t="s">
        <v>3188</v>
      </c>
      <c r="B1147" s="5">
        <v>42723</v>
      </c>
      <c r="C1147" s="2" t="str">
        <f>TEXT(data[[#This Row],[Order Date]],"YYYY")</f>
        <v>2016</v>
      </c>
      <c r="D1147" s="2">
        <v>42729</v>
      </c>
      <c r="E1147" s="2" t="s">
        <v>39</v>
      </c>
      <c r="F1147" s="2" t="s">
        <v>2864</v>
      </c>
      <c r="G1147" s="2" t="s">
        <v>2865</v>
      </c>
      <c r="H1147" s="2" t="s">
        <v>90</v>
      </c>
      <c r="I1147" s="2" t="s">
        <v>25</v>
      </c>
      <c r="J1147" s="2" t="s">
        <v>1222</v>
      </c>
      <c r="K1147" s="2" t="s">
        <v>520</v>
      </c>
      <c r="L1147" s="2" t="s">
        <v>54</v>
      </c>
      <c r="M1147" s="2" t="s">
        <v>3189</v>
      </c>
      <c r="N1147" s="2" t="s">
        <v>30</v>
      </c>
      <c r="O1147" s="2" t="s">
        <v>45</v>
      </c>
      <c r="P1147" s="2" t="s">
        <v>3190</v>
      </c>
      <c r="Q1147" s="2">
        <v>455.97</v>
      </c>
      <c r="R1147" s="2">
        <v>6</v>
      </c>
      <c r="S1147" s="2">
        <v>-218.8656</v>
      </c>
      <c r="T1147" s="2" t="s">
        <v>129</v>
      </c>
      <c r="U1147" s="2" t="s">
        <v>96</v>
      </c>
    </row>
    <row r="1148" spans="1:21" ht="14.25" customHeight="1" x14ac:dyDescent="0.3">
      <c r="A1148" s="2" t="s">
        <v>3191</v>
      </c>
      <c r="B1148" s="5">
        <v>42985</v>
      </c>
      <c r="C1148" s="2" t="str">
        <f>TEXT(data[[#This Row],[Order Date]],"YYYY")</f>
        <v>2017</v>
      </c>
      <c r="D1148" s="2">
        <v>42986</v>
      </c>
      <c r="E1148" s="2" t="s">
        <v>87</v>
      </c>
      <c r="F1148" s="2" t="s">
        <v>2167</v>
      </c>
      <c r="G1148" s="2" t="s">
        <v>2168</v>
      </c>
      <c r="H1148" s="2" t="s">
        <v>24</v>
      </c>
      <c r="I1148" s="2" t="s">
        <v>25</v>
      </c>
      <c r="J1148" s="2" t="s">
        <v>3192</v>
      </c>
      <c r="K1148" s="2" t="s">
        <v>76</v>
      </c>
      <c r="L1148" s="2" t="s">
        <v>54</v>
      </c>
      <c r="M1148" s="2" t="s">
        <v>2614</v>
      </c>
      <c r="N1148" s="2" t="s">
        <v>30</v>
      </c>
      <c r="O1148" s="2" t="s">
        <v>56</v>
      </c>
      <c r="P1148" s="2" t="s">
        <v>2615</v>
      </c>
      <c r="Q1148" s="2">
        <v>25.16</v>
      </c>
      <c r="R1148" s="2">
        <v>2</v>
      </c>
      <c r="S1148" s="2">
        <v>10.5672</v>
      </c>
      <c r="T1148" s="2" t="s">
        <v>123</v>
      </c>
      <c r="U1148" s="2" t="s">
        <v>77</v>
      </c>
    </row>
    <row r="1149" spans="1:21" ht="14.25" customHeight="1" x14ac:dyDescent="0.3">
      <c r="A1149" s="2" t="s">
        <v>3193</v>
      </c>
      <c r="B1149" s="5">
        <v>41955</v>
      </c>
      <c r="C1149" s="2" t="str">
        <f>TEXT(data[[#This Row],[Order Date]],"YYYY")</f>
        <v>2014</v>
      </c>
      <c r="D1149" s="2">
        <v>41959</v>
      </c>
      <c r="E1149" s="2" t="s">
        <v>39</v>
      </c>
      <c r="F1149" s="2" t="s">
        <v>3194</v>
      </c>
      <c r="G1149" s="2" t="s">
        <v>3195</v>
      </c>
      <c r="H1149" s="2" t="s">
        <v>90</v>
      </c>
      <c r="I1149" s="2" t="s">
        <v>25</v>
      </c>
      <c r="J1149" s="2" t="s">
        <v>101</v>
      </c>
      <c r="K1149" s="2" t="s">
        <v>92</v>
      </c>
      <c r="L1149" s="2" t="s">
        <v>93</v>
      </c>
      <c r="M1149" s="2" t="s">
        <v>1136</v>
      </c>
      <c r="N1149" s="2" t="s">
        <v>30</v>
      </c>
      <c r="O1149" s="2" t="s">
        <v>31</v>
      </c>
      <c r="P1149" s="2" t="s">
        <v>1137</v>
      </c>
      <c r="Q1149" s="2">
        <v>67.993200000000002</v>
      </c>
      <c r="R1149" s="2">
        <v>1</v>
      </c>
      <c r="S1149" s="2">
        <v>-12.998699999999999</v>
      </c>
      <c r="T1149" s="2" t="s">
        <v>83</v>
      </c>
      <c r="U1149" s="2" t="s">
        <v>34</v>
      </c>
    </row>
    <row r="1150" spans="1:21" ht="14.25" customHeight="1" x14ac:dyDescent="0.3">
      <c r="A1150" s="2" t="s">
        <v>3196</v>
      </c>
      <c r="B1150" s="5">
        <v>43010</v>
      </c>
      <c r="C1150" s="2" t="str">
        <f>TEXT(data[[#This Row],[Order Date]],"YYYY")</f>
        <v>2017</v>
      </c>
      <c r="D1150" s="2">
        <v>43014</v>
      </c>
      <c r="E1150" s="2" t="s">
        <v>21</v>
      </c>
      <c r="F1150" s="2" t="s">
        <v>1320</v>
      </c>
      <c r="G1150" s="2" t="s">
        <v>1321</v>
      </c>
      <c r="H1150" s="2" t="s">
        <v>90</v>
      </c>
      <c r="I1150" s="2" t="s">
        <v>25</v>
      </c>
      <c r="J1150" s="2" t="s">
        <v>1616</v>
      </c>
      <c r="K1150" s="2" t="s">
        <v>1276</v>
      </c>
      <c r="L1150" s="2" t="s">
        <v>28</v>
      </c>
      <c r="M1150" s="2" t="s">
        <v>2390</v>
      </c>
      <c r="N1150" s="2" t="s">
        <v>30</v>
      </c>
      <c r="O1150" s="2" t="s">
        <v>56</v>
      </c>
      <c r="P1150" s="2" t="s">
        <v>2391</v>
      </c>
      <c r="Q1150" s="2">
        <v>10.16</v>
      </c>
      <c r="R1150" s="2">
        <v>2</v>
      </c>
      <c r="S1150" s="2">
        <v>3.4544000000000001</v>
      </c>
      <c r="T1150" s="2" t="s">
        <v>83</v>
      </c>
      <c r="U1150" s="2" t="s">
        <v>48</v>
      </c>
    </row>
    <row r="1151" spans="1:21" ht="14.25" customHeight="1" x14ac:dyDescent="0.3">
      <c r="A1151" s="2" t="s">
        <v>3197</v>
      </c>
      <c r="B1151" s="5">
        <v>42352</v>
      </c>
      <c r="C1151" s="2" t="str">
        <f>TEXT(data[[#This Row],[Order Date]],"YYYY")</f>
        <v>2015</v>
      </c>
      <c r="D1151" s="2">
        <v>42356</v>
      </c>
      <c r="E1151" s="2" t="s">
        <v>39</v>
      </c>
      <c r="F1151" s="2" t="s">
        <v>2497</v>
      </c>
      <c r="G1151" s="2" t="s">
        <v>2498</v>
      </c>
      <c r="H1151" s="2" t="s">
        <v>90</v>
      </c>
      <c r="I1151" s="2" t="s">
        <v>25</v>
      </c>
      <c r="J1151" s="2" t="s">
        <v>477</v>
      </c>
      <c r="K1151" s="2" t="s">
        <v>478</v>
      </c>
      <c r="L1151" s="2" t="s">
        <v>28</v>
      </c>
      <c r="M1151" s="2" t="s">
        <v>2011</v>
      </c>
      <c r="N1151" s="2" t="s">
        <v>30</v>
      </c>
      <c r="O1151" s="2" t="s">
        <v>56</v>
      </c>
      <c r="P1151" s="2" t="s">
        <v>2012</v>
      </c>
      <c r="Q1151" s="2">
        <v>6.16</v>
      </c>
      <c r="R1151" s="2">
        <v>2</v>
      </c>
      <c r="S1151" s="2">
        <v>1.9712000000000001</v>
      </c>
      <c r="T1151" s="2" t="s">
        <v>83</v>
      </c>
      <c r="U1151" s="2" t="s">
        <v>96</v>
      </c>
    </row>
    <row r="1152" spans="1:21" ht="14.25" customHeight="1" x14ac:dyDescent="0.3">
      <c r="A1152" s="2" t="s">
        <v>3198</v>
      </c>
      <c r="B1152" s="5">
        <v>42807</v>
      </c>
      <c r="C1152" s="2" t="str">
        <f>TEXT(data[[#This Row],[Order Date]],"YYYY")</f>
        <v>2017</v>
      </c>
      <c r="D1152" s="2">
        <v>42807</v>
      </c>
      <c r="E1152" s="2" t="s">
        <v>425</v>
      </c>
      <c r="F1152" s="2" t="s">
        <v>3199</v>
      </c>
      <c r="G1152" s="2" t="s">
        <v>3200</v>
      </c>
      <c r="H1152" s="2" t="s">
        <v>100</v>
      </c>
      <c r="I1152" s="2" t="s">
        <v>25</v>
      </c>
      <c r="J1152" s="2" t="s">
        <v>133</v>
      </c>
      <c r="K1152" s="2" t="s">
        <v>134</v>
      </c>
      <c r="L1152" s="2" t="s">
        <v>93</v>
      </c>
      <c r="M1152" s="2" t="s">
        <v>2573</v>
      </c>
      <c r="N1152" s="2" t="s">
        <v>30</v>
      </c>
      <c r="O1152" s="2" t="s">
        <v>36</v>
      </c>
      <c r="P1152" s="2" t="s">
        <v>2574</v>
      </c>
      <c r="Q1152" s="2">
        <v>89.768000000000001</v>
      </c>
      <c r="R1152" s="2">
        <v>1</v>
      </c>
      <c r="S1152" s="2">
        <v>-2.5648</v>
      </c>
      <c r="T1152" s="2" t="s">
        <v>430</v>
      </c>
      <c r="U1152" s="2" t="s">
        <v>195</v>
      </c>
    </row>
    <row r="1153" spans="1:21" ht="14.25" customHeight="1" x14ac:dyDescent="0.3">
      <c r="A1153" s="2" t="s">
        <v>3201</v>
      </c>
      <c r="B1153" s="5">
        <v>42716</v>
      </c>
      <c r="C1153" s="2" t="str">
        <f>TEXT(data[[#This Row],[Order Date]],"YYYY")</f>
        <v>2016</v>
      </c>
      <c r="D1153" s="2">
        <v>42720</v>
      </c>
      <c r="E1153" s="2" t="s">
        <v>39</v>
      </c>
      <c r="F1153" s="2" t="s">
        <v>3202</v>
      </c>
      <c r="G1153" s="2" t="s">
        <v>3203</v>
      </c>
      <c r="H1153" s="2" t="s">
        <v>24</v>
      </c>
      <c r="I1153" s="2" t="s">
        <v>25</v>
      </c>
      <c r="J1153" s="2" t="s">
        <v>1185</v>
      </c>
      <c r="K1153" s="2" t="s">
        <v>53</v>
      </c>
      <c r="L1153" s="2" t="s">
        <v>54</v>
      </c>
      <c r="M1153" s="2" t="s">
        <v>551</v>
      </c>
      <c r="N1153" s="2" t="s">
        <v>30</v>
      </c>
      <c r="O1153" s="2" t="s">
        <v>56</v>
      </c>
      <c r="P1153" s="2" t="s">
        <v>552</v>
      </c>
      <c r="Q1153" s="2">
        <v>383.64</v>
      </c>
      <c r="R1153" s="2">
        <v>6</v>
      </c>
      <c r="S1153" s="2">
        <v>122.76479999999999</v>
      </c>
      <c r="T1153" s="2" t="s">
        <v>83</v>
      </c>
      <c r="U1153" s="2" t="s">
        <v>96</v>
      </c>
    </row>
    <row r="1154" spans="1:21" ht="14.25" customHeight="1" x14ac:dyDescent="0.3">
      <c r="A1154" s="2" t="s">
        <v>3204</v>
      </c>
      <c r="B1154" s="5">
        <v>42987</v>
      </c>
      <c r="C1154" s="2" t="str">
        <f>TEXT(data[[#This Row],[Order Date]],"YYYY")</f>
        <v>2017</v>
      </c>
      <c r="D1154" s="2">
        <v>42992</v>
      </c>
      <c r="E1154" s="2" t="s">
        <v>21</v>
      </c>
      <c r="F1154" s="2" t="s">
        <v>2415</v>
      </c>
      <c r="G1154" s="2" t="s">
        <v>2416</v>
      </c>
      <c r="H1154" s="2" t="s">
        <v>24</v>
      </c>
      <c r="I1154" s="2" t="s">
        <v>25</v>
      </c>
      <c r="J1154" s="2" t="s">
        <v>52</v>
      </c>
      <c r="K1154" s="2" t="s">
        <v>53</v>
      </c>
      <c r="L1154" s="2" t="s">
        <v>54</v>
      </c>
      <c r="M1154" s="2" t="s">
        <v>1656</v>
      </c>
      <c r="N1154" s="2" t="s">
        <v>30</v>
      </c>
      <c r="O1154" s="2" t="s">
        <v>36</v>
      </c>
      <c r="P1154" s="2" t="s">
        <v>1657</v>
      </c>
      <c r="Q1154" s="2">
        <v>243.92</v>
      </c>
      <c r="R1154" s="2">
        <v>5</v>
      </c>
      <c r="S1154" s="2">
        <v>-15.244999999999999</v>
      </c>
      <c r="T1154" s="2" t="s">
        <v>58</v>
      </c>
      <c r="U1154" s="2" t="s">
        <v>77</v>
      </c>
    </row>
    <row r="1155" spans="1:21" ht="14.25" customHeight="1" x14ac:dyDescent="0.3">
      <c r="A1155" s="2" t="s">
        <v>3205</v>
      </c>
      <c r="B1155" s="5">
        <v>43012</v>
      </c>
      <c r="C1155" s="2" t="str">
        <f>TEXT(data[[#This Row],[Order Date]],"YYYY")</f>
        <v>2017</v>
      </c>
      <c r="D1155" s="2">
        <v>43016</v>
      </c>
      <c r="E1155" s="2" t="s">
        <v>39</v>
      </c>
      <c r="F1155" s="2" t="s">
        <v>131</v>
      </c>
      <c r="G1155" s="2" t="s">
        <v>132</v>
      </c>
      <c r="H1155" s="2" t="s">
        <v>100</v>
      </c>
      <c r="I1155" s="2" t="s">
        <v>25</v>
      </c>
      <c r="J1155" s="2" t="s">
        <v>2522</v>
      </c>
      <c r="K1155" s="2" t="s">
        <v>1089</v>
      </c>
      <c r="L1155" s="2" t="s">
        <v>67</v>
      </c>
      <c r="M1155" s="2" t="s">
        <v>1121</v>
      </c>
      <c r="N1155" s="2" t="s">
        <v>30</v>
      </c>
      <c r="O1155" s="2" t="s">
        <v>56</v>
      </c>
      <c r="P1155" s="2" t="s">
        <v>1122</v>
      </c>
      <c r="Q1155" s="2">
        <v>19.98</v>
      </c>
      <c r="R1155" s="2">
        <v>1</v>
      </c>
      <c r="S1155" s="2">
        <v>8.5914000000000001</v>
      </c>
      <c r="T1155" s="2" t="s">
        <v>83</v>
      </c>
      <c r="U1155" s="2" t="s">
        <v>48</v>
      </c>
    </row>
    <row r="1156" spans="1:21" ht="14.25" customHeight="1" x14ac:dyDescent="0.3">
      <c r="A1156" s="2" t="s">
        <v>3206</v>
      </c>
      <c r="B1156" s="5">
        <v>41988</v>
      </c>
      <c r="C1156" s="2" t="str">
        <f>TEXT(data[[#This Row],[Order Date]],"YYYY")</f>
        <v>2014</v>
      </c>
      <c r="D1156" s="2">
        <v>41992</v>
      </c>
      <c r="E1156" s="2" t="s">
        <v>21</v>
      </c>
      <c r="F1156" s="2" t="s">
        <v>340</v>
      </c>
      <c r="G1156" s="2" t="s">
        <v>341</v>
      </c>
      <c r="H1156" s="2" t="s">
        <v>24</v>
      </c>
      <c r="I1156" s="2" t="s">
        <v>25</v>
      </c>
      <c r="J1156" s="2" t="s">
        <v>639</v>
      </c>
      <c r="K1156" s="2" t="s">
        <v>53</v>
      </c>
      <c r="L1156" s="2" t="s">
        <v>54</v>
      </c>
      <c r="M1156" s="2" t="s">
        <v>2011</v>
      </c>
      <c r="N1156" s="2" t="s">
        <v>30</v>
      </c>
      <c r="O1156" s="2" t="s">
        <v>56</v>
      </c>
      <c r="P1156" s="2" t="s">
        <v>2012</v>
      </c>
      <c r="Q1156" s="2">
        <v>6.16</v>
      </c>
      <c r="R1156" s="2">
        <v>2</v>
      </c>
      <c r="S1156" s="2">
        <v>1.9712000000000001</v>
      </c>
      <c r="T1156" s="2" t="s">
        <v>83</v>
      </c>
      <c r="U1156" s="2" t="s">
        <v>96</v>
      </c>
    </row>
    <row r="1157" spans="1:21" ht="14.25" customHeight="1" x14ac:dyDescent="0.3">
      <c r="A1157" s="2" t="s">
        <v>3207</v>
      </c>
      <c r="B1157" s="5">
        <v>41925</v>
      </c>
      <c r="C1157" s="2" t="str">
        <f>TEXT(data[[#This Row],[Order Date]],"YYYY")</f>
        <v>2014</v>
      </c>
      <c r="D1157" s="2">
        <v>41930</v>
      </c>
      <c r="E1157" s="2" t="s">
        <v>21</v>
      </c>
      <c r="F1157" s="2" t="s">
        <v>1394</v>
      </c>
      <c r="G1157" s="2" t="s">
        <v>1395</v>
      </c>
      <c r="H1157" s="2" t="s">
        <v>90</v>
      </c>
      <c r="I1157" s="2" t="s">
        <v>25</v>
      </c>
      <c r="J1157" s="2" t="s">
        <v>2060</v>
      </c>
      <c r="K1157" s="2" t="s">
        <v>362</v>
      </c>
      <c r="L1157" s="2" t="s">
        <v>67</v>
      </c>
      <c r="M1157" s="2" t="s">
        <v>1028</v>
      </c>
      <c r="N1157" s="2" t="s">
        <v>30</v>
      </c>
      <c r="O1157" s="2" t="s">
        <v>36</v>
      </c>
      <c r="P1157" s="2" t="s">
        <v>1029</v>
      </c>
      <c r="Q1157" s="2">
        <v>245.98</v>
      </c>
      <c r="R1157" s="2">
        <v>2</v>
      </c>
      <c r="S1157" s="2">
        <v>27.0578</v>
      </c>
      <c r="T1157" s="2" t="s">
        <v>58</v>
      </c>
      <c r="U1157" s="2" t="s">
        <v>48</v>
      </c>
    </row>
    <row r="1158" spans="1:21" ht="14.25" customHeight="1" x14ac:dyDescent="0.3">
      <c r="A1158" s="2" t="s">
        <v>3208</v>
      </c>
      <c r="B1158" s="5">
        <v>42633</v>
      </c>
      <c r="C1158" s="2" t="str">
        <f>TEXT(data[[#This Row],[Order Date]],"YYYY")</f>
        <v>2016</v>
      </c>
      <c r="D1158" s="2">
        <v>42638</v>
      </c>
      <c r="E1158" s="2" t="s">
        <v>39</v>
      </c>
      <c r="F1158" s="2" t="s">
        <v>1459</v>
      </c>
      <c r="G1158" s="2" t="s">
        <v>1460</v>
      </c>
      <c r="H1158" s="2" t="s">
        <v>90</v>
      </c>
      <c r="I1158" s="2" t="s">
        <v>25</v>
      </c>
      <c r="J1158" s="2" t="s">
        <v>2569</v>
      </c>
      <c r="K1158" s="2" t="s">
        <v>1036</v>
      </c>
      <c r="L1158" s="2" t="s">
        <v>28</v>
      </c>
      <c r="M1158" s="2" t="s">
        <v>2140</v>
      </c>
      <c r="N1158" s="2" t="s">
        <v>30</v>
      </c>
      <c r="O1158" s="2" t="s">
        <v>56</v>
      </c>
      <c r="P1158" s="2" t="s">
        <v>2141</v>
      </c>
      <c r="Q1158" s="2">
        <v>17.088000000000001</v>
      </c>
      <c r="R1158" s="2">
        <v>2</v>
      </c>
      <c r="S1158" s="2">
        <v>1.0680000000000001</v>
      </c>
      <c r="T1158" s="2" t="s">
        <v>58</v>
      </c>
      <c r="U1158" s="2" t="s">
        <v>77</v>
      </c>
    </row>
    <row r="1159" spans="1:21" ht="14.25" customHeight="1" x14ac:dyDescent="0.3">
      <c r="A1159" s="2" t="s">
        <v>3208</v>
      </c>
      <c r="B1159" s="5">
        <v>42633</v>
      </c>
      <c r="C1159" s="2" t="str">
        <f>TEXT(data[[#This Row],[Order Date]],"YYYY")</f>
        <v>2016</v>
      </c>
      <c r="D1159" s="2">
        <v>42638</v>
      </c>
      <c r="E1159" s="2" t="s">
        <v>39</v>
      </c>
      <c r="F1159" s="2" t="s">
        <v>1459</v>
      </c>
      <c r="G1159" s="2" t="s">
        <v>1460</v>
      </c>
      <c r="H1159" s="2" t="s">
        <v>90</v>
      </c>
      <c r="I1159" s="2" t="s">
        <v>25</v>
      </c>
      <c r="J1159" s="2" t="s">
        <v>2569</v>
      </c>
      <c r="K1159" s="2" t="s">
        <v>1036</v>
      </c>
      <c r="L1159" s="2" t="s">
        <v>28</v>
      </c>
      <c r="M1159" s="2" t="s">
        <v>1028</v>
      </c>
      <c r="N1159" s="2" t="s">
        <v>30</v>
      </c>
      <c r="O1159" s="2" t="s">
        <v>36</v>
      </c>
      <c r="P1159" s="2" t="s">
        <v>1029</v>
      </c>
      <c r="Q1159" s="2">
        <v>98.391999999999996</v>
      </c>
      <c r="R1159" s="2">
        <v>1</v>
      </c>
      <c r="S1159" s="2">
        <v>-11.069100000000001</v>
      </c>
      <c r="T1159" s="2" t="s">
        <v>58</v>
      </c>
      <c r="U1159" s="2" t="s">
        <v>77</v>
      </c>
    </row>
    <row r="1160" spans="1:21" ht="14.25" customHeight="1" x14ac:dyDescent="0.3">
      <c r="A1160" s="2" t="s">
        <v>3209</v>
      </c>
      <c r="B1160" s="5">
        <v>42916</v>
      </c>
      <c r="C1160" s="2" t="str">
        <f>TEXT(data[[#This Row],[Order Date]],"YYYY")</f>
        <v>2017</v>
      </c>
      <c r="D1160" s="2">
        <v>42920</v>
      </c>
      <c r="E1160" s="2" t="s">
        <v>39</v>
      </c>
      <c r="F1160" s="2" t="s">
        <v>2216</v>
      </c>
      <c r="G1160" s="2" t="s">
        <v>2217</v>
      </c>
      <c r="H1160" s="2" t="s">
        <v>90</v>
      </c>
      <c r="I1160" s="2" t="s">
        <v>25</v>
      </c>
      <c r="J1160" s="2" t="s">
        <v>140</v>
      </c>
      <c r="K1160" s="2" t="s">
        <v>141</v>
      </c>
      <c r="L1160" s="2" t="s">
        <v>28</v>
      </c>
      <c r="M1160" s="2" t="s">
        <v>1482</v>
      </c>
      <c r="N1160" s="2" t="s">
        <v>30</v>
      </c>
      <c r="O1160" s="2" t="s">
        <v>56</v>
      </c>
      <c r="P1160" s="2" t="s">
        <v>1483</v>
      </c>
      <c r="Q1160" s="2">
        <v>19.52</v>
      </c>
      <c r="R1160" s="2">
        <v>2</v>
      </c>
      <c r="S1160" s="2">
        <v>5.3680000000000003</v>
      </c>
      <c r="T1160" s="2" t="s">
        <v>83</v>
      </c>
      <c r="U1160" s="2" t="s">
        <v>59</v>
      </c>
    </row>
    <row r="1161" spans="1:21" ht="14.25" customHeight="1" x14ac:dyDescent="0.3">
      <c r="A1161" s="2" t="s">
        <v>3210</v>
      </c>
      <c r="B1161" s="5">
        <v>42638</v>
      </c>
      <c r="C1161" s="2" t="str">
        <f>TEXT(data[[#This Row],[Order Date]],"YYYY")</f>
        <v>2016</v>
      </c>
      <c r="D1161" s="2">
        <v>42643</v>
      </c>
      <c r="E1161" s="2" t="s">
        <v>39</v>
      </c>
      <c r="F1161" s="2" t="s">
        <v>3211</v>
      </c>
      <c r="G1161" s="2" t="s">
        <v>3212</v>
      </c>
      <c r="H1161" s="2" t="s">
        <v>90</v>
      </c>
      <c r="I1161" s="2" t="s">
        <v>25</v>
      </c>
      <c r="J1161" s="2" t="s">
        <v>3213</v>
      </c>
      <c r="K1161" s="2" t="s">
        <v>238</v>
      </c>
      <c r="L1161" s="2" t="s">
        <v>93</v>
      </c>
      <c r="M1161" s="2" t="s">
        <v>104</v>
      </c>
      <c r="N1161" s="2" t="s">
        <v>30</v>
      </c>
      <c r="O1161" s="2" t="s">
        <v>36</v>
      </c>
      <c r="P1161" s="2" t="s">
        <v>105</v>
      </c>
      <c r="Q1161" s="2">
        <v>201.96</v>
      </c>
      <c r="R1161" s="2">
        <v>2</v>
      </c>
      <c r="S1161" s="2">
        <v>50.49</v>
      </c>
      <c r="T1161" s="2" t="s">
        <v>58</v>
      </c>
      <c r="U1161" s="2" t="s">
        <v>77</v>
      </c>
    </row>
    <row r="1162" spans="1:21" ht="14.25" customHeight="1" x14ac:dyDescent="0.3">
      <c r="A1162" s="2" t="s">
        <v>3210</v>
      </c>
      <c r="B1162" s="5">
        <v>42638</v>
      </c>
      <c r="C1162" s="2" t="str">
        <f>TEXT(data[[#This Row],[Order Date]],"YYYY")</f>
        <v>2016</v>
      </c>
      <c r="D1162" s="2">
        <v>42643</v>
      </c>
      <c r="E1162" s="2" t="s">
        <v>39</v>
      </c>
      <c r="F1162" s="2" t="s">
        <v>3211</v>
      </c>
      <c r="G1162" s="2" t="s">
        <v>3212</v>
      </c>
      <c r="H1162" s="2" t="s">
        <v>90</v>
      </c>
      <c r="I1162" s="2" t="s">
        <v>25</v>
      </c>
      <c r="J1162" s="2" t="s">
        <v>3213</v>
      </c>
      <c r="K1162" s="2" t="s">
        <v>238</v>
      </c>
      <c r="L1162" s="2" t="s">
        <v>93</v>
      </c>
      <c r="M1162" s="2" t="s">
        <v>2232</v>
      </c>
      <c r="N1162" s="2" t="s">
        <v>30</v>
      </c>
      <c r="O1162" s="2" t="s">
        <v>56</v>
      </c>
      <c r="P1162" s="2" t="s">
        <v>2233</v>
      </c>
      <c r="Q1162" s="2">
        <v>68.64</v>
      </c>
      <c r="R1162" s="2">
        <v>11</v>
      </c>
      <c r="S1162" s="2">
        <v>17.16</v>
      </c>
      <c r="T1162" s="2" t="s">
        <v>58</v>
      </c>
      <c r="U1162" s="2" t="s">
        <v>77</v>
      </c>
    </row>
    <row r="1163" spans="1:21" ht="14.25" customHeight="1" x14ac:dyDescent="0.3">
      <c r="A1163" s="2" t="s">
        <v>3214</v>
      </c>
      <c r="B1163" s="5">
        <v>41911</v>
      </c>
      <c r="C1163" s="2" t="str">
        <f>TEXT(data[[#This Row],[Order Date]],"YYYY")</f>
        <v>2014</v>
      </c>
      <c r="D1163" s="2">
        <v>41913</v>
      </c>
      <c r="E1163" s="2" t="s">
        <v>21</v>
      </c>
      <c r="F1163" s="2" t="s">
        <v>1240</v>
      </c>
      <c r="G1163" s="2" t="s">
        <v>1241</v>
      </c>
      <c r="H1163" s="2" t="s">
        <v>100</v>
      </c>
      <c r="I1163" s="2" t="s">
        <v>25</v>
      </c>
      <c r="J1163" s="2" t="s">
        <v>191</v>
      </c>
      <c r="K1163" s="2" t="s">
        <v>192</v>
      </c>
      <c r="L1163" s="2" t="s">
        <v>54</v>
      </c>
      <c r="M1163" s="2" t="s">
        <v>111</v>
      </c>
      <c r="N1163" s="2" t="s">
        <v>30</v>
      </c>
      <c r="O1163" s="2" t="s">
        <v>56</v>
      </c>
      <c r="P1163" s="2" t="s">
        <v>112</v>
      </c>
      <c r="Q1163" s="2">
        <v>6.16</v>
      </c>
      <c r="R1163" s="2">
        <v>2</v>
      </c>
      <c r="S1163" s="2">
        <v>2.9567999999999999</v>
      </c>
      <c r="T1163" s="2" t="s">
        <v>70</v>
      </c>
      <c r="U1163" s="2" t="s">
        <v>77</v>
      </c>
    </row>
    <row r="1164" spans="1:21" ht="14.25" customHeight="1" x14ac:dyDescent="0.3">
      <c r="A1164" s="2" t="s">
        <v>3214</v>
      </c>
      <c r="B1164" s="5">
        <v>41911</v>
      </c>
      <c r="C1164" s="2" t="str">
        <f>TEXT(data[[#This Row],[Order Date]],"YYYY")</f>
        <v>2014</v>
      </c>
      <c r="D1164" s="2">
        <v>41913</v>
      </c>
      <c r="E1164" s="2" t="s">
        <v>21</v>
      </c>
      <c r="F1164" s="2" t="s">
        <v>1240</v>
      </c>
      <c r="G1164" s="2" t="s">
        <v>1241</v>
      </c>
      <c r="H1164" s="2" t="s">
        <v>100</v>
      </c>
      <c r="I1164" s="2" t="s">
        <v>25</v>
      </c>
      <c r="J1164" s="2" t="s">
        <v>191</v>
      </c>
      <c r="K1164" s="2" t="s">
        <v>192</v>
      </c>
      <c r="L1164" s="2" t="s">
        <v>54</v>
      </c>
      <c r="M1164" s="2" t="s">
        <v>1247</v>
      </c>
      <c r="N1164" s="2" t="s">
        <v>30</v>
      </c>
      <c r="O1164" s="2" t="s">
        <v>45</v>
      </c>
      <c r="P1164" s="2" t="s">
        <v>1248</v>
      </c>
      <c r="Q1164" s="2">
        <v>2348.8200000000002</v>
      </c>
      <c r="R1164" s="2">
        <v>9</v>
      </c>
      <c r="S1164" s="2">
        <v>399.29939999999999</v>
      </c>
      <c r="T1164" s="2" t="s">
        <v>70</v>
      </c>
      <c r="U1164" s="2" t="s">
        <v>77</v>
      </c>
    </row>
    <row r="1165" spans="1:21" ht="14.25" customHeight="1" x14ac:dyDescent="0.3">
      <c r="A1165" s="2" t="s">
        <v>3215</v>
      </c>
      <c r="B1165" s="5">
        <v>42912</v>
      </c>
      <c r="C1165" s="2" t="str">
        <f>TEXT(data[[#This Row],[Order Date]],"YYYY")</f>
        <v>2017</v>
      </c>
      <c r="D1165" s="2">
        <v>42917</v>
      </c>
      <c r="E1165" s="2" t="s">
        <v>39</v>
      </c>
      <c r="F1165" s="2" t="s">
        <v>332</v>
      </c>
      <c r="G1165" s="2" t="s">
        <v>333</v>
      </c>
      <c r="H1165" s="2" t="s">
        <v>90</v>
      </c>
      <c r="I1165" s="2" t="s">
        <v>25</v>
      </c>
      <c r="J1165" s="2" t="s">
        <v>1006</v>
      </c>
      <c r="K1165" s="2" t="s">
        <v>43</v>
      </c>
      <c r="L1165" s="2" t="s">
        <v>28</v>
      </c>
      <c r="M1165" s="2" t="s">
        <v>3216</v>
      </c>
      <c r="N1165" s="2" t="s">
        <v>30</v>
      </c>
      <c r="O1165" s="2" t="s">
        <v>36</v>
      </c>
      <c r="P1165" s="2" t="s">
        <v>3217</v>
      </c>
      <c r="Q1165" s="2">
        <v>273.55200000000002</v>
      </c>
      <c r="R1165" s="2">
        <v>3</v>
      </c>
      <c r="S1165" s="2">
        <v>-13.6776</v>
      </c>
      <c r="T1165" s="2" t="s">
        <v>58</v>
      </c>
      <c r="U1165" s="2" t="s">
        <v>59</v>
      </c>
    </row>
    <row r="1166" spans="1:21" ht="14.25" customHeight="1" x14ac:dyDescent="0.3">
      <c r="A1166" s="2" t="s">
        <v>3218</v>
      </c>
      <c r="B1166" s="5">
        <v>42603</v>
      </c>
      <c r="C1166" s="2" t="str">
        <f>TEXT(data[[#This Row],[Order Date]],"YYYY")</f>
        <v>2016</v>
      </c>
      <c r="D1166" s="2">
        <v>42605</v>
      </c>
      <c r="E1166" s="2" t="s">
        <v>21</v>
      </c>
      <c r="F1166" s="2" t="s">
        <v>671</v>
      </c>
      <c r="G1166" s="2" t="s">
        <v>672</v>
      </c>
      <c r="H1166" s="2" t="s">
        <v>100</v>
      </c>
      <c r="I1166" s="2" t="s">
        <v>25</v>
      </c>
      <c r="J1166" s="2" t="s">
        <v>65</v>
      </c>
      <c r="K1166" s="2" t="s">
        <v>66</v>
      </c>
      <c r="L1166" s="2" t="s">
        <v>67</v>
      </c>
      <c r="M1166" s="2" t="s">
        <v>1284</v>
      </c>
      <c r="N1166" s="2" t="s">
        <v>30</v>
      </c>
      <c r="O1166" s="2" t="s">
        <v>45</v>
      </c>
      <c r="P1166" s="2" t="s">
        <v>1285</v>
      </c>
      <c r="Q1166" s="2">
        <v>815.29200000000003</v>
      </c>
      <c r="R1166" s="2">
        <v>9</v>
      </c>
      <c r="S1166" s="2">
        <v>-339.70499999999998</v>
      </c>
      <c r="T1166" s="2" t="s">
        <v>70</v>
      </c>
      <c r="U1166" s="2" t="s">
        <v>253</v>
      </c>
    </row>
    <row r="1167" spans="1:21" ht="14.25" customHeight="1" x14ac:dyDescent="0.3">
      <c r="A1167" s="2" t="s">
        <v>3219</v>
      </c>
      <c r="B1167" s="5">
        <v>41681</v>
      </c>
      <c r="C1167" s="2" t="str">
        <f>TEXT(data[[#This Row],[Order Date]],"YYYY")</f>
        <v>2014</v>
      </c>
      <c r="D1167" s="2">
        <v>41685</v>
      </c>
      <c r="E1167" s="2" t="s">
        <v>39</v>
      </c>
      <c r="F1167" s="2" t="s">
        <v>475</v>
      </c>
      <c r="G1167" s="2" t="s">
        <v>476</v>
      </c>
      <c r="H1167" s="2" t="s">
        <v>24</v>
      </c>
      <c r="I1167" s="2" t="s">
        <v>25</v>
      </c>
      <c r="J1167" s="2" t="s">
        <v>2120</v>
      </c>
      <c r="K1167" s="2" t="s">
        <v>716</v>
      </c>
      <c r="L1167" s="2" t="s">
        <v>28</v>
      </c>
      <c r="M1167" s="2" t="s">
        <v>1328</v>
      </c>
      <c r="N1167" s="2" t="s">
        <v>30</v>
      </c>
      <c r="O1167" s="2" t="s">
        <v>45</v>
      </c>
      <c r="P1167" s="2" t="s">
        <v>1329</v>
      </c>
      <c r="Q1167" s="2">
        <v>1256.22</v>
      </c>
      <c r="R1167" s="2">
        <v>6</v>
      </c>
      <c r="S1167" s="2">
        <v>75.373199999999997</v>
      </c>
      <c r="T1167" s="2" t="s">
        <v>83</v>
      </c>
      <c r="U1167" s="2" t="s">
        <v>297</v>
      </c>
    </row>
    <row r="1168" spans="1:21" ht="14.25" customHeight="1" x14ac:dyDescent="0.3">
      <c r="A1168" s="2" t="s">
        <v>3220</v>
      </c>
      <c r="B1168" s="5">
        <v>42820</v>
      </c>
      <c r="C1168" s="2" t="str">
        <f>TEXT(data[[#This Row],[Order Date]],"YYYY")</f>
        <v>2017</v>
      </c>
      <c r="D1168" s="2">
        <v>42827</v>
      </c>
      <c r="E1168" s="2" t="s">
        <v>39</v>
      </c>
      <c r="F1168" s="2" t="s">
        <v>3221</v>
      </c>
      <c r="G1168" s="2" t="s">
        <v>3222</v>
      </c>
      <c r="H1168" s="2" t="s">
        <v>90</v>
      </c>
      <c r="I1168" s="2" t="s">
        <v>25</v>
      </c>
      <c r="J1168" s="2" t="s">
        <v>655</v>
      </c>
      <c r="K1168" s="2" t="s">
        <v>289</v>
      </c>
      <c r="L1168" s="2" t="s">
        <v>93</v>
      </c>
      <c r="M1168" s="2" t="s">
        <v>3223</v>
      </c>
      <c r="N1168" s="2" t="s">
        <v>30</v>
      </c>
      <c r="O1168" s="2" t="s">
        <v>56</v>
      </c>
      <c r="P1168" s="2" t="s">
        <v>3224</v>
      </c>
      <c r="Q1168" s="2">
        <v>60.84</v>
      </c>
      <c r="R1168" s="2">
        <v>3</v>
      </c>
      <c r="S1168" s="2">
        <v>23.119199999999999</v>
      </c>
      <c r="T1168" s="2" t="s">
        <v>47</v>
      </c>
      <c r="U1168" s="2" t="s">
        <v>195</v>
      </c>
    </row>
    <row r="1169" spans="1:21" ht="14.25" customHeight="1" x14ac:dyDescent="0.3">
      <c r="A1169" s="2" t="s">
        <v>3225</v>
      </c>
      <c r="B1169" s="5">
        <v>41994</v>
      </c>
      <c r="C1169" s="2" t="str">
        <f>TEXT(data[[#This Row],[Order Date]],"YYYY")</f>
        <v>2014</v>
      </c>
      <c r="D1169" s="2">
        <v>42000</v>
      </c>
      <c r="E1169" s="2" t="s">
        <v>39</v>
      </c>
      <c r="F1169" s="2" t="s">
        <v>833</v>
      </c>
      <c r="G1169" s="2" t="s">
        <v>834</v>
      </c>
      <c r="H1169" s="2" t="s">
        <v>24</v>
      </c>
      <c r="I1169" s="2" t="s">
        <v>25</v>
      </c>
      <c r="J1169" s="2" t="s">
        <v>639</v>
      </c>
      <c r="K1169" s="2" t="s">
        <v>53</v>
      </c>
      <c r="L1169" s="2" t="s">
        <v>54</v>
      </c>
      <c r="M1169" s="2" t="s">
        <v>246</v>
      </c>
      <c r="N1169" s="2" t="s">
        <v>30</v>
      </c>
      <c r="O1169" s="2" t="s">
        <v>36</v>
      </c>
      <c r="P1169" s="2" t="s">
        <v>247</v>
      </c>
      <c r="Q1169" s="2">
        <v>1325.76</v>
      </c>
      <c r="R1169" s="2">
        <v>6</v>
      </c>
      <c r="S1169" s="2">
        <v>149.148</v>
      </c>
      <c r="T1169" s="2" t="s">
        <v>129</v>
      </c>
      <c r="U1169" s="2" t="s">
        <v>96</v>
      </c>
    </row>
    <row r="1170" spans="1:21" ht="14.25" customHeight="1" x14ac:dyDescent="0.3">
      <c r="A1170" s="2" t="s">
        <v>3225</v>
      </c>
      <c r="B1170" s="5">
        <v>41994</v>
      </c>
      <c r="C1170" s="2" t="str">
        <f>TEXT(data[[#This Row],[Order Date]],"YYYY")</f>
        <v>2014</v>
      </c>
      <c r="D1170" s="2">
        <v>42000</v>
      </c>
      <c r="E1170" s="2" t="s">
        <v>39</v>
      </c>
      <c r="F1170" s="2" t="s">
        <v>833</v>
      </c>
      <c r="G1170" s="2" t="s">
        <v>834</v>
      </c>
      <c r="H1170" s="2" t="s">
        <v>24</v>
      </c>
      <c r="I1170" s="2" t="s">
        <v>25</v>
      </c>
      <c r="J1170" s="2" t="s">
        <v>639</v>
      </c>
      <c r="K1170" s="2" t="s">
        <v>53</v>
      </c>
      <c r="L1170" s="2" t="s">
        <v>54</v>
      </c>
      <c r="M1170" s="2" t="s">
        <v>580</v>
      </c>
      <c r="N1170" s="2" t="s">
        <v>30</v>
      </c>
      <c r="O1170" s="2" t="s">
        <v>36</v>
      </c>
      <c r="P1170" s="2" t="s">
        <v>581</v>
      </c>
      <c r="Q1170" s="2">
        <v>572.16</v>
      </c>
      <c r="R1170" s="2">
        <v>3</v>
      </c>
      <c r="S1170" s="2">
        <v>35.76</v>
      </c>
      <c r="T1170" s="2" t="s">
        <v>129</v>
      </c>
      <c r="U1170" s="2" t="s">
        <v>96</v>
      </c>
    </row>
    <row r="1171" spans="1:21" ht="14.25" customHeight="1" x14ac:dyDescent="0.3">
      <c r="A1171" s="2" t="s">
        <v>3226</v>
      </c>
      <c r="B1171" s="5">
        <v>42461</v>
      </c>
      <c r="C1171" s="2" t="str">
        <f>TEXT(data[[#This Row],[Order Date]],"YYYY")</f>
        <v>2016</v>
      </c>
      <c r="D1171" s="2">
        <v>42465</v>
      </c>
      <c r="E1171" s="2" t="s">
        <v>21</v>
      </c>
      <c r="F1171" s="2" t="s">
        <v>2301</v>
      </c>
      <c r="G1171" s="2" t="s">
        <v>2302</v>
      </c>
      <c r="H1171" s="2" t="s">
        <v>100</v>
      </c>
      <c r="I1171" s="2" t="s">
        <v>25</v>
      </c>
      <c r="J1171" s="2" t="s">
        <v>347</v>
      </c>
      <c r="K1171" s="2" t="s">
        <v>667</v>
      </c>
      <c r="L1171" s="2" t="s">
        <v>28</v>
      </c>
      <c r="M1171" s="2" t="s">
        <v>337</v>
      </c>
      <c r="N1171" s="2" t="s">
        <v>30</v>
      </c>
      <c r="O1171" s="2" t="s">
        <v>56</v>
      </c>
      <c r="P1171" s="2" t="s">
        <v>338</v>
      </c>
      <c r="Q1171" s="2">
        <v>7.04</v>
      </c>
      <c r="R1171" s="2">
        <v>4</v>
      </c>
      <c r="S1171" s="2">
        <v>3.0975999999999999</v>
      </c>
      <c r="T1171" s="2" t="s">
        <v>83</v>
      </c>
      <c r="U1171" s="2" t="s">
        <v>113</v>
      </c>
    </row>
    <row r="1172" spans="1:21" ht="14.25" customHeight="1" x14ac:dyDescent="0.3">
      <c r="A1172" s="2" t="s">
        <v>3227</v>
      </c>
      <c r="B1172" s="5">
        <v>42839</v>
      </c>
      <c r="C1172" s="2" t="str">
        <f>TEXT(data[[#This Row],[Order Date]],"YYYY")</f>
        <v>2017</v>
      </c>
      <c r="D1172" s="2">
        <v>42844</v>
      </c>
      <c r="E1172" s="2" t="s">
        <v>39</v>
      </c>
      <c r="F1172" s="2" t="s">
        <v>1866</v>
      </c>
      <c r="G1172" s="2" t="s">
        <v>1867</v>
      </c>
      <c r="H1172" s="2" t="s">
        <v>90</v>
      </c>
      <c r="I1172" s="2" t="s">
        <v>25</v>
      </c>
      <c r="J1172" s="2" t="s">
        <v>3228</v>
      </c>
      <c r="K1172" s="2" t="s">
        <v>362</v>
      </c>
      <c r="L1172" s="2" t="s">
        <v>67</v>
      </c>
      <c r="M1172" s="2" t="s">
        <v>1204</v>
      </c>
      <c r="N1172" s="2" t="s">
        <v>30</v>
      </c>
      <c r="O1172" s="2" t="s">
        <v>56</v>
      </c>
      <c r="P1172" s="2" t="s">
        <v>1205</v>
      </c>
      <c r="Q1172" s="2">
        <v>74.45</v>
      </c>
      <c r="R1172" s="2">
        <v>5</v>
      </c>
      <c r="S1172" s="2">
        <v>20.101500000000001</v>
      </c>
      <c r="T1172" s="2" t="s">
        <v>58</v>
      </c>
      <c r="U1172" s="2" t="s">
        <v>113</v>
      </c>
    </row>
    <row r="1173" spans="1:21" ht="14.25" customHeight="1" x14ac:dyDescent="0.3">
      <c r="A1173" s="2" t="s">
        <v>3229</v>
      </c>
      <c r="B1173" s="5">
        <v>42008</v>
      </c>
      <c r="C1173" s="2" t="str">
        <f>TEXT(data[[#This Row],[Order Date]],"YYYY")</f>
        <v>2015</v>
      </c>
      <c r="D1173" s="2">
        <v>42013</v>
      </c>
      <c r="E1173" s="2" t="s">
        <v>39</v>
      </c>
      <c r="F1173" s="2" t="s">
        <v>3141</v>
      </c>
      <c r="G1173" s="2" t="s">
        <v>3142</v>
      </c>
      <c r="H1173" s="2" t="s">
        <v>90</v>
      </c>
      <c r="I1173" s="2" t="s">
        <v>25</v>
      </c>
      <c r="J1173" s="2" t="s">
        <v>1977</v>
      </c>
      <c r="K1173" s="2" t="s">
        <v>716</v>
      </c>
      <c r="L1173" s="2" t="s">
        <v>28</v>
      </c>
      <c r="M1173" s="2" t="s">
        <v>1290</v>
      </c>
      <c r="N1173" s="2" t="s">
        <v>30</v>
      </c>
      <c r="O1173" s="2" t="s">
        <v>56</v>
      </c>
      <c r="P1173" s="2" t="s">
        <v>1291</v>
      </c>
      <c r="Q1173" s="2">
        <v>192.22</v>
      </c>
      <c r="R1173" s="2">
        <v>14</v>
      </c>
      <c r="S1173" s="2">
        <v>69.199200000000005</v>
      </c>
      <c r="T1173" s="2" t="s">
        <v>58</v>
      </c>
      <c r="U1173" s="2" t="s">
        <v>169</v>
      </c>
    </row>
    <row r="1174" spans="1:21" ht="14.25" customHeight="1" x14ac:dyDescent="0.3">
      <c r="A1174" s="2" t="s">
        <v>3230</v>
      </c>
      <c r="B1174" s="5">
        <v>42933</v>
      </c>
      <c r="C1174" s="2" t="str">
        <f>TEXT(data[[#This Row],[Order Date]],"YYYY")</f>
        <v>2017</v>
      </c>
      <c r="D1174" s="2">
        <v>42935</v>
      </c>
      <c r="E1174" s="2" t="s">
        <v>21</v>
      </c>
      <c r="F1174" s="2" t="s">
        <v>787</v>
      </c>
      <c r="G1174" s="2" t="s">
        <v>788</v>
      </c>
      <c r="H1174" s="2" t="s">
        <v>90</v>
      </c>
      <c r="I1174" s="2" t="s">
        <v>25</v>
      </c>
      <c r="J1174" s="2" t="s">
        <v>3231</v>
      </c>
      <c r="K1174" s="2" t="s">
        <v>53</v>
      </c>
      <c r="L1174" s="2" t="s">
        <v>54</v>
      </c>
      <c r="M1174" s="2" t="s">
        <v>260</v>
      </c>
      <c r="N1174" s="2" t="s">
        <v>30</v>
      </c>
      <c r="O1174" s="2" t="s">
        <v>31</v>
      </c>
      <c r="P1174" s="2" t="s">
        <v>261</v>
      </c>
      <c r="Q1174" s="2">
        <v>1194.165</v>
      </c>
      <c r="R1174" s="2">
        <v>5</v>
      </c>
      <c r="S1174" s="2">
        <v>210.73500000000001</v>
      </c>
      <c r="T1174" s="2" t="s">
        <v>70</v>
      </c>
      <c r="U1174" s="2" t="s">
        <v>71</v>
      </c>
    </row>
    <row r="1175" spans="1:21" ht="14.25" customHeight="1" x14ac:dyDescent="0.3">
      <c r="A1175" s="2" t="s">
        <v>3232</v>
      </c>
      <c r="B1175" s="5">
        <v>42722</v>
      </c>
      <c r="C1175" s="2" t="str">
        <f>TEXT(data[[#This Row],[Order Date]],"YYYY")</f>
        <v>2016</v>
      </c>
      <c r="D1175" s="2">
        <v>42725</v>
      </c>
      <c r="E1175" s="2" t="s">
        <v>87</v>
      </c>
      <c r="F1175" s="2" t="s">
        <v>1689</v>
      </c>
      <c r="G1175" s="2" t="s">
        <v>1690</v>
      </c>
      <c r="H1175" s="2" t="s">
        <v>100</v>
      </c>
      <c r="I1175" s="2" t="s">
        <v>25</v>
      </c>
      <c r="J1175" s="2" t="s">
        <v>3233</v>
      </c>
      <c r="K1175" s="2" t="s">
        <v>1517</v>
      </c>
      <c r="L1175" s="2" t="s">
        <v>54</v>
      </c>
      <c r="M1175" s="2" t="s">
        <v>1284</v>
      </c>
      <c r="N1175" s="2" t="s">
        <v>30</v>
      </c>
      <c r="O1175" s="2" t="s">
        <v>45</v>
      </c>
      <c r="P1175" s="2" t="s">
        <v>1285</v>
      </c>
      <c r="Q1175" s="2">
        <v>377.45</v>
      </c>
      <c r="R1175" s="2">
        <v>5</v>
      </c>
      <c r="S1175" s="2">
        <v>-264.21499999999997</v>
      </c>
      <c r="T1175" s="2" t="s">
        <v>33</v>
      </c>
      <c r="U1175" s="2" t="s">
        <v>96</v>
      </c>
    </row>
    <row r="1176" spans="1:21" ht="14.25" customHeight="1" x14ac:dyDescent="0.3">
      <c r="A1176" s="2" t="s">
        <v>3234</v>
      </c>
      <c r="B1176" s="5">
        <v>42637</v>
      </c>
      <c r="C1176" s="2" t="str">
        <f>TEXT(data[[#This Row],[Order Date]],"YYYY")</f>
        <v>2016</v>
      </c>
      <c r="D1176" s="2">
        <v>42644</v>
      </c>
      <c r="E1176" s="2" t="s">
        <v>39</v>
      </c>
      <c r="F1176" s="2" t="s">
        <v>3004</v>
      </c>
      <c r="G1176" s="2" t="s">
        <v>3005</v>
      </c>
      <c r="H1176" s="2" t="s">
        <v>100</v>
      </c>
      <c r="I1176" s="2" t="s">
        <v>25</v>
      </c>
      <c r="J1176" s="2" t="s">
        <v>179</v>
      </c>
      <c r="K1176" s="2" t="s">
        <v>180</v>
      </c>
      <c r="L1176" s="2" t="s">
        <v>54</v>
      </c>
      <c r="M1176" s="2" t="s">
        <v>373</v>
      </c>
      <c r="N1176" s="2" t="s">
        <v>30</v>
      </c>
      <c r="O1176" s="2" t="s">
        <v>56</v>
      </c>
      <c r="P1176" s="2" t="s">
        <v>374</v>
      </c>
      <c r="Q1176" s="2">
        <v>21.44</v>
      </c>
      <c r="R1176" s="2">
        <v>2</v>
      </c>
      <c r="S1176" s="2">
        <v>7.5039999999999996</v>
      </c>
      <c r="T1176" s="2" t="s">
        <v>47</v>
      </c>
      <c r="U1176" s="2" t="s">
        <v>77</v>
      </c>
    </row>
    <row r="1177" spans="1:21" ht="14.25" customHeight="1" x14ac:dyDescent="0.3">
      <c r="A1177" s="2" t="s">
        <v>3235</v>
      </c>
      <c r="B1177" s="5">
        <v>42164</v>
      </c>
      <c r="C1177" s="2" t="str">
        <f>TEXT(data[[#This Row],[Order Date]],"YYYY")</f>
        <v>2015</v>
      </c>
      <c r="D1177" s="2">
        <v>42166</v>
      </c>
      <c r="E1177" s="2" t="s">
        <v>21</v>
      </c>
      <c r="F1177" s="2" t="s">
        <v>3236</v>
      </c>
      <c r="G1177" s="2" t="s">
        <v>3237</v>
      </c>
      <c r="H1177" s="2" t="s">
        <v>24</v>
      </c>
      <c r="I1177" s="2" t="s">
        <v>25</v>
      </c>
      <c r="J1177" s="2" t="s">
        <v>3238</v>
      </c>
      <c r="K1177" s="2" t="s">
        <v>2280</v>
      </c>
      <c r="L1177" s="2" t="s">
        <v>54</v>
      </c>
      <c r="M1177" s="2" t="s">
        <v>3157</v>
      </c>
      <c r="N1177" s="2" t="s">
        <v>30</v>
      </c>
      <c r="O1177" s="2" t="s">
        <v>56</v>
      </c>
      <c r="P1177" s="2" t="s">
        <v>3158</v>
      </c>
      <c r="Q1177" s="2">
        <v>355.36</v>
      </c>
      <c r="R1177" s="2">
        <v>4</v>
      </c>
      <c r="S1177" s="2">
        <v>92.393600000000006</v>
      </c>
      <c r="T1177" s="2" t="s">
        <v>70</v>
      </c>
      <c r="U1177" s="2" t="s">
        <v>59</v>
      </c>
    </row>
    <row r="1178" spans="1:21" ht="14.25" customHeight="1" x14ac:dyDescent="0.3">
      <c r="A1178" s="2" t="s">
        <v>3239</v>
      </c>
      <c r="B1178" s="5">
        <v>42002</v>
      </c>
      <c r="C1178" s="2" t="str">
        <f>TEXT(data[[#This Row],[Order Date]],"YYYY")</f>
        <v>2014</v>
      </c>
      <c r="D1178" s="2">
        <v>42009</v>
      </c>
      <c r="E1178" s="2" t="s">
        <v>39</v>
      </c>
      <c r="F1178" s="2" t="s">
        <v>843</v>
      </c>
      <c r="G1178" s="2" t="s">
        <v>844</v>
      </c>
      <c r="H1178" s="2" t="s">
        <v>24</v>
      </c>
      <c r="I1178" s="2" t="s">
        <v>25</v>
      </c>
      <c r="J1178" s="2" t="s">
        <v>133</v>
      </c>
      <c r="K1178" s="2" t="s">
        <v>134</v>
      </c>
      <c r="L1178" s="2" t="s">
        <v>93</v>
      </c>
      <c r="M1178" s="2" t="s">
        <v>2395</v>
      </c>
      <c r="N1178" s="2" t="s">
        <v>30</v>
      </c>
      <c r="O1178" s="2" t="s">
        <v>56</v>
      </c>
      <c r="P1178" s="2" t="s">
        <v>2396</v>
      </c>
      <c r="Q1178" s="2">
        <v>38.975999999999999</v>
      </c>
      <c r="R1178" s="2">
        <v>3</v>
      </c>
      <c r="S1178" s="2">
        <v>-50.668799999999997</v>
      </c>
      <c r="T1178" s="2" t="s">
        <v>47</v>
      </c>
      <c r="U1178" s="2" t="s">
        <v>96</v>
      </c>
    </row>
    <row r="1179" spans="1:21" ht="14.25" customHeight="1" x14ac:dyDescent="0.3">
      <c r="A1179" s="2" t="s">
        <v>3240</v>
      </c>
      <c r="B1179" s="5">
        <v>41848</v>
      </c>
      <c r="C1179" s="2" t="str">
        <f>TEXT(data[[#This Row],[Order Date]],"YYYY")</f>
        <v>2014</v>
      </c>
      <c r="D1179" s="2">
        <v>41848</v>
      </c>
      <c r="E1179" s="2" t="s">
        <v>425</v>
      </c>
      <c r="F1179" s="2" t="s">
        <v>1359</v>
      </c>
      <c r="G1179" s="2" t="s">
        <v>1360</v>
      </c>
      <c r="H1179" s="2" t="s">
        <v>24</v>
      </c>
      <c r="I1179" s="2" t="s">
        <v>25</v>
      </c>
      <c r="J1179" s="2" t="s">
        <v>3241</v>
      </c>
      <c r="K1179" s="2" t="s">
        <v>43</v>
      </c>
      <c r="L1179" s="2" t="s">
        <v>28</v>
      </c>
      <c r="M1179" s="2" t="s">
        <v>1709</v>
      </c>
      <c r="N1179" s="2" t="s">
        <v>30</v>
      </c>
      <c r="O1179" s="2" t="s">
        <v>56</v>
      </c>
      <c r="P1179" s="2" t="s">
        <v>1710</v>
      </c>
      <c r="Q1179" s="2">
        <v>129.88800000000001</v>
      </c>
      <c r="R1179" s="2">
        <v>6</v>
      </c>
      <c r="S1179" s="2">
        <v>12.988799999999999</v>
      </c>
      <c r="T1179" s="2" t="s">
        <v>430</v>
      </c>
      <c r="U1179" s="2" t="s">
        <v>71</v>
      </c>
    </row>
    <row r="1180" spans="1:21" ht="14.25" customHeight="1" x14ac:dyDescent="0.3">
      <c r="A1180" s="2" t="s">
        <v>3242</v>
      </c>
      <c r="B1180" s="5">
        <v>42364</v>
      </c>
      <c r="C1180" s="2" t="str">
        <f>TEXT(data[[#This Row],[Order Date]],"YYYY")</f>
        <v>2015</v>
      </c>
      <c r="D1180" s="2">
        <v>42369</v>
      </c>
      <c r="E1180" s="2" t="s">
        <v>39</v>
      </c>
      <c r="F1180" s="2" t="s">
        <v>3243</v>
      </c>
      <c r="G1180" s="2" t="s">
        <v>3244</v>
      </c>
      <c r="H1180" s="2" t="s">
        <v>100</v>
      </c>
      <c r="I1180" s="2" t="s">
        <v>25</v>
      </c>
      <c r="J1180" s="2" t="s">
        <v>101</v>
      </c>
      <c r="K1180" s="2" t="s">
        <v>92</v>
      </c>
      <c r="L1180" s="2" t="s">
        <v>93</v>
      </c>
      <c r="M1180" s="2" t="s">
        <v>3175</v>
      </c>
      <c r="N1180" s="2" t="s">
        <v>30</v>
      </c>
      <c r="O1180" s="2" t="s">
        <v>36</v>
      </c>
      <c r="P1180" s="2" t="s">
        <v>3176</v>
      </c>
      <c r="Q1180" s="2">
        <v>275.05799999999999</v>
      </c>
      <c r="R1180" s="2">
        <v>3</v>
      </c>
      <c r="S1180" s="2">
        <v>-90.376199999999997</v>
      </c>
      <c r="T1180" s="2" t="s">
        <v>58</v>
      </c>
      <c r="U1180" s="2" t="s">
        <v>96</v>
      </c>
    </row>
    <row r="1181" spans="1:21" ht="14.25" customHeight="1" x14ac:dyDescent="0.3">
      <c r="A1181" s="2" t="s">
        <v>3245</v>
      </c>
      <c r="B1181" s="5">
        <v>42348</v>
      </c>
      <c r="C1181" s="2" t="str">
        <f>TEXT(data[[#This Row],[Order Date]],"YYYY")</f>
        <v>2015</v>
      </c>
      <c r="D1181" s="2">
        <v>42354</v>
      </c>
      <c r="E1181" s="2" t="s">
        <v>39</v>
      </c>
      <c r="F1181" s="2" t="s">
        <v>975</v>
      </c>
      <c r="G1181" s="2" t="s">
        <v>976</v>
      </c>
      <c r="H1181" s="2" t="s">
        <v>90</v>
      </c>
      <c r="I1181" s="2" t="s">
        <v>25</v>
      </c>
      <c r="J1181" s="2" t="s">
        <v>2754</v>
      </c>
      <c r="K1181" s="2" t="s">
        <v>1089</v>
      </c>
      <c r="L1181" s="2" t="s">
        <v>67</v>
      </c>
      <c r="M1181" s="2" t="s">
        <v>420</v>
      </c>
      <c r="N1181" s="2" t="s">
        <v>30</v>
      </c>
      <c r="O1181" s="2" t="s">
        <v>36</v>
      </c>
      <c r="P1181" s="2" t="s">
        <v>421</v>
      </c>
      <c r="Q1181" s="2">
        <v>542.94000000000005</v>
      </c>
      <c r="R1181" s="2">
        <v>3</v>
      </c>
      <c r="S1181" s="2">
        <v>141.1644</v>
      </c>
      <c r="T1181" s="2" t="s">
        <v>129</v>
      </c>
      <c r="U1181" s="2" t="s">
        <v>96</v>
      </c>
    </row>
    <row r="1182" spans="1:21" ht="14.25" customHeight="1" x14ac:dyDescent="0.3">
      <c r="A1182" s="2" t="s">
        <v>3246</v>
      </c>
      <c r="B1182" s="5">
        <v>42495</v>
      </c>
      <c r="C1182" s="2" t="str">
        <f>TEXT(data[[#This Row],[Order Date]],"YYYY")</f>
        <v>2016</v>
      </c>
      <c r="D1182" s="2">
        <v>42497</v>
      </c>
      <c r="E1182" s="2" t="s">
        <v>21</v>
      </c>
      <c r="F1182" s="2" t="s">
        <v>3027</v>
      </c>
      <c r="G1182" s="2" t="s">
        <v>3028</v>
      </c>
      <c r="H1182" s="2" t="s">
        <v>24</v>
      </c>
      <c r="I1182" s="2" t="s">
        <v>25</v>
      </c>
      <c r="J1182" s="2" t="s">
        <v>328</v>
      </c>
      <c r="K1182" s="2" t="s">
        <v>53</v>
      </c>
      <c r="L1182" s="2" t="s">
        <v>54</v>
      </c>
      <c r="M1182" s="2" t="s">
        <v>1249</v>
      </c>
      <c r="N1182" s="2" t="s">
        <v>30</v>
      </c>
      <c r="O1182" s="2" t="s">
        <v>45</v>
      </c>
      <c r="P1182" s="2" t="s">
        <v>1250</v>
      </c>
      <c r="Q1182" s="2">
        <v>71.087999999999994</v>
      </c>
      <c r="R1182" s="2">
        <v>2</v>
      </c>
      <c r="S1182" s="2">
        <v>-1.7771999999999999</v>
      </c>
      <c r="T1182" s="2" t="s">
        <v>70</v>
      </c>
      <c r="U1182" s="2" t="s">
        <v>161</v>
      </c>
    </row>
    <row r="1183" spans="1:21" ht="14.25" customHeight="1" x14ac:dyDescent="0.3">
      <c r="A1183" s="2" t="s">
        <v>3247</v>
      </c>
      <c r="B1183" s="5">
        <v>41987</v>
      </c>
      <c r="C1183" s="2" t="str">
        <f>TEXT(data[[#This Row],[Order Date]],"YYYY")</f>
        <v>2014</v>
      </c>
      <c r="D1183" s="2">
        <v>41994</v>
      </c>
      <c r="E1183" s="2" t="s">
        <v>39</v>
      </c>
      <c r="F1183" s="2" t="s">
        <v>3248</v>
      </c>
      <c r="G1183" s="2" t="s">
        <v>3249</v>
      </c>
      <c r="H1183" s="2" t="s">
        <v>24</v>
      </c>
      <c r="I1183" s="2" t="s">
        <v>25</v>
      </c>
      <c r="J1183" s="2" t="s">
        <v>1770</v>
      </c>
      <c r="K1183" s="2" t="s">
        <v>231</v>
      </c>
      <c r="L1183" s="2" t="s">
        <v>67</v>
      </c>
      <c r="M1183" s="2" t="s">
        <v>1883</v>
      </c>
      <c r="N1183" s="2" t="s">
        <v>30</v>
      </c>
      <c r="O1183" s="2" t="s">
        <v>45</v>
      </c>
      <c r="P1183" s="2" t="s">
        <v>1884</v>
      </c>
      <c r="Q1183" s="2">
        <v>136.53</v>
      </c>
      <c r="R1183" s="2">
        <v>1</v>
      </c>
      <c r="S1183" s="2">
        <v>-52.336500000000001</v>
      </c>
      <c r="T1183" s="2" t="s">
        <v>47</v>
      </c>
      <c r="U1183" s="2" t="s">
        <v>96</v>
      </c>
    </row>
    <row r="1184" spans="1:21" ht="14.25" customHeight="1" x14ac:dyDescent="0.3">
      <c r="A1184" s="2" t="s">
        <v>3250</v>
      </c>
      <c r="B1184" s="5">
        <v>42132</v>
      </c>
      <c r="C1184" s="2" t="str">
        <f>TEXT(data[[#This Row],[Order Date]],"YYYY")</f>
        <v>2015</v>
      </c>
      <c r="D1184" s="2">
        <v>42139</v>
      </c>
      <c r="E1184" s="2" t="s">
        <v>39</v>
      </c>
      <c r="F1184" s="2" t="s">
        <v>2235</v>
      </c>
      <c r="G1184" s="2" t="s">
        <v>2236</v>
      </c>
      <c r="H1184" s="2" t="s">
        <v>24</v>
      </c>
      <c r="I1184" s="2" t="s">
        <v>25</v>
      </c>
      <c r="J1184" s="2" t="s">
        <v>173</v>
      </c>
      <c r="K1184" s="2" t="s">
        <v>120</v>
      </c>
      <c r="L1184" s="2" t="s">
        <v>67</v>
      </c>
      <c r="M1184" s="2" t="s">
        <v>943</v>
      </c>
      <c r="N1184" s="2" t="s">
        <v>30</v>
      </c>
      <c r="O1184" s="2" t="s">
        <v>56</v>
      </c>
      <c r="P1184" s="2" t="s">
        <v>944</v>
      </c>
      <c r="Q1184" s="2">
        <v>79.44</v>
      </c>
      <c r="R1184" s="2">
        <v>3</v>
      </c>
      <c r="S1184" s="2">
        <v>30.187200000000001</v>
      </c>
      <c r="T1184" s="2" t="s">
        <v>47</v>
      </c>
      <c r="U1184" s="2" t="s">
        <v>161</v>
      </c>
    </row>
    <row r="1185" spans="1:21" ht="14.25" customHeight="1" x14ac:dyDescent="0.3">
      <c r="A1185" s="2" t="s">
        <v>3250</v>
      </c>
      <c r="B1185" s="5">
        <v>42132</v>
      </c>
      <c r="C1185" s="2" t="str">
        <f>TEXT(data[[#This Row],[Order Date]],"YYYY")</f>
        <v>2015</v>
      </c>
      <c r="D1185" s="2">
        <v>42139</v>
      </c>
      <c r="E1185" s="2" t="s">
        <v>39</v>
      </c>
      <c r="F1185" s="2" t="s">
        <v>2235</v>
      </c>
      <c r="G1185" s="2" t="s">
        <v>2236</v>
      </c>
      <c r="H1185" s="2" t="s">
        <v>24</v>
      </c>
      <c r="I1185" s="2" t="s">
        <v>25</v>
      </c>
      <c r="J1185" s="2" t="s">
        <v>173</v>
      </c>
      <c r="K1185" s="2" t="s">
        <v>120</v>
      </c>
      <c r="L1185" s="2" t="s">
        <v>67</v>
      </c>
      <c r="M1185" s="2" t="s">
        <v>590</v>
      </c>
      <c r="N1185" s="2" t="s">
        <v>30</v>
      </c>
      <c r="O1185" s="2" t="s">
        <v>36</v>
      </c>
      <c r="P1185" s="2" t="s">
        <v>591</v>
      </c>
      <c r="Q1185" s="2">
        <v>127.764</v>
      </c>
      <c r="R1185" s="2">
        <v>2</v>
      </c>
      <c r="S1185" s="2">
        <v>21.294</v>
      </c>
      <c r="T1185" s="2" t="s">
        <v>47</v>
      </c>
      <c r="U1185" s="2" t="s">
        <v>161</v>
      </c>
    </row>
    <row r="1186" spans="1:21" ht="14.25" customHeight="1" x14ac:dyDescent="0.3">
      <c r="A1186" s="2" t="s">
        <v>3251</v>
      </c>
      <c r="B1186" s="5">
        <v>43077</v>
      </c>
      <c r="C1186" s="2" t="str">
        <f>TEXT(data[[#This Row],[Order Date]],"YYYY")</f>
        <v>2017</v>
      </c>
      <c r="D1186" s="2">
        <v>43082</v>
      </c>
      <c r="E1186" s="2" t="s">
        <v>39</v>
      </c>
      <c r="F1186" s="2" t="s">
        <v>532</v>
      </c>
      <c r="G1186" s="2" t="s">
        <v>533</v>
      </c>
      <c r="H1186" s="2" t="s">
        <v>24</v>
      </c>
      <c r="I1186" s="2" t="s">
        <v>25</v>
      </c>
      <c r="J1186" s="2" t="s">
        <v>1485</v>
      </c>
      <c r="K1186" s="2" t="s">
        <v>238</v>
      </c>
      <c r="L1186" s="2" t="s">
        <v>93</v>
      </c>
      <c r="M1186" s="2" t="s">
        <v>1476</v>
      </c>
      <c r="N1186" s="2" t="s">
        <v>30</v>
      </c>
      <c r="O1186" s="2" t="s">
        <v>31</v>
      </c>
      <c r="P1186" s="2" t="s">
        <v>1477</v>
      </c>
      <c r="Q1186" s="2">
        <v>459.92</v>
      </c>
      <c r="R1186" s="2">
        <v>4</v>
      </c>
      <c r="S1186" s="2">
        <v>41.392800000000001</v>
      </c>
      <c r="T1186" s="2" t="s">
        <v>58</v>
      </c>
      <c r="U1186" s="2" t="s">
        <v>96</v>
      </c>
    </row>
    <row r="1187" spans="1:21" ht="14.25" customHeight="1" x14ac:dyDescent="0.3">
      <c r="A1187" s="2" t="s">
        <v>3252</v>
      </c>
      <c r="B1187" s="5">
        <v>42915</v>
      </c>
      <c r="C1187" s="2" t="str">
        <f>TEXT(data[[#This Row],[Order Date]],"YYYY")</f>
        <v>2017</v>
      </c>
      <c r="D1187" s="2">
        <v>42918</v>
      </c>
      <c r="E1187" s="2" t="s">
        <v>87</v>
      </c>
      <c r="F1187" s="2" t="s">
        <v>332</v>
      </c>
      <c r="G1187" s="2" t="s">
        <v>333</v>
      </c>
      <c r="H1187" s="2" t="s">
        <v>90</v>
      </c>
      <c r="I1187" s="2" t="s">
        <v>25</v>
      </c>
      <c r="J1187" s="2" t="s">
        <v>3253</v>
      </c>
      <c r="K1187" s="2" t="s">
        <v>429</v>
      </c>
      <c r="L1187" s="2" t="s">
        <v>67</v>
      </c>
      <c r="M1187" s="2" t="s">
        <v>2420</v>
      </c>
      <c r="N1187" s="2" t="s">
        <v>30</v>
      </c>
      <c r="O1187" s="2" t="s">
        <v>31</v>
      </c>
      <c r="P1187" s="2" t="s">
        <v>2421</v>
      </c>
      <c r="Q1187" s="2">
        <v>638.82000000000005</v>
      </c>
      <c r="R1187" s="2">
        <v>9</v>
      </c>
      <c r="S1187" s="2">
        <v>185.2578</v>
      </c>
      <c r="T1187" s="2" t="s">
        <v>33</v>
      </c>
      <c r="U1187" s="2" t="s">
        <v>59</v>
      </c>
    </row>
    <row r="1188" spans="1:21" ht="14.25" customHeight="1" x14ac:dyDescent="0.3">
      <c r="A1188" s="2" t="s">
        <v>3252</v>
      </c>
      <c r="B1188" s="5">
        <v>42915</v>
      </c>
      <c r="C1188" s="2" t="str">
        <f>TEXT(data[[#This Row],[Order Date]],"YYYY")</f>
        <v>2017</v>
      </c>
      <c r="D1188" s="2">
        <v>42918</v>
      </c>
      <c r="E1188" s="2" t="s">
        <v>87</v>
      </c>
      <c r="F1188" s="2" t="s">
        <v>332</v>
      </c>
      <c r="G1188" s="2" t="s">
        <v>333</v>
      </c>
      <c r="H1188" s="2" t="s">
        <v>90</v>
      </c>
      <c r="I1188" s="2" t="s">
        <v>25</v>
      </c>
      <c r="J1188" s="2" t="s">
        <v>3253</v>
      </c>
      <c r="K1188" s="2" t="s">
        <v>429</v>
      </c>
      <c r="L1188" s="2" t="s">
        <v>67</v>
      </c>
      <c r="M1188" s="2" t="s">
        <v>1268</v>
      </c>
      <c r="N1188" s="2" t="s">
        <v>30</v>
      </c>
      <c r="O1188" s="2" t="s">
        <v>56</v>
      </c>
      <c r="P1188" s="2" t="s">
        <v>1269</v>
      </c>
      <c r="Q1188" s="2">
        <v>25.16</v>
      </c>
      <c r="R1188" s="2">
        <v>2</v>
      </c>
      <c r="S1188" s="2">
        <v>8.5543999999999993</v>
      </c>
      <c r="T1188" s="2" t="s">
        <v>33</v>
      </c>
      <c r="U1188" s="2" t="s">
        <v>59</v>
      </c>
    </row>
    <row r="1189" spans="1:21" ht="14.25" customHeight="1" x14ac:dyDescent="0.3">
      <c r="A1189" s="2" t="s">
        <v>3254</v>
      </c>
      <c r="B1189" s="5">
        <v>41659</v>
      </c>
      <c r="C1189" s="2" t="str">
        <f>TEXT(data[[#This Row],[Order Date]],"YYYY")</f>
        <v>2014</v>
      </c>
      <c r="D1189" s="2">
        <v>41664</v>
      </c>
      <c r="E1189" s="2" t="s">
        <v>39</v>
      </c>
      <c r="F1189" s="2" t="s">
        <v>1791</v>
      </c>
      <c r="G1189" s="2" t="s">
        <v>1792</v>
      </c>
      <c r="H1189" s="2" t="s">
        <v>24</v>
      </c>
      <c r="I1189" s="2" t="s">
        <v>25</v>
      </c>
      <c r="J1189" s="2" t="s">
        <v>52</v>
      </c>
      <c r="K1189" s="2" t="s">
        <v>53</v>
      </c>
      <c r="L1189" s="2" t="s">
        <v>54</v>
      </c>
      <c r="M1189" s="2" t="s">
        <v>152</v>
      </c>
      <c r="N1189" s="2" t="s">
        <v>30</v>
      </c>
      <c r="O1189" s="2" t="s">
        <v>56</v>
      </c>
      <c r="P1189" s="2" t="s">
        <v>153</v>
      </c>
      <c r="Q1189" s="2">
        <v>19.3</v>
      </c>
      <c r="R1189" s="2">
        <v>2</v>
      </c>
      <c r="S1189" s="2">
        <v>5.79</v>
      </c>
      <c r="T1189" s="2" t="s">
        <v>58</v>
      </c>
      <c r="U1189" s="2" t="s">
        <v>169</v>
      </c>
    </row>
    <row r="1190" spans="1:21" ht="14.25" customHeight="1" x14ac:dyDescent="0.3">
      <c r="A1190" s="2" t="s">
        <v>3255</v>
      </c>
      <c r="B1190" s="5">
        <v>42822</v>
      </c>
      <c r="C1190" s="2" t="str">
        <f>TEXT(data[[#This Row],[Order Date]],"YYYY")</f>
        <v>2017</v>
      </c>
      <c r="D1190" s="2">
        <v>42825</v>
      </c>
      <c r="E1190" s="2" t="s">
        <v>87</v>
      </c>
      <c r="F1190" s="2" t="s">
        <v>3256</v>
      </c>
      <c r="G1190" s="2" t="s">
        <v>3257</v>
      </c>
      <c r="H1190" s="2" t="s">
        <v>90</v>
      </c>
      <c r="I1190" s="2" t="s">
        <v>25</v>
      </c>
      <c r="J1190" s="2" t="s">
        <v>1580</v>
      </c>
      <c r="K1190" s="2" t="s">
        <v>53</v>
      </c>
      <c r="L1190" s="2" t="s">
        <v>54</v>
      </c>
      <c r="M1190" s="2" t="s">
        <v>943</v>
      </c>
      <c r="N1190" s="2" t="s">
        <v>30</v>
      </c>
      <c r="O1190" s="2" t="s">
        <v>56</v>
      </c>
      <c r="P1190" s="2" t="s">
        <v>944</v>
      </c>
      <c r="Q1190" s="2">
        <v>26.48</v>
      </c>
      <c r="R1190" s="2">
        <v>1</v>
      </c>
      <c r="S1190" s="2">
        <v>10.0624</v>
      </c>
      <c r="T1190" s="2" t="s">
        <v>33</v>
      </c>
      <c r="U1190" s="2" t="s">
        <v>195</v>
      </c>
    </row>
    <row r="1191" spans="1:21" ht="14.25" customHeight="1" x14ac:dyDescent="0.3">
      <c r="A1191" s="2" t="s">
        <v>3255</v>
      </c>
      <c r="B1191" s="5">
        <v>42822</v>
      </c>
      <c r="C1191" s="2" t="str">
        <f>TEXT(data[[#This Row],[Order Date]],"YYYY")</f>
        <v>2017</v>
      </c>
      <c r="D1191" s="2">
        <v>42825</v>
      </c>
      <c r="E1191" s="2" t="s">
        <v>87</v>
      </c>
      <c r="F1191" s="2" t="s">
        <v>3256</v>
      </c>
      <c r="G1191" s="2" t="s">
        <v>3257</v>
      </c>
      <c r="H1191" s="2" t="s">
        <v>90</v>
      </c>
      <c r="I1191" s="2" t="s">
        <v>25</v>
      </c>
      <c r="J1191" s="2" t="s">
        <v>1580</v>
      </c>
      <c r="K1191" s="2" t="s">
        <v>53</v>
      </c>
      <c r="L1191" s="2" t="s">
        <v>54</v>
      </c>
      <c r="M1191" s="2" t="s">
        <v>2011</v>
      </c>
      <c r="N1191" s="2" t="s">
        <v>30</v>
      </c>
      <c r="O1191" s="2" t="s">
        <v>56</v>
      </c>
      <c r="P1191" s="2" t="s">
        <v>2012</v>
      </c>
      <c r="Q1191" s="2">
        <v>21.56</v>
      </c>
      <c r="R1191" s="2">
        <v>7</v>
      </c>
      <c r="S1191" s="2">
        <v>6.8992000000000004</v>
      </c>
      <c r="T1191" s="2" t="s">
        <v>33</v>
      </c>
      <c r="U1191" s="2" t="s">
        <v>195</v>
      </c>
    </row>
    <row r="1192" spans="1:21" ht="14.25" customHeight="1" x14ac:dyDescent="0.3">
      <c r="A1192" s="2" t="s">
        <v>3258</v>
      </c>
      <c r="B1192" s="5">
        <v>41789</v>
      </c>
      <c r="C1192" s="2" t="str">
        <f>TEXT(data[[#This Row],[Order Date]],"YYYY")</f>
        <v>2014</v>
      </c>
      <c r="D1192" s="2">
        <v>41795</v>
      </c>
      <c r="E1192" s="2" t="s">
        <v>39</v>
      </c>
      <c r="F1192" s="2" t="s">
        <v>3012</v>
      </c>
      <c r="G1192" s="2" t="s">
        <v>3013</v>
      </c>
      <c r="H1192" s="2" t="s">
        <v>24</v>
      </c>
      <c r="I1192" s="2" t="s">
        <v>25</v>
      </c>
      <c r="J1192" s="2" t="s">
        <v>3259</v>
      </c>
      <c r="K1192" s="2" t="s">
        <v>134</v>
      </c>
      <c r="L1192" s="2" t="s">
        <v>93</v>
      </c>
      <c r="M1192" s="2" t="s">
        <v>60</v>
      </c>
      <c r="N1192" s="2" t="s">
        <v>30</v>
      </c>
      <c r="O1192" s="2" t="s">
        <v>45</v>
      </c>
      <c r="P1192" s="2" t="s">
        <v>61</v>
      </c>
      <c r="Q1192" s="2">
        <v>355.45499999999998</v>
      </c>
      <c r="R1192" s="2">
        <v>3</v>
      </c>
      <c r="S1192" s="2">
        <v>-184.8366</v>
      </c>
      <c r="T1192" s="2" t="s">
        <v>129</v>
      </c>
      <c r="U1192" s="2" t="s">
        <v>161</v>
      </c>
    </row>
    <row r="1193" spans="1:21" ht="14.25" customHeight="1" x14ac:dyDescent="0.3">
      <c r="A1193" s="2" t="s">
        <v>3260</v>
      </c>
      <c r="B1193" s="5">
        <v>42403</v>
      </c>
      <c r="C1193" s="2" t="str">
        <f>TEXT(data[[#This Row],[Order Date]],"YYYY")</f>
        <v>2016</v>
      </c>
      <c r="D1193" s="2">
        <v>42410</v>
      </c>
      <c r="E1193" s="2" t="s">
        <v>39</v>
      </c>
      <c r="F1193" s="2" t="s">
        <v>2415</v>
      </c>
      <c r="G1193" s="2" t="s">
        <v>2416</v>
      </c>
      <c r="H1193" s="2" t="s">
        <v>24</v>
      </c>
      <c r="I1193" s="2" t="s">
        <v>25</v>
      </c>
      <c r="J1193" s="2" t="s">
        <v>635</v>
      </c>
      <c r="K1193" s="2" t="s">
        <v>27</v>
      </c>
      <c r="L1193" s="2" t="s">
        <v>28</v>
      </c>
      <c r="M1193" s="2" t="s">
        <v>479</v>
      </c>
      <c r="N1193" s="2" t="s">
        <v>30</v>
      </c>
      <c r="O1193" s="2" t="s">
        <v>36</v>
      </c>
      <c r="P1193" s="2" t="s">
        <v>480</v>
      </c>
      <c r="Q1193" s="2">
        <v>866.4</v>
      </c>
      <c r="R1193" s="2">
        <v>4</v>
      </c>
      <c r="S1193" s="2">
        <v>225.26400000000001</v>
      </c>
      <c r="T1193" s="2" t="s">
        <v>47</v>
      </c>
      <c r="U1193" s="2" t="s">
        <v>297</v>
      </c>
    </row>
    <row r="1194" spans="1:21" ht="14.25" customHeight="1" x14ac:dyDescent="0.3">
      <c r="A1194" s="2" t="s">
        <v>3261</v>
      </c>
      <c r="B1194" s="5">
        <v>42227</v>
      </c>
      <c r="C1194" s="2" t="str">
        <f>TEXT(data[[#This Row],[Order Date]],"YYYY")</f>
        <v>2015</v>
      </c>
      <c r="D1194" s="2">
        <v>42232</v>
      </c>
      <c r="E1194" s="2" t="s">
        <v>39</v>
      </c>
      <c r="F1194" s="2" t="s">
        <v>3262</v>
      </c>
      <c r="G1194" s="2" t="s">
        <v>3263</v>
      </c>
      <c r="H1194" s="2" t="s">
        <v>24</v>
      </c>
      <c r="I1194" s="2" t="s">
        <v>25</v>
      </c>
      <c r="J1194" s="2" t="s">
        <v>2017</v>
      </c>
      <c r="K1194" s="2" t="s">
        <v>1036</v>
      </c>
      <c r="L1194" s="2" t="s">
        <v>28</v>
      </c>
      <c r="M1194" s="2" t="s">
        <v>1311</v>
      </c>
      <c r="N1194" s="2" t="s">
        <v>30</v>
      </c>
      <c r="O1194" s="2" t="s">
        <v>56</v>
      </c>
      <c r="P1194" s="2" t="s">
        <v>2022</v>
      </c>
      <c r="Q1194" s="2">
        <v>46.152000000000001</v>
      </c>
      <c r="R1194" s="2">
        <v>3</v>
      </c>
      <c r="S1194" s="2">
        <v>12.1149</v>
      </c>
      <c r="T1194" s="2" t="s">
        <v>58</v>
      </c>
      <c r="U1194" s="2" t="s">
        <v>253</v>
      </c>
    </row>
    <row r="1195" spans="1:21" ht="14.25" customHeight="1" x14ac:dyDescent="0.3">
      <c r="A1195" s="2" t="s">
        <v>3264</v>
      </c>
      <c r="B1195" s="5">
        <v>42959</v>
      </c>
      <c r="C1195" s="2" t="str">
        <f>TEXT(data[[#This Row],[Order Date]],"YYYY")</f>
        <v>2017</v>
      </c>
      <c r="D1195" s="2">
        <v>42962</v>
      </c>
      <c r="E1195" s="2" t="s">
        <v>87</v>
      </c>
      <c r="F1195" s="2" t="s">
        <v>2167</v>
      </c>
      <c r="G1195" s="2" t="s">
        <v>2168</v>
      </c>
      <c r="H1195" s="2" t="s">
        <v>24</v>
      </c>
      <c r="I1195" s="2" t="s">
        <v>25</v>
      </c>
      <c r="J1195" s="2" t="s">
        <v>3265</v>
      </c>
      <c r="K1195" s="2" t="s">
        <v>53</v>
      </c>
      <c r="L1195" s="2" t="s">
        <v>54</v>
      </c>
      <c r="M1195" s="2" t="s">
        <v>1290</v>
      </c>
      <c r="N1195" s="2" t="s">
        <v>30</v>
      </c>
      <c r="O1195" s="2" t="s">
        <v>56</v>
      </c>
      <c r="P1195" s="2" t="s">
        <v>1291</v>
      </c>
      <c r="Q1195" s="2">
        <v>54.92</v>
      </c>
      <c r="R1195" s="2">
        <v>4</v>
      </c>
      <c r="S1195" s="2">
        <v>19.7712</v>
      </c>
      <c r="T1195" s="2" t="s">
        <v>33</v>
      </c>
      <c r="U1195" s="2" t="s">
        <v>253</v>
      </c>
    </row>
    <row r="1196" spans="1:21" ht="14.25" customHeight="1" x14ac:dyDescent="0.3">
      <c r="A1196" s="2" t="s">
        <v>3266</v>
      </c>
      <c r="B1196" s="5">
        <v>42311</v>
      </c>
      <c r="C1196" s="2" t="str">
        <f>TEXT(data[[#This Row],[Order Date]],"YYYY")</f>
        <v>2015</v>
      </c>
      <c r="D1196" s="2">
        <v>42313</v>
      </c>
      <c r="E1196" s="2" t="s">
        <v>87</v>
      </c>
      <c r="F1196" s="2" t="s">
        <v>3267</v>
      </c>
      <c r="G1196" s="2" t="s">
        <v>3268</v>
      </c>
      <c r="H1196" s="2" t="s">
        <v>90</v>
      </c>
      <c r="I1196" s="2" t="s">
        <v>25</v>
      </c>
      <c r="J1196" s="2" t="s">
        <v>730</v>
      </c>
      <c r="K1196" s="2" t="s">
        <v>120</v>
      </c>
      <c r="L1196" s="2" t="s">
        <v>67</v>
      </c>
      <c r="M1196" s="2" t="s">
        <v>2549</v>
      </c>
      <c r="N1196" s="2" t="s">
        <v>30</v>
      </c>
      <c r="O1196" s="2" t="s">
        <v>36</v>
      </c>
      <c r="P1196" s="2" t="s">
        <v>2550</v>
      </c>
      <c r="Q1196" s="2">
        <v>1448.82</v>
      </c>
      <c r="R1196" s="2">
        <v>10</v>
      </c>
      <c r="S1196" s="2">
        <v>209.274</v>
      </c>
      <c r="T1196" s="2" t="s">
        <v>70</v>
      </c>
      <c r="U1196" s="2" t="s">
        <v>34</v>
      </c>
    </row>
    <row r="1197" spans="1:21" ht="14.25" customHeight="1" x14ac:dyDescent="0.3">
      <c r="A1197" s="2" t="s">
        <v>3269</v>
      </c>
      <c r="B1197" s="5">
        <v>42271</v>
      </c>
      <c r="C1197" s="2" t="str">
        <f>TEXT(data[[#This Row],[Order Date]],"YYYY")</f>
        <v>2015</v>
      </c>
      <c r="D1197" s="2">
        <v>42275</v>
      </c>
      <c r="E1197" s="2" t="s">
        <v>39</v>
      </c>
      <c r="F1197" s="2" t="s">
        <v>3270</v>
      </c>
      <c r="G1197" s="2" t="s">
        <v>3271</v>
      </c>
      <c r="H1197" s="2" t="s">
        <v>90</v>
      </c>
      <c r="I1197" s="2" t="s">
        <v>25</v>
      </c>
      <c r="J1197" s="2" t="s">
        <v>52</v>
      </c>
      <c r="K1197" s="2" t="s">
        <v>53</v>
      </c>
      <c r="L1197" s="2" t="s">
        <v>54</v>
      </c>
      <c r="M1197" s="2" t="s">
        <v>650</v>
      </c>
      <c r="N1197" s="2" t="s">
        <v>30</v>
      </c>
      <c r="O1197" s="2" t="s">
        <v>56</v>
      </c>
      <c r="P1197" s="2" t="s">
        <v>651</v>
      </c>
      <c r="Q1197" s="2">
        <v>14.91</v>
      </c>
      <c r="R1197" s="2">
        <v>3</v>
      </c>
      <c r="S1197" s="2">
        <v>4.6220999999999997</v>
      </c>
      <c r="T1197" s="2" t="s">
        <v>83</v>
      </c>
      <c r="U1197" s="2" t="s">
        <v>77</v>
      </c>
    </row>
    <row r="1198" spans="1:21" ht="14.25" customHeight="1" x14ac:dyDescent="0.3">
      <c r="A1198" s="2" t="s">
        <v>3272</v>
      </c>
      <c r="B1198" s="5">
        <v>42472</v>
      </c>
      <c r="C1198" s="2" t="str">
        <f>TEXT(data[[#This Row],[Order Date]],"YYYY")</f>
        <v>2016</v>
      </c>
      <c r="D1198" s="2">
        <v>42476</v>
      </c>
      <c r="E1198" s="2" t="s">
        <v>39</v>
      </c>
      <c r="F1198" s="2" t="s">
        <v>1207</v>
      </c>
      <c r="G1198" s="2" t="s">
        <v>1208</v>
      </c>
      <c r="H1198" s="2" t="s">
        <v>24</v>
      </c>
      <c r="I1198" s="2" t="s">
        <v>25</v>
      </c>
      <c r="J1198" s="2" t="s">
        <v>52</v>
      </c>
      <c r="K1198" s="2" t="s">
        <v>53</v>
      </c>
      <c r="L1198" s="2" t="s">
        <v>54</v>
      </c>
      <c r="M1198" s="2" t="s">
        <v>3216</v>
      </c>
      <c r="N1198" s="2" t="s">
        <v>30</v>
      </c>
      <c r="O1198" s="2" t="s">
        <v>36</v>
      </c>
      <c r="P1198" s="2" t="s">
        <v>3217</v>
      </c>
      <c r="Q1198" s="2">
        <v>638.28800000000001</v>
      </c>
      <c r="R1198" s="2">
        <v>7</v>
      </c>
      <c r="S1198" s="2">
        <v>-31.914400000000001</v>
      </c>
      <c r="T1198" s="2" t="s">
        <v>83</v>
      </c>
      <c r="U1198" s="2" t="s">
        <v>113</v>
      </c>
    </row>
    <row r="1199" spans="1:21" ht="14.25" customHeight="1" x14ac:dyDescent="0.3">
      <c r="A1199" s="2" t="s">
        <v>3273</v>
      </c>
      <c r="B1199" s="5">
        <v>41954</v>
      </c>
      <c r="C1199" s="2" t="str">
        <f>TEXT(data[[#This Row],[Order Date]],"YYYY")</f>
        <v>2014</v>
      </c>
      <c r="D1199" s="2">
        <v>41961</v>
      </c>
      <c r="E1199" s="2" t="s">
        <v>39</v>
      </c>
      <c r="F1199" s="2" t="s">
        <v>1065</v>
      </c>
      <c r="G1199" s="2" t="s">
        <v>1066</v>
      </c>
      <c r="H1199" s="2" t="s">
        <v>24</v>
      </c>
      <c r="I1199" s="2" t="s">
        <v>25</v>
      </c>
      <c r="J1199" s="2" t="s">
        <v>52</v>
      </c>
      <c r="K1199" s="2" t="s">
        <v>53</v>
      </c>
      <c r="L1199" s="2" t="s">
        <v>54</v>
      </c>
      <c r="M1199" s="2" t="s">
        <v>1532</v>
      </c>
      <c r="N1199" s="2" t="s">
        <v>30</v>
      </c>
      <c r="O1199" s="2" t="s">
        <v>36</v>
      </c>
      <c r="P1199" s="2" t="s">
        <v>1533</v>
      </c>
      <c r="Q1199" s="2">
        <v>112.648</v>
      </c>
      <c r="R1199" s="2">
        <v>1</v>
      </c>
      <c r="S1199" s="2">
        <v>11.264799999999999</v>
      </c>
      <c r="T1199" s="2" t="s">
        <v>47</v>
      </c>
      <c r="U1199" s="2" t="s">
        <v>34</v>
      </c>
    </row>
    <row r="1200" spans="1:21" ht="14.25" customHeight="1" x14ac:dyDescent="0.3">
      <c r="A1200" s="2" t="s">
        <v>3274</v>
      </c>
      <c r="B1200" s="5">
        <v>43010</v>
      </c>
      <c r="C1200" s="2" t="str">
        <f>TEXT(data[[#This Row],[Order Date]],"YYYY")</f>
        <v>2017</v>
      </c>
      <c r="D1200" s="2">
        <v>43016</v>
      </c>
      <c r="E1200" s="2" t="s">
        <v>39</v>
      </c>
      <c r="F1200" s="2" t="s">
        <v>3275</v>
      </c>
      <c r="G1200" s="2" t="s">
        <v>3276</v>
      </c>
      <c r="H1200" s="2" t="s">
        <v>24</v>
      </c>
      <c r="I1200" s="2" t="s">
        <v>25</v>
      </c>
      <c r="J1200" s="2" t="s">
        <v>878</v>
      </c>
      <c r="K1200" s="2" t="s">
        <v>1517</v>
      </c>
      <c r="L1200" s="2" t="s">
        <v>54</v>
      </c>
      <c r="M1200" s="2" t="s">
        <v>456</v>
      </c>
      <c r="N1200" s="2" t="s">
        <v>30</v>
      </c>
      <c r="O1200" s="2" t="s">
        <v>31</v>
      </c>
      <c r="P1200" s="2" t="s">
        <v>457</v>
      </c>
      <c r="Q1200" s="2">
        <v>217.76400000000001</v>
      </c>
      <c r="R1200" s="2">
        <v>6</v>
      </c>
      <c r="S1200" s="2">
        <v>-384.71640000000002</v>
      </c>
      <c r="T1200" s="2" t="s">
        <v>129</v>
      </c>
      <c r="U1200" s="2" t="s">
        <v>48</v>
      </c>
    </row>
    <row r="1201" spans="1:21" ht="14.25" customHeight="1" x14ac:dyDescent="0.3">
      <c r="A1201" s="2" t="s">
        <v>3277</v>
      </c>
      <c r="B1201" s="5">
        <v>42835</v>
      </c>
      <c r="C1201" s="2" t="str">
        <f>TEXT(data[[#This Row],[Order Date]],"YYYY")</f>
        <v>2017</v>
      </c>
      <c r="D1201" s="2">
        <v>42839</v>
      </c>
      <c r="E1201" s="2" t="s">
        <v>21</v>
      </c>
      <c r="F1201" s="2" t="s">
        <v>3278</v>
      </c>
      <c r="G1201" s="2" t="s">
        <v>3279</v>
      </c>
      <c r="H1201" s="2" t="s">
        <v>90</v>
      </c>
      <c r="I1201" s="2" t="s">
        <v>25</v>
      </c>
      <c r="J1201" s="2" t="s">
        <v>606</v>
      </c>
      <c r="K1201" s="2" t="s">
        <v>43</v>
      </c>
      <c r="L1201" s="2" t="s">
        <v>28</v>
      </c>
      <c r="M1201" s="2" t="s">
        <v>2011</v>
      </c>
      <c r="N1201" s="2" t="s">
        <v>30</v>
      </c>
      <c r="O1201" s="2" t="s">
        <v>56</v>
      </c>
      <c r="P1201" s="2" t="s">
        <v>2012</v>
      </c>
      <c r="Q1201" s="2">
        <v>12.32</v>
      </c>
      <c r="R1201" s="2">
        <v>5</v>
      </c>
      <c r="S1201" s="2">
        <v>1.8480000000000001</v>
      </c>
      <c r="T1201" s="2" t="s">
        <v>83</v>
      </c>
      <c r="U1201" s="2" t="s">
        <v>113</v>
      </c>
    </row>
    <row r="1202" spans="1:21" ht="14.25" customHeight="1" x14ac:dyDescent="0.3">
      <c r="A1202" s="2" t="s">
        <v>3280</v>
      </c>
      <c r="B1202" s="5">
        <v>43007</v>
      </c>
      <c r="C1202" s="2" t="str">
        <f>TEXT(data[[#This Row],[Order Date]],"YYYY")</f>
        <v>2017</v>
      </c>
      <c r="D1202" s="2">
        <v>43010</v>
      </c>
      <c r="E1202" s="2" t="s">
        <v>87</v>
      </c>
      <c r="F1202" s="2" t="s">
        <v>1118</v>
      </c>
      <c r="G1202" s="2" t="s">
        <v>1119</v>
      </c>
      <c r="H1202" s="2" t="s">
        <v>24</v>
      </c>
      <c r="I1202" s="2" t="s">
        <v>25</v>
      </c>
      <c r="J1202" s="2" t="s">
        <v>2085</v>
      </c>
      <c r="K1202" s="2" t="s">
        <v>53</v>
      </c>
      <c r="L1202" s="2" t="s">
        <v>54</v>
      </c>
      <c r="M1202" s="2" t="s">
        <v>1217</v>
      </c>
      <c r="N1202" s="2" t="s">
        <v>30</v>
      </c>
      <c r="O1202" s="2" t="s">
        <v>36</v>
      </c>
      <c r="P1202" s="2" t="s">
        <v>1218</v>
      </c>
      <c r="Q1202" s="2">
        <v>72.784000000000006</v>
      </c>
      <c r="R1202" s="2">
        <v>1</v>
      </c>
      <c r="S1202" s="2">
        <v>0</v>
      </c>
      <c r="T1202" s="2" t="s">
        <v>33</v>
      </c>
      <c r="U1202" s="2" t="s">
        <v>77</v>
      </c>
    </row>
    <row r="1203" spans="1:21" ht="14.25" customHeight="1" x14ac:dyDescent="0.3">
      <c r="A1203" s="2" t="s">
        <v>3280</v>
      </c>
      <c r="B1203" s="5">
        <v>43007</v>
      </c>
      <c r="C1203" s="2" t="str">
        <f>TEXT(data[[#This Row],[Order Date]],"YYYY")</f>
        <v>2017</v>
      </c>
      <c r="D1203" s="2">
        <v>43010</v>
      </c>
      <c r="E1203" s="2" t="s">
        <v>87</v>
      </c>
      <c r="F1203" s="2" t="s">
        <v>1118</v>
      </c>
      <c r="G1203" s="2" t="s">
        <v>1119</v>
      </c>
      <c r="H1203" s="2" t="s">
        <v>24</v>
      </c>
      <c r="I1203" s="2" t="s">
        <v>25</v>
      </c>
      <c r="J1203" s="2" t="s">
        <v>2085</v>
      </c>
      <c r="K1203" s="2" t="s">
        <v>53</v>
      </c>
      <c r="L1203" s="2" t="s">
        <v>54</v>
      </c>
      <c r="M1203" s="2" t="s">
        <v>84</v>
      </c>
      <c r="N1203" s="2" t="s">
        <v>30</v>
      </c>
      <c r="O1203" s="2" t="s">
        <v>56</v>
      </c>
      <c r="P1203" s="2" t="s">
        <v>85</v>
      </c>
      <c r="Q1203" s="2">
        <v>51.75</v>
      </c>
      <c r="R1203" s="2">
        <v>1</v>
      </c>
      <c r="S1203" s="2">
        <v>15.525</v>
      </c>
      <c r="T1203" s="2" t="s">
        <v>33</v>
      </c>
      <c r="U1203" s="2" t="s">
        <v>77</v>
      </c>
    </row>
    <row r="1204" spans="1:21" ht="14.25" customHeight="1" x14ac:dyDescent="0.3">
      <c r="A1204" s="2" t="s">
        <v>3281</v>
      </c>
      <c r="B1204" s="5">
        <v>41911</v>
      </c>
      <c r="C1204" s="2" t="str">
        <f>TEXT(data[[#This Row],[Order Date]],"YYYY")</f>
        <v>2014</v>
      </c>
      <c r="D1204" s="2">
        <v>41915</v>
      </c>
      <c r="E1204" s="2" t="s">
        <v>21</v>
      </c>
      <c r="F1204" s="2" t="s">
        <v>1196</v>
      </c>
      <c r="G1204" s="2" t="s">
        <v>1197</v>
      </c>
      <c r="H1204" s="2" t="s">
        <v>24</v>
      </c>
      <c r="I1204" s="2" t="s">
        <v>25</v>
      </c>
      <c r="J1204" s="2" t="s">
        <v>173</v>
      </c>
      <c r="K1204" s="2" t="s">
        <v>120</v>
      </c>
      <c r="L1204" s="2" t="s">
        <v>67</v>
      </c>
      <c r="M1204" s="2" t="s">
        <v>232</v>
      </c>
      <c r="N1204" s="2" t="s">
        <v>30</v>
      </c>
      <c r="O1204" s="2" t="s">
        <v>56</v>
      </c>
      <c r="P1204" s="2" t="s">
        <v>233</v>
      </c>
      <c r="Q1204" s="2">
        <v>117.36</v>
      </c>
      <c r="R1204" s="2">
        <v>4</v>
      </c>
      <c r="S1204" s="2">
        <v>36.381599999999999</v>
      </c>
      <c r="T1204" s="2" t="s">
        <v>83</v>
      </c>
      <c r="U1204" s="2" t="s">
        <v>77</v>
      </c>
    </row>
    <row r="1205" spans="1:21" ht="14.25" customHeight="1" x14ac:dyDescent="0.3">
      <c r="A1205" s="2" t="s">
        <v>3282</v>
      </c>
      <c r="B1205" s="5">
        <v>41871</v>
      </c>
      <c r="C1205" s="2" t="str">
        <f>TEXT(data[[#This Row],[Order Date]],"YYYY")</f>
        <v>2014</v>
      </c>
      <c r="D1205" s="2">
        <v>41876</v>
      </c>
      <c r="E1205" s="2" t="s">
        <v>21</v>
      </c>
      <c r="F1205" s="2" t="s">
        <v>3283</v>
      </c>
      <c r="G1205" s="2" t="s">
        <v>3284</v>
      </c>
      <c r="H1205" s="2" t="s">
        <v>24</v>
      </c>
      <c r="I1205" s="2" t="s">
        <v>25</v>
      </c>
      <c r="J1205" s="2" t="s">
        <v>133</v>
      </c>
      <c r="K1205" s="2" t="s">
        <v>134</v>
      </c>
      <c r="L1205" s="2" t="s">
        <v>93</v>
      </c>
      <c r="M1205" s="2" t="s">
        <v>2334</v>
      </c>
      <c r="N1205" s="2" t="s">
        <v>30</v>
      </c>
      <c r="O1205" s="2" t="s">
        <v>36</v>
      </c>
      <c r="P1205" s="2" t="s">
        <v>2335</v>
      </c>
      <c r="Q1205" s="2">
        <v>421.37200000000001</v>
      </c>
      <c r="R1205" s="2">
        <v>2</v>
      </c>
      <c r="S1205" s="2">
        <v>-6.0195999999999996</v>
      </c>
      <c r="T1205" s="2" t="s">
        <v>58</v>
      </c>
      <c r="U1205" s="2" t="s">
        <v>253</v>
      </c>
    </row>
    <row r="1206" spans="1:21" ht="14.25" customHeight="1" x14ac:dyDescent="0.3">
      <c r="A1206" s="2" t="s">
        <v>3285</v>
      </c>
      <c r="B1206" s="5">
        <v>43052</v>
      </c>
      <c r="C1206" s="2" t="str">
        <f>TEXT(data[[#This Row],[Order Date]],"YYYY")</f>
        <v>2017</v>
      </c>
      <c r="D1206" s="2">
        <v>43058</v>
      </c>
      <c r="E1206" s="2" t="s">
        <v>39</v>
      </c>
      <c r="F1206" s="2" t="s">
        <v>2592</v>
      </c>
      <c r="G1206" s="2" t="s">
        <v>2593</v>
      </c>
      <c r="H1206" s="2" t="s">
        <v>90</v>
      </c>
      <c r="I1206" s="2" t="s">
        <v>25</v>
      </c>
      <c r="J1206" s="2" t="s">
        <v>1739</v>
      </c>
      <c r="K1206" s="2" t="s">
        <v>92</v>
      </c>
      <c r="L1206" s="2" t="s">
        <v>93</v>
      </c>
      <c r="M1206" s="2" t="s">
        <v>898</v>
      </c>
      <c r="N1206" s="2" t="s">
        <v>30</v>
      </c>
      <c r="O1206" s="2" t="s">
        <v>31</v>
      </c>
      <c r="P1206" s="2" t="s">
        <v>899</v>
      </c>
      <c r="Q1206" s="2">
        <v>205.9992</v>
      </c>
      <c r="R1206" s="2">
        <v>3</v>
      </c>
      <c r="S1206" s="2">
        <v>-27.264600000000002</v>
      </c>
      <c r="T1206" s="2" t="s">
        <v>129</v>
      </c>
      <c r="U1206" s="2" t="s">
        <v>34</v>
      </c>
    </row>
    <row r="1207" spans="1:21" ht="14.25" customHeight="1" x14ac:dyDescent="0.3">
      <c r="A1207" s="2" t="s">
        <v>3286</v>
      </c>
      <c r="B1207" s="5">
        <v>42406</v>
      </c>
      <c r="C1207" s="2" t="str">
        <f>TEXT(data[[#This Row],[Order Date]],"YYYY")</f>
        <v>2016</v>
      </c>
      <c r="D1207" s="2">
        <v>42411</v>
      </c>
      <c r="E1207" s="2" t="s">
        <v>39</v>
      </c>
      <c r="F1207" s="2" t="s">
        <v>578</v>
      </c>
      <c r="G1207" s="2" t="s">
        <v>579</v>
      </c>
      <c r="H1207" s="2" t="s">
        <v>90</v>
      </c>
      <c r="I1207" s="2" t="s">
        <v>25</v>
      </c>
      <c r="J1207" s="2" t="s">
        <v>2269</v>
      </c>
      <c r="K1207" s="2" t="s">
        <v>141</v>
      </c>
      <c r="L1207" s="2" t="s">
        <v>28</v>
      </c>
      <c r="M1207" s="2" t="s">
        <v>596</v>
      </c>
      <c r="N1207" s="2" t="s">
        <v>30</v>
      </c>
      <c r="O1207" s="2" t="s">
        <v>56</v>
      </c>
      <c r="P1207" s="2" t="s">
        <v>597</v>
      </c>
      <c r="Q1207" s="2">
        <v>132.22399999999999</v>
      </c>
      <c r="R1207" s="2">
        <v>4</v>
      </c>
      <c r="S1207" s="2">
        <v>-18.180800000000001</v>
      </c>
      <c r="T1207" s="2" t="s">
        <v>58</v>
      </c>
      <c r="U1207" s="2" t="s">
        <v>297</v>
      </c>
    </row>
    <row r="1208" spans="1:21" ht="14.25" customHeight="1" x14ac:dyDescent="0.3">
      <c r="A1208" s="2" t="s">
        <v>3287</v>
      </c>
      <c r="B1208" s="5">
        <v>42085</v>
      </c>
      <c r="C1208" s="2" t="str">
        <f>TEXT(data[[#This Row],[Order Date]],"YYYY")</f>
        <v>2015</v>
      </c>
      <c r="D1208" s="2">
        <v>42089</v>
      </c>
      <c r="E1208" s="2" t="s">
        <v>39</v>
      </c>
      <c r="F1208" s="2" t="s">
        <v>675</v>
      </c>
      <c r="G1208" s="2" t="s">
        <v>676</v>
      </c>
      <c r="H1208" s="2" t="s">
        <v>90</v>
      </c>
      <c r="I1208" s="2" t="s">
        <v>25</v>
      </c>
      <c r="J1208" s="2" t="s">
        <v>639</v>
      </c>
      <c r="K1208" s="2" t="s">
        <v>53</v>
      </c>
      <c r="L1208" s="2" t="s">
        <v>54</v>
      </c>
      <c r="M1208" s="2" t="s">
        <v>3288</v>
      </c>
      <c r="N1208" s="2" t="s">
        <v>30</v>
      </c>
      <c r="O1208" s="2" t="s">
        <v>56</v>
      </c>
      <c r="P1208" s="2" t="s">
        <v>3289</v>
      </c>
      <c r="Q1208" s="2">
        <v>91.96</v>
      </c>
      <c r="R1208" s="2">
        <v>2</v>
      </c>
      <c r="S1208" s="2">
        <v>15.6332</v>
      </c>
      <c r="T1208" s="2" t="s">
        <v>83</v>
      </c>
      <c r="U1208" s="2" t="s">
        <v>195</v>
      </c>
    </row>
    <row r="1209" spans="1:21" ht="14.25" customHeight="1" x14ac:dyDescent="0.3">
      <c r="A1209" s="2" t="s">
        <v>3290</v>
      </c>
      <c r="B1209" s="5">
        <v>42867</v>
      </c>
      <c r="C1209" s="2" t="str">
        <f>TEXT(data[[#This Row],[Order Date]],"YYYY")</f>
        <v>2017</v>
      </c>
      <c r="D1209" s="2">
        <v>42873</v>
      </c>
      <c r="E1209" s="2" t="s">
        <v>39</v>
      </c>
      <c r="F1209" s="2" t="s">
        <v>2670</v>
      </c>
      <c r="G1209" s="2" t="s">
        <v>2671</v>
      </c>
      <c r="H1209" s="2" t="s">
        <v>90</v>
      </c>
      <c r="I1209" s="2" t="s">
        <v>25</v>
      </c>
      <c r="J1209" s="2" t="s">
        <v>328</v>
      </c>
      <c r="K1209" s="2" t="s">
        <v>53</v>
      </c>
      <c r="L1209" s="2" t="s">
        <v>54</v>
      </c>
      <c r="M1209" s="2" t="s">
        <v>907</v>
      </c>
      <c r="N1209" s="2" t="s">
        <v>30</v>
      </c>
      <c r="O1209" s="2" t="s">
        <v>45</v>
      </c>
      <c r="P1209" s="2" t="s">
        <v>908</v>
      </c>
      <c r="Q1209" s="2">
        <v>285.48</v>
      </c>
      <c r="R1209" s="2">
        <v>5</v>
      </c>
      <c r="S1209" s="2">
        <v>-10.705500000000001</v>
      </c>
      <c r="T1209" s="2" t="s">
        <v>129</v>
      </c>
      <c r="U1209" s="2" t="s">
        <v>161</v>
      </c>
    </row>
    <row r="1210" spans="1:21" ht="14.25" customHeight="1" x14ac:dyDescent="0.3">
      <c r="A1210" s="2" t="s">
        <v>3291</v>
      </c>
      <c r="B1210" s="5">
        <v>42981</v>
      </c>
      <c r="C1210" s="2" t="str">
        <f>TEXT(data[[#This Row],[Order Date]],"YYYY")</f>
        <v>2017</v>
      </c>
      <c r="D1210" s="2">
        <v>42984</v>
      </c>
      <c r="E1210" s="2" t="s">
        <v>21</v>
      </c>
      <c r="F1210" s="2" t="s">
        <v>3292</v>
      </c>
      <c r="G1210" s="2" t="s">
        <v>3293</v>
      </c>
      <c r="H1210" s="2" t="s">
        <v>100</v>
      </c>
      <c r="I1210" s="2" t="s">
        <v>25</v>
      </c>
      <c r="J1210" s="2" t="s">
        <v>173</v>
      </c>
      <c r="K1210" s="2" t="s">
        <v>120</v>
      </c>
      <c r="L1210" s="2" t="s">
        <v>67</v>
      </c>
      <c r="M1210" s="2" t="s">
        <v>3017</v>
      </c>
      <c r="N1210" s="2" t="s">
        <v>30</v>
      </c>
      <c r="O1210" s="2" t="s">
        <v>36</v>
      </c>
      <c r="P1210" s="2" t="s">
        <v>3018</v>
      </c>
      <c r="Q1210" s="2">
        <v>90.801000000000002</v>
      </c>
      <c r="R1210" s="2">
        <v>1</v>
      </c>
      <c r="S1210" s="2">
        <v>14.124599999999999</v>
      </c>
      <c r="T1210" s="2" t="s">
        <v>33</v>
      </c>
      <c r="U1210" s="2" t="s">
        <v>77</v>
      </c>
    </row>
    <row r="1211" spans="1:21" ht="14.25" customHeight="1" x14ac:dyDescent="0.3">
      <c r="A1211" s="2" t="s">
        <v>3291</v>
      </c>
      <c r="B1211" s="5">
        <v>42981</v>
      </c>
      <c r="C1211" s="2" t="str">
        <f>TEXT(data[[#This Row],[Order Date]],"YYYY")</f>
        <v>2017</v>
      </c>
      <c r="D1211" s="2">
        <v>42984</v>
      </c>
      <c r="E1211" s="2" t="s">
        <v>21</v>
      </c>
      <c r="F1211" s="2" t="s">
        <v>3292</v>
      </c>
      <c r="G1211" s="2" t="s">
        <v>3293</v>
      </c>
      <c r="H1211" s="2" t="s">
        <v>100</v>
      </c>
      <c r="I1211" s="2" t="s">
        <v>25</v>
      </c>
      <c r="J1211" s="2" t="s">
        <v>173</v>
      </c>
      <c r="K1211" s="2" t="s">
        <v>120</v>
      </c>
      <c r="L1211" s="2" t="s">
        <v>67</v>
      </c>
      <c r="M1211" s="2" t="s">
        <v>295</v>
      </c>
      <c r="N1211" s="2" t="s">
        <v>30</v>
      </c>
      <c r="O1211" s="2" t="s">
        <v>36</v>
      </c>
      <c r="P1211" s="2" t="s">
        <v>296</v>
      </c>
      <c r="Q1211" s="2">
        <v>181.76400000000001</v>
      </c>
      <c r="R1211" s="2">
        <v>2</v>
      </c>
      <c r="S1211" s="2">
        <v>-8.0784000000000002</v>
      </c>
      <c r="T1211" s="2" t="s">
        <v>33</v>
      </c>
      <c r="U1211" s="2" t="s">
        <v>77</v>
      </c>
    </row>
    <row r="1212" spans="1:21" ht="14.25" customHeight="1" x14ac:dyDescent="0.3">
      <c r="A1212" s="2" t="s">
        <v>3294</v>
      </c>
      <c r="B1212" s="5">
        <v>42707</v>
      </c>
      <c r="C1212" s="2" t="str">
        <f>TEXT(data[[#This Row],[Order Date]],"YYYY")</f>
        <v>2016</v>
      </c>
      <c r="D1212" s="2">
        <v>42711</v>
      </c>
      <c r="E1212" s="2" t="s">
        <v>39</v>
      </c>
      <c r="F1212" s="2" t="s">
        <v>1415</v>
      </c>
      <c r="G1212" s="2" t="s">
        <v>1416</v>
      </c>
      <c r="H1212" s="2" t="s">
        <v>24</v>
      </c>
      <c r="I1212" s="2" t="s">
        <v>25</v>
      </c>
      <c r="J1212" s="2" t="s">
        <v>635</v>
      </c>
      <c r="K1212" s="2" t="s">
        <v>110</v>
      </c>
      <c r="L1212" s="2" t="s">
        <v>93</v>
      </c>
      <c r="M1212" s="2" t="s">
        <v>410</v>
      </c>
      <c r="N1212" s="2" t="s">
        <v>30</v>
      </c>
      <c r="O1212" s="2" t="s">
        <v>45</v>
      </c>
      <c r="P1212" s="2" t="s">
        <v>411</v>
      </c>
      <c r="Q1212" s="2">
        <v>581.96</v>
      </c>
      <c r="R1212" s="2">
        <v>2</v>
      </c>
      <c r="S1212" s="2">
        <v>104.75279999999999</v>
      </c>
      <c r="T1212" s="2" t="s">
        <v>83</v>
      </c>
      <c r="U1212" s="2" t="s">
        <v>96</v>
      </c>
    </row>
    <row r="1213" spans="1:21" ht="14.25" customHeight="1" x14ac:dyDescent="0.3">
      <c r="A1213" s="2" t="s">
        <v>3294</v>
      </c>
      <c r="B1213" s="5">
        <v>42707</v>
      </c>
      <c r="C1213" s="2" t="str">
        <f>TEXT(data[[#This Row],[Order Date]],"YYYY")</f>
        <v>2016</v>
      </c>
      <c r="D1213" s="2">
        <v>42711</v>
      </c>
      <c r="E1213" s="2" t="s">
        <v>39</v>
      </c>
      <c r="F1213" s="2" t="s">
        <v>1415</v>
      </c>
      <c r="G1213" s="2" t="s">
        <v>1416</v>
      </c>
      <c r="H1213" s="2" t="s">
        <v>24</v>
      </c>
      <c r="I1213" s="2" t="s">
        <v>25</v>
      </c>
      <c r="J1213" s="2" t="s">
        <v>635</v>
      </c>
      <c r="K1213" s="2" t="s">
        <v>110</v>
      </c>
      <c r="L1213" s="2" t="s">
        <v>93</v>
      </c>
      <c r="M1213" s="2" t="s">
        <v>1513</v>
      </c>
      <c r="N1213" s="2" t="s">
        <v>30</v>
      </c>
      <c r="O1213" s="2" t="s">
        <v>36</v>
      </c>
      <c r="P1213" s="2" t="s">
        <v>1514</v>
      </c>
      <c r="Q1213" s="2">
        <v>29.98</v>
      </c>
      <c r="R1213" s="2">
        <v>1</v>
      </c>
      <c r="S1213" s="2">
        <v>8.0945999999999998</v>
      </c>
      <c r="T1213" s="2" t="s">
        <v>83</v>
      </c>
      <c r="U1213" s="2" t="s">
        <v>96</v>
      </c>
    </row>
    <row r="1214" spans="1:21" ht="14.25" customHeight="1" x14ac:dyDescent="0.3">
      <c r="A1214" s="2" t="s">
        <v>3295</v>
      </c>
      <c r="B1214" s="5">
        <v>42572</v>
      </c>
      <c r="C1214" s="2" t="str">
        <f>TEXT(data[[#This Row],[Order Date]],"YYYY")</f>
        <v>2016</v>
      </c>
      <c r="D1214" s="2">
        <v>42577</v>
      </c>
      <c r="E1214" s="2" t="s">
        <v>39</v>
      </c>
      <c r="F1214" s="2" t="s">
        <v>1207</v>
      </c>
      <c r="G1214" s="2" t="s">
        <v>1208</v>
      </c>
      <c r="H1214" s="2" t="s">
        <v>24</v>
      </c>
      <c r="I1214" s="2" t="s">
        <v>25</v>
      </c>
      <c r="J1214" s="2" t="s">
        <v>509</v>
      </c>
      <c r="K1214" s="2" t="s">
        <v>1036</v>
      </c>
      <c r="L1214" s="2" t="s">
        <v>28</v>
      </c>
      <c r="M1214" s="2" t="s">
        <v>1217</v>
      </c>
      <c r="N1214" s="2" t="s">
        <v>30</v>
      </c>
      <c r="O1214" s="2" t="s">
        <v>36</v>
      </c>
      <c r="P1214" s="2" t="s">
        <v>1218</v>
      </c>
      <c r="Q1214" s="2">
        <v>363.92</v>
      </c>
      <c r="R1214" s="2">
        <v>5</v>
      </c>
      <c r="S1214" s="2">
        <v>0</v>
      </c>
      <c r="T1214" s="2" t="s">
        <v>58</v>
      </c>
      <c r="U1214" s="2" t="s">
        <v>71</v>
      </c>
    </row>
    <row r="1215" spans="1:21" ht="14.25" customHeight="1" x14ac:dyDescent="0.3">
      <c r="A1215" s="2" t="s">
        <v>3296</v>
      </c>
      <c r="B1215" s="5">
        <v>42269</v>
      </c>
      <c r="C1215" s="2" t="str">
        <f>TEXT(data[[#This Row],[Order Date]],"YYYY")</f>
        <v>2015</v>
      </c>
      <c r="D1215" s="2">
        <v>42273</v>
      </c>
      <c r="E1215" s="2" t="s">
        <v>21</v>
      </c>
      <c r="F1215" s="2" t="s">
        <v>2485</v>
      </c>
      <c r="G1215" s="2" t="s">
        <v>2486</v>
      </c>
      <c r="H1215" s="2" t="s">
        <v>100</v>
      </c>
      <c r="I1215" s="2" t="s">
        <v>25</v>
      </c>
      <c r="J1215" s="2" t="s">
        <v>689</v>
      </c>
      <c r="K1215" s="2" t="s">
        <v>716</v>
      </c>
      <c r="L1215" s="2" t="s">
        <v>28</v>
      </c>
      <c r="M1215" s="2" t="s">
        <v>1180</v>
      </c>
      <c r="N1215" s="2" t="s">
        <v>30</v>
      </c>
      <c r="O1215" s="2" t="s">
        <v>56</v>
      </c>
      <c r="P1215" s="2" t="s">
        <v>1181</v>
      </c>
      <c r="Q1215" s="2">
        <v>47.98</v>
      </c>
      <c r="R1215" s="2">
        <v>2</v>
      </c>
      <c r="S1215" s="2">
        <v>11.035399999999999</v>
      </c>
      <c r="T1215" s="2" t="s">
        <v>83</v>
      </c>
      <c r="U1215" s="2" t="s">
        <v>77</v>
      </c>
    </row>
    <row r="1216" spans="1:21" ht="14.25" customHeight="1" x14ac:dyDescent="0.3">
      <c r="A1216" s="2" t="s">
        <v>3297</v>
      </c>
      <c r="B1216" s="5">
        <v>42325</v>
      </c>
      <c r="C1216" s="2" t="str">
        <f>TEXT(data[[#This Row],[Order Date]],"YYYY")</f>
        <v>2015</v>
      </c>
      <c r="D1216" s="2">
        <v>42329</v>
      </c>
      <c r="E1216" s="2" t="s">
        <v>39</v>
      </c>
      <c r="F1216" s="2" t="s">
        <v>3298</v>
      </c>
      <c r="G1216" s="2" t="s">
        <v>3299</v>
      </c>
      <c r="H1216" s="2" t="s">
        <v>24</v>
      </c>
      <c r="I1216" s="2" t="s">
        <v>25</v>
      </c>
      <c r="J1216" s="2" t="s">
        <v>639</v>
      </c>
      <c r="K1216" s="2" t="s">
        <v>53</v>
      </c>
      <c r="L1216" s="2" t="s">
        <v>54</v>
      </c>
      <c r="M1216" s="2" t="s">
        <v>2965</v>
      </c>
      <c r="N1216" s="2" t="s">
        <v>30</v>
      </c>
      <c r="O1216" s="2" t="s">
        <v>56</v>
      </c>
      <c r="P1216" s="2" t="s">
        <v>2966</v>
      </c>
      <c r="Q1216" s="2">
        <v>80.959999999999994</v>
      </c>
      <c r="R1216" s="2">
        <v>4</v>
      </c>
      <c r="S1216" s="2">
        <v>29.145600000000002</v>
      </c>
      <c r="T1216" s="2" t="s">
        <v>83</v>
      </c>
      <c r="U1216" s="2" t="s">
        <v>34</v>
      </c>
    </row>
    <row r="1217" spans="1:21" ht="14.25" customHeight="1" x14ac:dyDescent="0.3">
      <c r="A1217" s="2" t="s">
        <v>3297</v>
      </c>
      <c r="B1217" s="5">
        <v>42325</v>
      </c>
      <c r="C1217" s="2" t="str">
        <f>TEXT(data[[#This Row],[Order Date]],"YYYY")</f>
        <v>2015</v>
      </c>
      <c r="D1217" s="2">
        <v>42329</v>
      </c>
      <c r="E1217" s="2" t="s">
        <v>39</v>
      </c>
      <c r="F1217" s="2" t="s">
        <v>3298</v>
      </c>
      <c r="G1217" s="2" t="s">
        <v>3299</v>
      </c>
      <c r="H1217" s="2" t="s">
        <v>24</v>
      </c>
      <c r="I1217" s="2" t="s">
        <v>25</v>
      </c>
      <c r="J1217" s="2" t="s">
        <v>639</v>
      </c>
      <c r="K1217" s="2" t="s">
        <v>53</v>
      </c>
      <c r="L1217" s="2" t="s">
        <v>54</v>
      </c>
      <c r="M1217" s="2" t="s">
        <v>1141</v>
      </c>
      <c r="N1217" s="2" t="s">
        <v>30</v>
      </c>
      <c r="O1217" s="2" t="s">
        <v>36</v>
      </c>
      <c r="P1217" s="2" t="s">
        <v>1142</v>
      </c>
      <c r="Q1217" s="2">
        <v>225.56800000000001</v>
      </c>
      <c r="R1217" s="2">
        <v>2</v>
      </c>
      <c r="S1217" s="2">
        <v>2.8195999999999999</v>
      </c>
      <c r="T1217" s="2" t="s">
        <v>83</v>
      </c>
      <c r="U1217" s="2" t="s">
        <v>34</v>
      </c>
    </row>
    <row r="1218" spans="1:21" ht="14.25" customHeight="1" x14ac:dyDescent="0.3">
      <c r="A1218" s="2" t="s">
        <v>3297</v>
      </c>
      <c r="B1218" s="5">
        <v>42325</v>
      </c>
      <c r="C1218" s="2" t="str">
        <f>TEXT(data[[#This Row],[Order Date]],"YYYY")</f>
        <v>2015</v>
      </c>
      <c r="D1218" s="2">
        <v>42329</v>
      </c>
      <c r="E1218" s="2" t="s">
        <v>39</v>
      </c>
      <c r="F1218" s="2" t="s">
        <v>3298</v>
      </c>
      <c r="G1218" s="2" t="s">
        <v>3299</v>
      </c>
      <c r="H1218" s="2" t="s">
        <v>24</v>
      </c>
      <c r="I1218" s="2" t="s">
        <v>25</v>
      </c>
      <c r="J1218" s="2" t="s">
        <v>639</v>
      </c>
      <c r="K1218" s="2" t="s">
        <v>53</v>
      </c>
      <c r="L1218" s="2" t="s">
        <v>54</v>
      </c>
      <c r="M1218" s="2" t="s">
        <v>1482</v>
      </c>
      <c r="N1218" s="2" t="s">
        <v>30</v>
      </c>
      <c r="O1218" s="2" t="s">
        <v>56</v>
      </c>
      <c r="P1218" s="2" t="s">
        <v>1483</v>
      </c>
      <c r="Q1218" s="2">
        <v>36.6</v>
      </c>
      <c r="R1218" s="2">
        <v>3</v>
      </c>
      <c r="S1218" s="2">
        <v>15.372</v>
      </c>
      <c r="T1218" s="2" t="s">
        <v>83</v>
      </c>
      <c r="U1218" s="2" t="s">
        <v>34</v>
      </c>
    </row>
    <row r="1219" spans="1:21" ht="14.25" customHeight="1" x14ac:dyDescent="0.3">
      <c r="A1219" s="2" t="s">
        <v>3300</v>
      </c>
      <c r="B1219" s="5">
        <v>42318</v>
      </c>
      <c r="C1219" s="2" t="str">
        <f>TEXT(data[[#This Row],[Order Date]],"YYYY")</f>
        <v>2015</v>
      </c>
      <c r="D1219" s="2">
        <v>42322</v>
      </c>
      <c r="E1219" s="2" t="s">
        <v>39</v>
      </c>
      <c r="F1219" s="2" t="s">
        <v>3301</v>
      </c>
      <c r="G1219" s="2" t="s">
        <v>3302</v>
      </c>
      <c r="H1219" s="2" t="s">
        <v>100</v>
      </c>
      <c r="I1219" s="2" t="s">
        <v>25</v>
      </c>
      <c r="J1219" s="2" t="s">
        <v>223</v>
      </c>
      <c r="K1219" s="2" t="s">
        <v>166</v>
      </c>
      <c r="L1219" s="2" t="s">
        <v>93</v>
      </c>
      <c r="M1219" s="2" t="s">
        <v>315</v>
      </c>
      <c r="N1219" s="2" t="s">
        <v>30</v>
      </c>
      <c r="O1219" s="2" t="s">
        <v>56</v>
      </c>
      <c r="P1219" s="2" t="s">
        <v>316</v>
      </c>
      <c r="Q1219" s="2">
        <v>29.22</v>
      </c>
      <c r="R1219" s="2">
        <v>3</v>
      </c>
      <c r="S1219" s="2">
        <v>12.8568</v>
      </c>
      <c r="T1219" s="2" t="s">
        <v>83</v>
      </c>
      <c r="U1219" s="2" t="s">
        <v>34</v>
      </c>
    </row>
    <row r="1220" spans="1:21" ht="14.25" customHeight="1" x14ac:dyDescent="0.3">
      <c r="A1220" s="2" t="s">
        <v>3303</v>
      </c>
      <c r="B1220" s="5">
        <v>42221</v>
      </c>
      <c r="C1220" s="2" t="str">
        <f>TEXT(data[[#This Row],[Order Date]],"YYYY")</f>
        <v>2015</v>
      </c>
      <c r="D1220" s="2">
        <v>42227</v>
      </c>
      <c r="E1220" s="2" t="s">
        <v>39</v>
      </c>
      <c r="F1220" s="2" t="s">
        <v>2576</v>
      </c>
      <c r="G1220" s="2" t="s">
        <v>2577</v>
      </c>
      <c r="H1220" s="2" t="s">
        <v>90</v>
      </c>
      <c r="I1220" s="2" t="s">
        <v>25</v>
      </c>
      <c r="J1220" s="2" t="s">
        <v>1739</v>
      </c>
      <c r="K1220" s="2" t="s">
        <v>92</v>
      </c>
      <c r="L1220" s="2" t="s">
        <v>93</v>
      </c>
      <c r="M1220" s="2" t="s">
        <v>1718</v>
      </c>
      <c r="N1220" s="2" t="s">
        <v>30</v>
      </c>
      <c r="O1220" s="2" t="s">
        <v>56</v>
      </c>
      <c r="P1220" s="2" t="s">
        <v>1719</v>
      </c>
      <c r="Q1220" s="2">
        <v>14.76</v>
      </c>
      <c r="R1220" s="2">
        <v>5</v>
      </c>
      <c r="S1220" s="2">
        <v>-11.439</v>
      </c>
      <c r="T1220" s="2" t="s">
        <v>129</v>
      </c>
      <c r="U1220" s="2" t="s">
        <v>253</v>
      </c>
    </row>
    <row r="1221" spans="1:21" ht="14.25" customHeight="1" x14ac:dyDescent="0.3">
      <c r="A1221" s="2" t="s">
        <v>3304</v>
      </c>
      <c r="B1221" s="5">
        <v>42981</v>
      </c>
      <c r="C1221" s="2" t="str">
        <f>TEXT(data[[#This Row],[Order Date]],"YYYY")</f>
        <v>2017</v>
      </c>
      <c r="D1221" s="2">
        <v>42985</v>
      </c>
      <c r="E1221" s="2" t="s">
        <v>21</v>
      </c>
      <c r="F1221" s="2" t="s">
        <v>2837</v>
      </c>
      <c r="G1221" s="2" t="s">
        <v>2838</v>
      </c>
      <c r="H1221" s="2" t="s">
        <v>24</v>
      </c>
      <c r="I1221" s="2" t="s">
        <v>25</v>
      </c>
      <c r="J1221" s="2" t="s">
        <v>509</v>
      </c>
      <c r="K1221" s="2" t="s">
        <v>53</v>
      </c>
      <c r="L1221" s="2" t="s">
        <v>54</v>
      </c>
      <c r="M1221" s="2" t="s">
        <v>2622</v>
      </c>
      <c r="N1221" s="2" t="s">
        <v>30</v>
      </c>
      <c r="O1221" s="2" t="s">
        <v>31</v>
      </c>
      <c r="P1221" s="2" t="s">
        <v>2623</v>
      </c>
      <c r="Q1221" s="2">
        <v>239.666</v>
      </c>
      <c r="R1221" s="2">
        <v>2</v>
      </c>
      <c r="S1221" s="2">
        <v>14.098000000000001</v>
      </c>
      <c r="T1221" s="2" t="s">
        <v>83</v>
      </c>
      <c r="U1221" s="2" t="s">
        <v>77</v>
      </c>
    </row>
    <row r="1222" spans="1:21" ht="14.25" customHeight="1" x14ac:dyDescent="0.3">
      <c r="A1222" s="2" t="s">
        <v>3305</v>
      </c>
      <c r="B1222" s="5">
        <v>42309</v>
      </c>
      <c r="C1222" s="2" t="str">
        <f>TEXT(data[[#This Row],[Order Date]],"YYYY")</f>
        <v>2015</v>
      </c>
      <c r="D1222" s="2">
        <v>42316</v>
      </c>
      <c r="E1222" s="2" t="s">
        <v>39</v>
      </c>
      <c r="F1222" s="2" t="s">
        <v>2070</v>
      </c>
      <c r="G1222" s="2" t="s">
        <v>2071</v>
      </c>
      <c r="H1222" s="2" t="s">
        <v>24</v>
      </c>
      <c r="I1222" s="2" t="s">
        <v>25</v>
      </c>
      <c r="J1222" s="2" t="s">
        <v>3306</v>
      </c>
      <c r="K1222" s="2" t="s">
        <v>1058</v>
      </c>
      <c r="L1222" s="2" t="s">
        <v>28</v>
      </c>
      <c r="M1222" s="2" t="s">
        <v>1284</v>
      </c>
      <c r="N1222" s="2" t="s">
        <v>30</v>
      </c>
      <c r="O1222" s="2" t="s">
        <v>45</v>
      </c>
      <c r="P1222" s="2" t="s">
        <v>1285</v>
      </c>
      <c r="Q1222" s="2">
        <v>301.95999999999998</v>
      </c>
      <c r="R1222" s="2">
        <v>2</v>
      </c>
      <c r="S1222" s="2">
        <v>45.293999999999997</v>
      </c>
      <c r="T1222" s="2" t="s">
        <v>47</v>
      </c>
      <c r="U1222" s="2" t="s">
        <v>34</v>
      </c>
    </row>
    <row r="1223" spans="1:21" ht="14.25" customHeight="1" x14ac:dyDescent="0.3">
      <c r="A1223" s="2" t="s">
        <v>3307</v>
      </c>
      <c r="B1223" s="5">
        <v>41856</v>
      </c>
      <c r="C1223" s="2" t="str">
        <f>TEXT(data[[#This Row],[Order Date]],"YYYY")</f>
        <v>2014</v>
      </c>
      <c r="D1223" s="2">
        <v>41858</v>
      </c>
      <c r="E1223" s="2" t="s">
        <v>21</v>
      </c>
      <c r="F1223" s="2" t="s">
        <v>1809</v>
      </c>
      <c r="G1223" s="2" t="s">
        <v>1810</v>
      </c>
      <c r="H1223" s="2" t="s">
        <v>90</v>
      </c>
      <c r="I1223" s="2" t="s">
        <v>25</v>
      </c>
      <c r="J1223" s="2" t="s">
        <v>3308</v>
      </c>
      <c r="K1223" s="2" t="s">
        <v>429</v>
      </c>
      <c r="L1223" s="2" t="s">
        <v>67</v>
      </c>
      <c r="M1223" s="2" t="s">
        <v>805</v>
      </c>
      <c r="N1223" s="2" t="s">
        <v>30</v>
      </c>
      <c r="O1223" s="2" t="s">
        <v>36</v>
      </c>
      <c r="P1223" s="2" t="s">
        <v>806</v>
      </c>
      <c r="Q1223" s="2">
        <v>1133.3499999999999</v>
      </c>
      <c r="R1223" s="2">
        <v>5</v>
      </c>
      <c r="S1223" s="2">
        <v>294.67099999999999</v>
      </c>
      <c r="T1223" s="2" t="s">
        <v>70</v>
      </c>
      <c r="U1223" s="2" t="s">
        <v>253</v>
      </c>
    </row>
    <row r="1224" spans="1:21" ht="14.25" customHeight="1" x14ac:dyDescent="0.3">
      <c r="A1224" s="2" t="s">
        <v>3309</v>
      </c>
      <c r="B1224" s="5">
        <v>42681</v>
      </c>
      <c r="C1224" s="2" t="str">
        <f>TEXT(data[[#This Row],[Order Date]],"YYYY")</f>
        <v>2016</v>
      </c>
      <c r="D1224" s="2">
        <v>42686</v>
      </c>
      <c r="E1224" s="2" t="s">
        <v>39</v>
      </c>
      <c r="F1224" s="2" t="s">
        <v>2199</v>
      </c>
      <c r="G1224" s="2" t="s">
        <v>2200</v>
      </c>
      <c r="H1224" s="2" t="s">
        <v>100</v>
      </c>
      <c r="I1224" s="2" t="s">
        <v>25</v>
      </c>
      <c r="J1224" s="2" t="s">
        <v>3310</v>
      </c>
      <c r="K1224" s="2" t="s">
        <v>3311</v>
      </c>
      <c r="L1224" s="2" t="s">
        <v>54</v>
      </c>
      <c r="M1224" s="2" t="s">
        <v>559</v>
      </c>
      <c r="N1224" s="2" t="s">
        <v>30</v>
      </c>
      <c r="O1224" s="2" t="s">
        <v>36</v>
      </c>
      <c r="P1224" s="2" t="s">
        <v>560</v>
      </c>
      <c r="Q1224" s="2">
        <v>1603.136</v>
      </c>
      <c r="R1224" s="2">
        <v>4</v>
      </c>
      <c r="S1224" s="2">
        <v>100.196</v>
      </c>
      <c r="T1224" s="2" t="s">
        <v>58</v>
      </c>
      <c r="U1224" s="2" t="s">
        <v>34</v>
      </c>
    </row>
    <row r="1225" spans="1:21" ht="14.25" customHeight="1" x14ac:dyDescent="0.3">
      <c r="A1225" s="2" t="s">
        <v>3312</v>
      </c>
      <c r="B1225" s="5">
        <v>42535</v>
      </c>
      <c r="C1225" s="2" t="str">
        <f>TEXT(data[[#This Row],[Order Date]],"YYYY")</f>
        <v>2016</v>
      </c>
      <c r="D1225" s="2">
        <v>42535</v>
      </c>
      <c r="E1225" s="2" t="s">
        <v>425</v>
      </c>
      <c r="F1225" s="2" t="s">
        <v>503</v>
      </c>
      <c r="G1225" s="2" t="s">
        <v>504</v>
      </c>
      <c r="H1225" s="2" t="s">
        <v>90</v>
      </c>
      <c r="I1225" s="2" t="s">
        <v>25</v>
      </c>
      <c r="J1225" s="2" t="s">
        <v>3047</v>
      </c>
      <c r="K1225" s="2" t="s">
        <v>53</v>
      </c>
      <c r="L1225" s="2" t="s">
        <v>54</v>
      </c>
      <c r="M1225" s="2" t="s">
        <v>3165</v>
      </c>
      <c r="N1225" s="2" t="s">
        <v>30</v>
      </c>
      <c r="O1225" s="2" t="s">
        <v>45</v>
      </c>
      <c r="P1225" s="2" t="s">
        <v>3166</v>
      </c>
      <c r="Q1225" s="2">
        <v>1293.4880000000001</v>
      </c>
      <c r="R1225" s="2">
        <v>7</v>
      </c>
      <c r="S1225" s="2">
        <v>80.843000000000004</v>
      </c>
      <c r="T1225" s="2" t="s">
        <v>430</v>
      </c>
      <c r="U1225" s="2" t="s">
        <v>59</v>
      </c>
    </row>
    <row r="1226" spans="1:21" ht="14.25" customHeight="1" x14ac:dyDescent="0.3">
      <c r="A1226" s="2" t="s">
        <v>3313</v>
      </c>
      <c r="B1226" s="5">
        <v>42637</v>
      </c>
      <c r="C1226" s="2" t="str">
        <f>TEXT(data[[#This Row],[Order Date]],"YYYY")</f>
        <v>2016</v>
      </c>
      <c r="D1226" s="2">
        <v>42641</v>
      </c>
      <c r="E1226" s="2" t="s">
        <v>39</v>
      </c>
      <c r="F1226" s="2" t="s">
        <v>2351</v>
      </c>
      <c r="G1226" s="2" t="s">
        <v>2352</v>
      </c>
      <c r="H1226" s="2" t="s">
        <v>24</v>
      </c>
      <c r="I1226" s="2" t="s">
        <v>25</v>
      </c>
      <c r="J1226" s="2" t="s">
        <v>211</v>
      </c>
      <c r="K1226" s="2" t="s">
        <v>110</v>
      </c>
      <c r="L1226" s="2" t="s">
        <v>93</v>
      </c>
      <c r="M1226" s="2" t="s">
        <v>181</v>
      </c>
      <c r="N1226" s="2" t="s">
        <v>30</v>
      </c>
      <c r="O1226" s="2" t="s">
        <v>56</v>
      </c>
      <c r="P1226" s="2" t="s">
        <v>182</v>
      </c>
      <c r="Q1226" s="2">
        <v>127.95</v>
      </c>
      <c r="R1226" s="2">
        <v>3</v>
      </c>
      <c r="S1226" s="2">
        <v>21.7515</v>
      </c>
      <c r="T1226" s="2" t="s">
        <v>83</v>
      </c>
      <c r="U1226" s="2" t="s">
        <v>77</v>
      </c>
    </row>
    <row r="1227" spans="1:21" ht="14.25" customHeight="1" x14ac:dyDescent="0.3">
      <c r="A1227" s="2" t="s">
        <v>3314</v>
      </c>
      <c r="B1227" s="5">
        <v>42631</v>
      </c>
      <c r="C1227" s="2" t="str">
        <f>TEXT(data[[#This Row],[Order Date]],"YYYY")</f>
        <v>2016</v>
      </c>
      <c r="D1227" s="2">
        <v>42635</v>
      </c>
      <c r="E1227" s="2" t="s">
        <v>39</v>
      </c>
      <c r="F1227" s="2" t="s">
        <v>1320</v>
      </c>
      <c r="G1227" s="2" t="s">
        <v>1321</v>
      </c>
      <c r="H1227" s="2" t="s">
        <v>90</v>
      </c>
      <c r="I1227" s="2" t="s">
        <v>25</v>
      </c>
      <c r="J1227" s="2" t="s">
        <v>639</v>
      </c>
      <c r="K1227" s="2" t="s">
        <v>53</v>
      </c>
      <c r="L1227" s="2" t="s">
        <v>54</v>
      </c>
      <c r="M1227" s="2" t="s">
        <v>559</v>
      </c>
      <c r="N1227" s="2" t="s">
        <v>30</v>
      </c>
      <c r="O1227" s="2" t="s">
        <v>36</v>
      </c>
      <c r="P1227" s="2" t="s">
        <v>560</v>
      </c>
      <c r="Q1227" s="2">
        <v>801.56799999999998</v>
      </c>
      <c r="R1227" s="2">
        <v>2</v>
      </c>
      <c r="S1227" s="2">
        <v>50.097999999999999</v>
      </c>
      <c r="T1227" s="2" t="s">
        <v>83</v>
      </c>
      <c r="U1227" s="2" t="s">
        <v>77</v>
      </c>
    </row>
    <row r="1228" spans="1:21" ht="14.25" customHeight="1" x14ac:dyDescent="0.3">
      <c r="A1228" s="2" t="s">
        <v>3314</v>
      </c>
      <c r="B1228" s="5">
        <v>42631</v>
      </c>
      <c r="C1228" s="2" t="str">
        <f>TEXT(data[[#This Row],[Order Date]],"YYYY")</f>
        <v>2016</v>
      </c>
      <c r="D1228" s="2">
        <v>42635</v>
      </c>
      <c r="E1228" s="2" t="s">
        <v>39</v>
      </c>
      <c r="F1228" s="2" t="s">
        <v>1320</v>
      </c>
      <c r="G1228" s="2" t="s">
        <v>1321</v>
      </c>
      <c r="H1228" s="2" t="s">
        <v>90</v>
      </c>
      <c r="I1228" s="2" t="s">
        <v>25</v>
      </c>
      <c r="J1228" s="2" t="s">
        <v>639</v>
      </c>
      <c r="K1228" s="2" t="s">
        <v>53</v>
      </c>
      <c r="L1228" s="2" t="s">
        <v>54</v>
      </c>
      <c r="M1228" s="2" t="s">
        <v>1028</v>
      </c>
      <c r="N1228" s="2" t="s">
        <v>30</v>
      </c>
      <c r="O1228" s="2" t="s">
        <v>36</v>
      </c>
      <c r="P1228" s="2" t="s">
        <v>1029</v>
      </c>
      <c r="Q1228" s="2">
        <v>885.52800000000002</v>
      </c>
      <c r="R1228" s="2">
        <v>9</v>
      </c>
      <c r="S1228" s="2">
        <v>-99.621899999999997</v>
      </c>
      <c r="T1228" s="2" t="s">
        <v>83</v>
      </c>
      <c r="U1228" s="2" t="s">
        <v>77</v>
      </c>
    </row>
    <row r="1229" spans="1:21" ht="14.25" customHeight="1" x14ac:dyDescent="0.3">
      <c r="A1229" s="2" t="s">
        <v>3315</v>
      </c>
      <c r="B1229" s="5">
        <v>42442</v>
      </c>
      <c r="C1229" s="2" t="str">
        <f>TEXT(data[[#This Row],[Order Date]],"YYYY")</f>
        <v>2016</v>
      </c>
      <c r="D1229" s="2">
        <v>42444</v>
      </c>
      <c r="E1229" s="2" t="s">
        <v>21</v>
      </c>
      <c r="F1229" s="2" t="s">
        <v>1598</v>
      </c>
      <c r="G1229" s="2" t="s">
        <v>1599</v>
      </c>
      <c r="H1229" s="2" t="s">
        <v>90</v>
      </c>
      <c r="I1229" s="2" t="s">
        <v>25</v>
      </c>
      <c r="J1229" s="2" t="s">
        <v>328</v>
      </c>
      <c r="K1229" s="2" t="s">
        <v>53</v>
      </c>
      <c r="L1229" s="2" t="s">
        <v>54</v>
      </c>
      <c r="M1229" s="2" t="s">
        <v>472</v>
      </c>
      <c r="N1229" s="2" t="s">
        <v>30</v>
      </c>
      <c r="O1229" s="2" t="s">
        <v>56</v>
      </c>
      <c r="P1229" s="2" t="s">
        <v>473</v>
      </c>
      <c r="Q1229" s="2">
        <v>28.28</v>
      </c>
      <c r="R1229" s="2">
        <v>2</v>
      </c>
      <c r="S1229" s="2">
        <v>7.3528000000000002</v>
      </c>
      <c r="T1229" s="2" t="s">
        <v>70</v>
      </c>
      <c r="U1229" s="2" t="s">
        <v>195</v>
      </c>
    </row>
    <row r="1230" spans="1:21" ht="14.25" customHeight="1" x14ac:dyDescent="0.3">
      <c r="A1230" s="2" t="s">
        <v>3316</v>
      </c>
      <c r="B1230" s="5">
        <v>42463</v>
      </c>
      <c r="C1230" s="2" t="str">
        <f>TEXT(data[[#This Row],[Order Date]],"YYYY")</f>
        <v>2016</v>
      </c>
      <c r="D1230" s="2">
        <v>42469</v>
      </c>
      <c r="E1230" s="2" t="s">
        <v>39</v>
      </c>
      <c r="F1230" s="2" t="s">
        <v>2267</v>
      </c>
      <c r="G1230" s="2" t="s">
        <v>2268</v>
      </c>
      <c r="H1230" s="2" t="s">
        <v>24</v>
      </c>
      <c r="I1230" s="2" t="s">
        <v>25</v>
      </c>
      <c r="J1230" s="2" t="s">
        <v>635</v>
      </c>
      <c r="K1230" s="2" t="s">
        <v>110</v>
      </c>
      <c r="L1230" s="2" t="s">
        <v>93</v>
      </c>
      <c r="M1230" s="2" t="s">
        <v>167</v>
      </c>
      <c r="N1230" s="2" t="s">
        <v>30</v>
      </c>
      <c r="O1230" s="2" t="s">
        <v>56</v>
      </c>
      <c r="P1230" s="2" t="s">
        <v>168</v>
      </c>
      <c r="Q1230" s="2">
        <v>71.12</v>
      </c>
      <c r="R1230" s="2">
        <v>4</v>
      </c>
      <c r="S1230" s="2">
        <v>22.0472</v>
      </c>
      <c r="T1230" s="2" t="s">
        <v>129</v>
      </c>
      <c r="U1230" s="2" t="s">
        <v>113</v>
      </c>
    </row>
    <row r="1231" spans="1:21" ht="14.25" customHeight="1" x14ac:dyDescent="0.3">
      <c r="A1231" s="2" t="s">
        <v>3317</v>
      </c>
      <c r="B1231" s="5">
        <v>42701</v>
      </c>
      <c r="C1231" s="2" t="str">
        <f>TEXT(data[[#This Row],[Order Date]],"YYYY")</f>
        <v>2016</v>
      </c>
      <c r="D1231" s="2">
        <v>42706</v>
      </c>
      <c r="E1231" s="2" t="s">
        <v>39</v>
      </c>
      <c r="F1231" s="2" t="s">
        <v>1363</v>
      </c>
      <c r="G1231" s="2" t="s">
        <v>1364</v>
      </c>
      <c r="H1231" s="2" t="s">
        <v>90</v>
      </c>
      <c r="I1231" s="2" t="s">
        <v>25</v>
      </c>
      <c r="J1231" s="2" t="s">
        <v>1940</v>
      </c>
      <c r="K1231" s="2" t="s">
        <v>362</v>
      </c>
      <c r="L1231" s="2" t="s">
        <v>67</v>
      </c>
      <c r="M1231" s="2" t="s">
        <v>1577</v>
      </c>
      <c r="N1231" s="2" t="s">
        <v>30</v>
      </c>
      <c r="O1231" s="2" t="s">
        <v>56</v>
      </c>
      <c r="P1231" s="2" t="s">
        <v>1578</v>
      </c>
      <c r="Q1231" s="2">
        <v>31.56</v>
      </c>
      <c r="R1231" s="2">
        <v>3</v>
      </c>
      <c r="S1231" s="2">
        <v>10.4148</v>
      </c>
      <c r="T1231" s="2" t="s">
        <v>58</v>
      </c>
      <c r="U1231" s="2" t="s">
        <v>34</v>
      </c>
    </row>
    <row r="1232" spans="1:21" ht="14.25" customHeight="1" x14ac:dyDescent="0.3">
      <c r="A1232" s="2" t="s">
        <v>3318</v>
      </c>
      <c r="B1232" s="5">
        <v>42706</v>
      </c>
      <c r="C1232" s="2" t="str">
        <f>TEXT(data[[#This Row],[Order Date]],"YYYY")</f>
        <v>2016</v>
      </c>
      <c r="D1232" s="2">
        <v>42711</v>
      </c>
      <c r="E1232" s="2" t="s">
        <v>39</v>
      </c>
      <c r="F1232" s="2" t="s">
        <v>2497</v>
      </c>
      <c r="G1232" s="2" t="s">
        <v>2498</v>
      </c>
      <c r="H1232" s="2" t="s">
        <v>90</v>
      </c>
      <c r="I1232" s="2" t="s">
        <v>25</v>
      </c>
      <c r="J1232" s="2" t="s">
        <v>1491</v>
      </c>
      <c r="K1232" s="2" t="s">
        <v>53</v>
      </c>
      <c r="L1232" s="2" t="s">
        <v>54</v>
      </c>
      <c r="M1232" s="2" t="s">
        <v>2524</v>
      </c>
      <c r="N1232" s="2" t="s">
        <v>30</v>
      </c>
      <c r="O1232" s="2" t="s">
        <v>56</v>
      </c>
      <c r="P1232" s="2" t="s">
        <v>2525</v>
      </c>
      <c r="Q1232" s="2">
        <v>14.52</v>
      </c>
      <c r="R1232" s="2">
        <v>3</v>
      </c>
      <c r="S1232" s="2">
        <v>5.6627999999999998</v>
      </c>
      <c r="T1232" s="2" t="s">
        <v>58</v>
      </c>
      <c r="U1232" s="2" t="s">
        <v>96</v>
      </c>
    </row>
    <row r="1233" spans="1:21" ht="14.25" customHeight="1" x14ac:dyDescent="0.3">
      <c r="A1233" s="2" t="s">
        <v>3319</v>
      </c>
      <c r="B1233" s="5">
        <v>42264</v>
      </c>
      <c r="C1233" s="2" t="str">
        <f>TEXT(data[[#This Row],[Order Date]],"YYYY")</f>
        <v>2015</v>
      </c>
      <c r="D1233" s="2">
        <v>42270</v>
      </c>
      <c r="E1233" s="2" t="s">
        <v>39</v>
      </c>
      <c r="F1233" s="2" t="s">
        <v>2612</v>
      </c>
      <c r="G1233" s="2" t="s">
        <v>2613</v>
      </c>
      <c r="H1233" s="2" t="s">
        <v>24</v>
      </c>
      <c r="I1233" s="2" t="s">
        <v>25</v>
      </c>
      <c r="J1233" s="2" t="s">
        <v>173</v>
      </c>
      <c r="K1233" s="2" t="s">
        <v>120</v>
      </c>
      <c r="L1233" s="2" t="s">
        <v>67</v>
      </c>
      <c r="M1233" s="2" t="s">
        <v>1164</v>
      </c>
      <c r="N1233" s="2" t="s">
        <v>30</v>
      </c>
      <c r="O1233" s="2" t="s">
        <v>36</v>
      </c>
      <c r="P1233" s="2" t="s">
        <v>1165</v>
      </c>
      <c r="Q1233" s="2">
        <v>199.76400000000001</v>
      </c>
      <c r="R1233" s="2">
        <v>2</v>
      </c>
      <c r="S1233" s="2">
        <v>8.8783999999999992</v>
      </c>
      <c r="T1233" s="2" t="s">
        <v>129</v>
      </c>
      <c r="U1233" s="2" t="s">
        <v>77</v>
      </c>
    </row>
    <row r="1234" spans="1:21" ht="14.25" customHeight="1" x14ac:dyDescent="0.3">
      <c r="A1234" s="2" t="s">
        <v>3319</v>
      </c>
      <c r="B1234" s="5">
        <v>42264</v>
      </c>
      <c r="C1234" s="2" t="str">
        <f>TEXT(data[[#This Row],[Order Date]],"YYYY")</f>
        <v>2015</v>
      </c>
      <c r="D1234" s="2">
        <v>42270</v>
      </c>
      <c r="E1234" s="2" t="s">
        <v>39</v>
      </c>
      <c r="F1234" s="2" t="s">
        <v>2612</v>
      </c>
      <c r="G1234" s="2" t="s">
        <v>2613</v>
      </c>
      <c r="H1234" s="2" t="s">
        <v>24</v>
      </c>
      <c r="I1234" s="2" t="s">
        <v>25</v>
      </c>
      <c r="J1234" s="2" t="s">
        <v>173</v>
      </c>
      <c r="K1234" s="2" t="s">
        <v>120</v>
      </c>
      <c r="L1234" s="2" t="s">
        <v>67</v>
      </c>
      <c r="M1234" s="2" t="s">
        <v>81</v>
      </c>
      <c r="N1234" s="2" t="s">
        <v>30</v>
      </c>
      <c r="O1234" s="2" t="s">
        <v>31</v>
      </c>
      <c r="P1234" s="2" t="s">
        <v>82</v>
      </c>
      <c r="Q1234" s="2">
        <v>4228.7039999999997</v>
      </c>
      <c r="R1234" s="2">
        <v>6</v>
      </c>
      <c r="S1234" s="2">
        <v>158.57640000000001</v>
      </c>
      <c r="T1234" s="2" t="s">
        <v>129</v>
      </c>
      <c r="U1234" s="2" t="s">
        <v>77</v>
      </c>
    </row>
    <row r="1235" spans="1:21" ht="14.25" customHeight="1" x14ac:dyDescent="0.3">
      <c r="A1235" s="2" t="s">
        <v>3319</v>
      </c>
      <c r="B1235" s="5">
        <v>42264</v>
      </c>
      <c r="C1235" s="2" t="str">
        <f>TEXT(data[[#This Row],[Order Date]],"YYYY")</f>
        <v>2015</v>
      </c>
      <c r="D1235" s="2">
        <v>42270</v>
      </c>
      <c r="E1235" s="2" t="s">
        <v>39</v>
      </c>
      <c r="F1235" s="2" t="s">
        <v>2612</v>
      </c>
      <c r="G1235" s="2" t="s">
        <v>2613</v>
      </c>
      <c r="H1235" s="2" t="s">
        <v>24</v>
      </c>
      <c r="I1235" s="2" t="s">
        <v>25</v>
      </c>
      <c r="J1235" s="2" t="s">
        <v>173</v>
      </c>
      <c r="K1235" s="2" t="s">
        <v>120</v>
      </c>
      <c r="L1235" s="2" t="s">
        <v>67</v>
      </c>
      <c r="M1235" s="2" t="s">
        <v>1695</v>
      </c>
      <c r="N1235" s="2" t="s">
        <v>30</v>
      </c>
      <c r="O1235" s="2" t="s">
        <v>31</v>
      </c>
      <c r="P1235" s="2" t="s">
        <v>1696</v>
      </c>
      <c r="Q1235" s="2">
        <v>2003.92</v>
      </c>
      <c r="R1235" s="2">
        <v>5</v>
      </c>
      <c r="S1235" s="2">
        <v>-25.048999999999999</v>
      </c>
      <c r="T1235" s="2" t="s">
        <v>129</v>
      </c>
      <c r="U1235" s="2" t="s">
        <v>77</v>
      </c>
    </row>
    <row r="1236" spans="1:21" ht="14.25" customHeight="1" x14ac:dyDescent="0.3">
      <c r="A1236" s="2" t="s">
        <v>3320</v>
      </c>
      <c r="B1236" s="5">
        <v>42700</v>
      </c>
      <c r="C1236" s="2" t="str">
        <f>TEXT(data[[#This Row],[Order Date]],"YYYY")</f>
        <v>2016</v>
      </c>
      <c r="D1236" s="2">
        <v>42704</v>
      </c>
      <c r="E1236" s="2" t="s">
        <v>21</v>
      </c>
      <c r="F1236" s="2" t="s">
        <v>444</v>
      </c>
      <c r="G1236" s="2" t="s">
        <v>445</v>
      </c>
      <c r="H1236" s="2" t="s">
        <v>90</v>
      </c>
      <c r="I1236" s="2" t="s">
        <v>25</v>
      </c>
      <c r="J1236" s="2" t="s">
        <v>173</v>
      </c>
      <c r="K1236" s="2" t="s">
        <v>120</v>
      </c>
      <c r="L1236" s="2" t="s">
        <v>67</v>
      </c>
      <c r="M1236" s="2" t="s">
        <v>1247</v>
      </c>
      <c r="N1236" s="2" t="s">
        <v>30</v>
      </c>
      <c r="O1236" s="2" t="s">
        <v>45</v>
      </c>
      <c r="P1236" s="2" t="s">
        <v>1248</v>
      </c>
      <c r="Q1236" s="2">
        <v>313.17599999999999</v>
      </c>
      <c r="R1236" s="2">
        <v>2</v>
      </c>
      <c r="S1236" s="2">
        <v>-120.0508</v>
      </c>
      <c r="T1236" s="2" t="s">
        <v>83</v>
      </c>
      <c r="U1236" s="2" t="s">
        <v>34</v>
      </c>
    </row>
    <row r="1237" spans="1:21" ht="14.25" customHeight="1" x14ac:dyDescent="0.3">
      <c r="A1237" s="2" t="s">
        <v>3321</v>
      </c>
      <c r="B1237" s="5">
        <v>41737</v>
      </c>
      <c r="C1237" s="2" t="str">
        <f>TEXT(data[[#This Row],[Order Date]],"YYYY")</f>
        <v>2014</v>
      </c>
      <c r="D1237" s="2">
        <v>41741</v>
      </c>
      <c r="E1237" s="2" t="s">
        <v>39</v>
      </c>
      <c r="F1237" s="2" t="s">
        <v>3322</v>
      </c>
      <c r="G1237" s="2" t="s">
        <v>3323</v>
      </c>
      <c r="H1237" s="2" t="s">
        <v>90</v>
      </c>
      <c r="I1237" s="2" t="s">
        <v>25</v>
      </c>
      <c r="J1237" s="2" t="s">
        <v>513</v>
      </c>
      <c r="K1237" s="2" t="s">
        <v>1276</v>
      </c>
      <c r="L1237" s="2" t="s">
        <v>28</v>
      </c>
      <c r="M1237" s="2" t="s">
        <v>3189</v>
      </c>
      <c r="N1237" s="2" t="s">
        <v>30</v>
      </c>
      <c r="O1237" s="2" t="s">
        <v>45</v>
      </c>
      <c r="P1237" s="2" t="s">
        <v>3190</v>
      </c>
      <c r="Q1237" s="2">
        <v>1215.92</v>
      </c>
      <c r="R1237" s="2">
        <v>8</v>
      </c>
      <c r="S1237" s="2">
        <v>316.13920000000002</v>
      </c>
      <c r="T1237" s="2" t="s">
        <v>83</v>
      </c>
      <c r="U1237" s="2" t="s">
        <v>113</v>
      </c>
    </row>
    <row r="1238" spans="1:21" ht="14.25" customHeight="1" x14ac:dyDescent="0.3">
      <c r="A1238" s="2" t="s">
        <v>3324</v>
      </c>
      <c r="B1238" s="5">
        <v>41923</v>
      </c>
      <c r="C1238" s="2" t="str">
        <f>TEXT(data[[#This Row],[Order Date]],"YYYY")</f>
        <v>2014</v>
      </c>
      <c r="D1238" s="2">
        <v>41927</v>
      </c>
      <c r="E1238" s="2" t="s">
        <v>39</v>
      </c>
      <c r="F1238" s="2" t="s">
        <v>2921</v>
      </c>
      <c r="G1238" s="2" t="s">
        <v>2922</v>
      </c>
      <c r="H1238" s="2" t="s">
        <v>90</v>
      </c>
      <c r="I1238" s="2" t="s">
        <v>25</v>
      </c>
      <c r="J1238" s="2" t="s">
        <v>1911</v>
      </c>
      <c r="K1238" s="2" t="s">
        <v>1058</v>
      </c>
      <c r="L1238" s="2" t="s">
        <v>28</v>
      </c>
      <c r="M1238" s="2" t="s">
        <v>1912</v>
      </c>
      <c r="N1238" s="2" t="s">
        <v>30</v>
      </c>
      <c r="O1238" s="2" t="s">
        <v>56</v>
      </c>
      <c r="P1238" s="2" t="s">
        <v>1913</v>
      </c>
      <c r="Q1238" s="2">
        <v>8.92</v>
      </c>
      <c r="R1238" s="2">
        <v>4</v>
      </c>
      <c r="S1238" s="2">
        <v>3.9247999999999998</v>
      </c>
      <c r="T1238" s="2" t="s">
        <v>83</v>
      </c>
      <c r="U1238" s="2" t="s">
        <v>48</v>
      </c>
    </row>
    <row r="1239" spans="1:21" ht="14.25" customHeight="1" x14ac:dyDescent="0.3">
      <c r="A1239" s="2" t="s">
        <v>3325</v>
      </c>
      <c r="B1239" s="5">
        <v>42923</v>
      </c>
      <c r="C1239" s="2" t="str">
        <f>TEXT(data[[#This Row],[Order Date]],"YYYY")</f>
        <v>2017</v>
      </c>
      <c r="D1239" s="2">
        <v>42925</v>
      </c>
      <c r="E1239" s="2" t="s">
        <v>87</v>
      </c>
      <c r="F1239" s="2" t="s">
        <v>2867</v>
      </c>
      <c r="G1239" s="2" t="s">
        <v>2868</v>
      </c>
      <c r="H1239" s="2" t="s">
        <v>24</v>
      </c>
      <c r="I1239" s="2" t="s">
        <v>25</v>
      </c>
      <c r="J1239" s="2" t="s">
        <v>65</v>
      </c>
      <c r="K1239" s="2" t="s">
        <v>66</v>
      </c>
      <c r="L1239" s="2" t="s">
        <v>67</v>
      </c>
      <c r="M1239" s="2" t="s">
        <v>860</v>
      </c>
      <c r="N1239" s="2" t="s">
        <v>30</v>
      </c>
      <c r="O1239" s="2" t="s">
        <v>31</v>
      </c>
      <c r="P1239" s="2" t="s">
        <v>861</v>
      </c>
      <c r="Q1239" s="2">
        <v>87.21</v>
      </c>
      <c r="R1239" s="2">
        <v>3</v>
      </c>
      <c r="S1239" s="2">
        <v>-45.349200000000003</v>
      </c>
      <c r="T1239" s="2" t="s">
        <v>70</v>
      </c>
      <c r="U1239" s="2" t="s">
        <v>71</v>
      </c>
    </row>
    <row r="1240" spans="1:21" ht="14.25" customHeight="1" x14ac:dyDescent="0.3">
      <c r="A1240" s="2" t="s">
        <v>3326</v>
      </c>
      <c r="B1240" s="5">
        <v>42555</v>
      </c>
      <c r="C1240" s="2" t="str">
        <f>TEXT(data[[#This Row],[Order Date]],"YYYY")</f>
        <v>2016</v>
      </c>
      <c r="D1240" s="2">
        <v>42555</v>
      </c>
      <c r="E1240" s="2" t="s">
        <v>425</v>
      </c>
      <c r="F1240" s="2" t="s">
        <v>671</v>
      </c>
      <c r="G1240" s="2" t="s">
        <v>672</v>
      </c>
      <c r="H1240" s="2" t="s">
        <v>100</v>
      </c>
      <c r="I1240" s="2" t="s">
        <v>25</v>
      </c>
      <c r="J1240" s="2" t="s">
        <v>191</v>
      </c>
      <c r="K1240" s="2" t="s">
        <v>192</v>
      </c>
      <c r="L1240" s="2" t="s">
        <v>54</v>
      </c>
      <c r="M1240" s="2" t="s">
        <v>661</v>
      </c>
      <c r="N1240" s="2" t="s">
        <v>30</v>
      </c>
      <c r="O1240" s="2" t="s">
        <v>56</v>
      </c>
      <c r="P1240" s="2" t="s">
        <v>662</v>
      </c>
      <c r="Q1240" s="2">
        <v>25.4</v>
      </c>
      <c r="R1240" s="2">
        <v>5</v>
      </c>
      <c r="S1240" s="2">
        <v>8.6359999999999992</v>
      </c>
      <c r="T1240" s="2" t="s">
        <v>430</v>
      </c>
      <c r="U1240" s="2" t="s">
        <v>71</v>
      </c>
    </row>
    <row r="1241" spans="1:21" ht="14.25" customHeight="1" x14ac:dyDescent="0.3">
      <c r="A1241" s="2" t="s">
        <v>3327</v>
      </c>
      <c r="B1241" s="5">
        <v>41876</v>
      </c>
      <c r="C1241" s="2" t="str">
        <f>TEXT(data[[#This Row],[Order Date]],"YYYY")</f>
        <v>2014</v>
      </c>
      <c r="D1241" s="2">
        <v>41880</v>
      </c>
      <c r="E1241" s="2" t="s">
        <v>39</v>
      </c>
      <c r="F1241" s="2" t="s">
        <v>482</v>
      </c>
      <c r="G1241" s="2" t="s">
        <v>483</v>
      </c>
      <c r="H1241" s="2" t="s">
        <v>90</v>
      </c>
      <c r="I1241" s="2" t="s">
        <v>25</v>
      </c>
      <c r="J1241" s="2" t="s">
        <v>52</v>
      </c>
      <c r="K1241" s="2" t="s">
        <v>53</v>
      </c>
      <c r="L1241" s="2" t="s">
        <v>54</v>
      </c>
      <c r="M1241" s="2" t="s">
        <v>2158</v>
      </c>
      <c r="N1241" s="2" t="s">
        <v>30</v>
      </c>
      <c r="O1241" s="2" t="s">
        <v>56</v>
      </c>
      <c r="P1241" s="2" t="s">
        <v>2159</v>
      </c>
      <c r="Q1241" s="2">
        <v>6.28</v>
      </c>
      <c r="R1241" s="2">
        <v>1</v>
      </c>
      <c r="S1241" s="2">
        <v>2.6375999999999999</v>
      </c>
      <c r="T1241" s="2" t="s">
        <v>83</v>
      </c>
      <c r="U1241" s="2" t="s">
        <v>253</v>
      </c>
    </row>
    <row r="1242" spans="1:21" ht="14.25" customHeight="1" x14ac:dyDescent="0.3">
      <c r="A1242" s="2" t="s">
        <v>3328</v>
      </c>
      <c r="B1242" s="5">
        <v>41954</v>
      </c>
      <c r="C1242" s="2" t="str">
        <f>TEXT(data[[#This Row],[Order Date]],"YYYY")</f>
        <v>2014</v>
      </c>
      <c r="D1242" s="2">
        <v>41958</v>
      </c>
      <c r="E1242" s="2" t="s">
        <v>21</v>
      </c>
      <c r="F1242" s="2" t="s">
        <v>3049</v>
      </c>
      <c r="G1242" s="2" t="s">
        <v>3050</v>
      </c>
      <c r="H1242" s="2" t="s">
        <v>90</v>
      </c>
      <c r="I1242" s="2" t="s">
        <v>25</v>
      </c>
      <c r="J1242" s="2" t="s">
        <v>3329</v>
      </c>
      <c r="K1242" s="2" t="s">
        <v>66</v>
      </c>
      <c r="L1242" s="2" t="s">
        <v>67</v>
      </c>
      <c r="M1242" s="2" t="s">
        <v>2129</v>
      </c>
      <c r="N1242" s="2" t="s">
        <v>30</v>
      </c>
      <c r="O1242" s="2" t="s">
        <v>56</v>
      </c>
      <c r="P1242" s="2" t="s">
        <v>2130</v>
      </c>
      <c r="Q1242" s="2">
        <v>23.968</v>
      </c>
      <c r="R1242" s="2">
        <v>2</v>
      </c>
      <c r="S1242" s="2">
        <v>7.7896000000000001</v>
      </c>
      <c r="T1242" s="2" t="s">
        <v>83</v>
      </c>
      <c r="U1242" s="2" t="s">
        <v>34</v>
      </c>
    </row>
    <row r="1243" spans="1:21" ht="14.25" customHeight="1" x14ac:dyDescent="0.3">
      <c r="A1243" s="2" t="s">
        <v>3328</v>
      </c>
      <c r="B1243" s="5">
        <v>41954</v>
      </c>
      <c r="C1243" s="2" t="str">
        <f>TEXT(data[[#This Row],[Order Date]],"YYYY")</f>
        <v>2014</v>
      </c>
      <c r="D1243" s="2">
        <v>41958</v>
      </c>
      <c r="E1243" s="2" t="s">
        <v>21</v>
      </c>
      <c r="F1243" s="2" t="s">
        <v>3049</v>
      </c>
      <c r="G1243" s="2" t="s">
        <v>3050</v>
      </c>
      <c r="H1243" s="2" t="s">
        <v>90</v>
      </c>
      <c r="I1243" s="2" t="s">
        <v>25</v>
      </c>
      <c r="J1243" s="2" t="s">
        <v>3329</v>
      </c>
      <c r="K1243" s="2" t="s">
        <v>66</v>
      </c>
      <c r="L1243" s="2" t="s">
        <v>67</v>
      </c>
      <c r="M1243" s="2" t="s">
        <v>102</v>
      </c>
      <c r="N1243" s="2" t="s">
        <v>30</v>
      </c>
      <c r="O1243" s="2" t="s">
        <v>31</v>
      </c>
      <c r="P1243" s="2" t="s">
        <v>103</v>
      </c>
      <c r="Q1243" s="2">
        <v>521.96</v>
      </c>
      <c r="R1243" s="2">
        <v>4</v>
      </c>
      <c r="S1243" s="2">
        <v>-250.54079999999999</v>
      </c>
      <c r="T1243" s="2" t="s">
        <v>83</v>
      </c>
      <c r="U1243" s="2" t="s">
        <v>34</v>
      </c>
    </row>
    <row r="1244" spans="1:21" ht="14.25" customHeight="1" x14ac:dyDescent="0.3">
      <c r="A1244" s="2" t="s">
        <v>3330</v>
      </c>
      <c r="B1244" s="5">
        <v>42441</v>
      </c>
      <c r="C1244" s="2" t="str">
        <f>TEXT(data[[#This Row],[Order Date]],"YYYY")</f>
        <v>2016</v>
      </c>
      <c r="D1244" s="2">
        <v>42444</v>
      </c>
      <c r="E1244" s="2" t="s">
        <v>21</v>
      </c>
      <c r="F1244" s="2" t="s">
        <v>444</v>
      </c>
      <c r="G1244" s="2" t="s">
        <v>445</v>
      </c>
      <c r="H1244" s="2" t="s">
        <v>90</v>
      </c>
      <c r="I1244" s="2" t="s">
        <v>25</v>
      </c>
      <c r="J1244" s="2" t="s">
        <v>328</v>
      </c>
      <c r="K1244" s="2" t="s">
        <v>53</v>
      </c>
      <c r="L1244" s="2" t="s">
        <v>54</v>
      </c>
      <c r="M1244" s="2" t="s">
        <v>795</v>
      </c>
      <c r="N1244" s="2" t="s">
        <v>30</v>
      </c>
      <c r="O1244" s="2" t="s">
        <v>36</v>
      </c>
      <c r="P1244" s="2" t="s">
        <v>796</v>
      </c>
      <c r="Q1244" s="2">
        <v>770.35199999999998</v>
      </c>
      <c r="R1244" s="2">
        <v>3</v>
      </c>
      <c r="S1244" s="2">
        <v>77.035200000000003</v>
      </c>
      <c r="T1244" s="2" t="s">
        <v>33</v>
      </c>
      <c r="U1244" s="2" t="s">
        <v>195</v>
      </c>
    </row>
    <row r="1245" spans="1:21" ht="14.25" customHeight="1" x14ac:dyDescent="0.3">
      <c r="A1245" s="2" t="s">
        <v>3331</v>
      </c>
      <c r="B1245" s="5">
        <v>42775</v>
      </c>
      <c r="C1245" s="2" t="str">
        <f>TEXT(data[[#This Row],[Order Date]],"YYYY")</f>
        <v>2017</v>
      </c>
      <c r="D1245" s="2">
        <v>42780</v>
      </c>
      <c r="E1245" s="2" t="s">
        <v>21</v>
      </c>
      <c r="F1245" s="2" t="s">
        <v>1394</v>
      </c>
      <c r="G1245" s="2" t="s">
        <v>1395</v>
      </c>
      <c r="H1245" s="2" t="s">
        <v>90</v>
      </c>
      <c r="I1245" s="2" t="s">
        <v>25</v>
      </c>
      <c r="J1245" s="2" t="s">
        <v>52</v>
      </c>
      <c r="K1245" s="2" t="s">
        <v>53</v>
      </c>
      <c r="L1245" s="2" t="s">
        <v>54</v>
      </c>
      <c r="M1245" s="2" t="s">
        <v>1658</v>
      </c>
      <c r="N1245" s="2" t="s">
        <v>30</v>
      </c>
      <c r="O1245" s="2" t="s">
        <v>56</v>
      </c>
      <c r="P1245" s="2" t="s">
        <v>1659</v>
      </c>
      <c r="Q1245" s="2">
        <v>21.12</v>
      </c>
      <c r="R1245" s="2">
        <v>4</v>
      </c>
      <c r="S1245" s="2">
        <v>6.5472000000000001</v>
      </c>
      <c r="T1245" s="2" t="s">
        <v>58</v>
      </c>
      <c r="U1245" s="2" t="s">
        <v>297</v>
      </c>
    </row>
    <row r="1246" spans="1:21" ht="14.25" customHeight="1" x14ac:dyDescent="0.3">
      <c r="A1246" s="2" t="s">
        <v>3332</v>
      </c>
      <c r="B1246" s="5">
        <v>41840</v>
      </c>
      <c r="C1246" s="2" t="str">
        <f>TEXT(data[[#This Row],[Order Date]],"YYYY")</f>
        <v>2014</v>
      </c>
      <c r="D1246" s="2">
        <v>41842</v>
      </c>
      <c r="E1246" s="2" t="s">
        <v>87</v>
      </c>
      <c r="F1246" s="2" t="s">
        <v>2053</v>
      </c>
      <c r="G1246" s="2" t="s">
        <v>2054</v>
      </c>
      <c r="H1246" s="2" t="s">
        <v>24</v>
      </c>
      <c r="I1246" s="2" t="s">
        <v>25</v>
      </c>
      <c r="J1246" s="2" t="s">
        <v>639</v>
      </c>
      <c r="K1246" s="2" t="s">
        <v>53</v>
      </c>
      <c r="L1246" s="2" t="s">
        <v>54</v>
      </c>
      <c r="M1246" s="2" t="s">
        <v>776</v>
      </c>
      <c r="N1246" s="2" t="s">
        <v>30</v>
      </c>
      <c r="O1246" s="2" t="s">
        <v>56</v>
      </c>
      <c r="P1246" s="2" t="s">
        <v>777</v>
      </c>
      <c r="Q1246" s="2">
        <v>43.02</v>
      </c>
      <c r="R1246" s="2">
        <v>3</v>
      </c>
      <c r="S1246" s="2">
        <v>15.4872</v>
      </c>
      <c r="T1246" s="2" t="s">
        <v>70</v>
      </c>
      <c r="U1246" s="2" t="s">
        <v>71</v>
      </c>
    </row>
    <row r="1247" spans="1:21" ht="14.25" customHeight="1" x14ac:dyDescent="0.3">
      <c r="A1247" s="2" t="s">
        <v>3333</v>
      </c>
      <c r="B1247" s="5">
        <v>42772</v>
      </c>
      <c r="C1247" s="2" t="str">
        <f>TEXT(data[[#This Row],[Order Date]],"YYYY")</f>
        <v>2017</v>
      </c>
      <c r="D1247" s="2">
        <v>42777</v>
      </c>
      <c r="E1247" s="2" t="s">
        <v>39</v>
      </c>
      <c r="F1247" s="2" t="s">
        <v>3334</v>
      </c>
      <c r="G1247" s="2" t="s">
        <v>3335</v>
      </c>
      <c r="H1247" s="2" t="s">
        <v>24</v>
      </c>
      <c r="I1247" s="2" t="s">
        <v>25</v>
      </c>
      <c r="J1247" s="2" t="s">
        <v>173</v>
      </c>
      <c r="K1247" s="2" t="s">
        <v>120</v>
      </c>
      <c r="L1247" s="2" t="s">
        <v>67</v>
      </c>
      <c r="M1247" s="2" t="s">
        <v>999</v>
      </c>
      <c r="N1247" s="2" t="s">
        <v>30</v>
      </c>
      <c r="O1247" s="2" t="s">
        <v>31</v>
      </c>
      <c r="P1247" s="2" t="s">
        <v>1000</v>
      </c>
      <c r="Q1247" s="2">
        <v>240.78399999999999</v>
      </c>
      <c r="R1247" s="2">
        <v>1</v>
      </c>
      <c r="S1247" s="2">
        <v>30.097999999999999</v>
      </c>
      <c r="T1247" s="2" t="s">
        <v>58</v>
      </c>
      <c r="U1247" s="2" t="s">
        <v>297</v>
      </c>
    </row>
    <row r="1248" spans="1:21" ht="14.25" customHeight="1" x14ac:dyDescent="0.3">
      <c r="A1248" s="2" t="s">
        <v>3336</v>
      </c>
      <c r="B1248" s="5">
        <v>41889</v>
      </c>
      <c r="C1248" s="2" t="str">
        <f>TEXT(data[[#This Row],[Order Date]],"YYYY")</f>
        <v>2014</v>
      </c>
      <c r="D1248" s="2">
        <v>41895</v>
      </c>
      <c r="E1248" s="2" t="s">
        <v>39</v>
      </c>
      <c r="F1248" s="2" t="s">
        <v>671</v>
      </c>
      <c r="G1248" s="2" t="s">
        <v>672</v>
      </c>
      <c r="H1248" s="2" t="s">
        <v>100</v>
      </c>
      <c r="I1248" s="2" t="s">
        <v>25</v>
      </c>
      <c r="J1248" s="2" t="s">
        <v>2021</v>
      </c>
      <c r="K1248" s="2" t="s">
        <v>1522</v>
      </c>
      <c r="L1248" s="2" t="s">
        <v>93</v>
      </c>
      <c r="M1248" s="2" t="s">
        <v>1259</v>
      </c>
      <c r="N1248" s="2" t="s">
        <v>30</v>
      </c>
      <c r="O1248" s="2" t="s">
        <v>45</v>
      </c>
      <c r="P1248" s="2" t="s">
        <v>1063</v>
      </c>
      <c r="Q1248" s="2">
        <v>429.9</v>
      </c>
      <c r="R1248" s="2">
        <v>5</v>
      </c>
      <c r="S1248" s="2">
        <v>111.774</v>
      </c>
      <c r="T1248" s="2" t="s">
        <v>129</v>
      </c>
      <c r="U1248" s="2" t="s">
        <v>77</v>
      </c>
    </row>
    <row r="1249" spans="1:21" ht="14.25" customHeight="1" x14ac:dyDescent="0.3">
      <c r="A1249" s="2" t="s">
        <v>3336</v>
      </c>
      <c r="B1249" s="5">
        <v>41889</v>
      </c>
      <c r="C1249" s="2" t="str">
        <f>TEXT(data[[#This Row],[Order Date]],"YYYY")</f>
        <v>2014</v>
      </c>
      <c r="D1249" s="2">
        <v>41895</v>
      </c>
      <c r="E1249" s="2" t="s">
        <v>39</v>
      </c>
      <c r="F1249" s="2" t="s">
        <v>671</v>
      </c>
      <c r="G1249" s="2" t="s">
        <v>672</v>
      </c>
      <c r="H1249" s="2" t="s">
        <v>100</v>
      </c>
      <c r="I1249" s="2" t="s">
        <v>25</v>
      </c>
      <c r="J1249" s="2" t="s">
        <v>2021</v>
      </c>
      <c r="K1249" s="2" t="s">
        <v>1522</v>
      </c>
      <c r="L1249" s="2" t="s">
        <v>93</v>
      </c>
      <c r="M1249" s="2" t="s">
        <v>255</v>
      </c>
      <c r="N1249" s="2" t="s">
        <v>30</v>
      </c>
      <c r="O1249" s="2" t="s">
        <v>36</v>
      </c>
      <c r="P1249" s="2" t="s">
        <v>256</v>
      </c>
      <c r="Q1249" s="2">
        <v>161.96</v>
      </c>
      <c r="R1249" s="2">
        <v>2</v>
      </c>
      <c r="S1249" s="2">
        <v>45.348799999999997</v>
      </c>
      <c r="T1249" s="2" t="s">
        <v>129</v>
      </c>
      <c r="U1249" s="2" t="s">
        <v>77</v>
      </c>
    </row>
    <row r="1250" spans="1:21" ht="14.25" customHeight="1" x14ac:dyDescent="0.3">
      <c r="A1250" s="2" t="s">
        <v>3337</v>
      </c>
      <c r="B1250" s="5">
        <v>42570</v>
      </c>
      <c r="C1250" s="2" t="str">
        <f>TEXT(data[[#This Row],[Order Date]],"YYYY")</f>
        <v>2016</v>
      </c>
      <c r="D1250" s="2">
        <v>42576</v>
      </c>
      <c r="E1250" s="2" t="s">
        <v>39</v>
      </c>
      <c r="F1250" s="2" t="s">
        <v>1630</v>
      </c>
      <c r="G1250" s="2" t="s">
        <v>1631</v>
      </c>
      <c r="H1250" s="2" t="s">
        <v>24</v>
      </c>
      <c r="I1250" s="2" t="s">
        <v>25</v>
      </c>
      <c r="J1250" s="2" t="s">
        <v>3338</v>
      </c>
      <c r="K1250" s="2" t="s">
        <v>478</v>
      </c>
      <c r="L1250" s="2" t="s">
        <v>28</v>
      </c>
      <c r="M1250" s="2" t="s">
        <v>2110</v>
      </c>
      <c r="N1250" s="2" t="s">
        <v>30</v>
      </c>
      <c r="O1250" s="2" t="s">
        <v>56</v>
      </c>
      <c r="P1250" s="2" t="s">
        <v>2111</v>
      </c>
      <c r="Q1250" s="2">
        <v>185.58</v>
      </c>
      <c r="R1250" s="2">
        <v>6</v>
      </c>
      <c r="S1250" s="2">
        <v>76.087800000000001</v>
      </c>
      <c r="T1250" s="2" t="s">
        <v>129</v>
      </c>
      <c r="U1250" s="2" t="s">
        <v>71</v>
      </c>
    </row>
    <row r="1251" spans="1:21" ht="14.25" customHeight="1" x14ac:dyDescent="0.3">
      <c r="A1251" s="2" t="s">
        <v>3337</v>
      </c>
      <c r="B1251" s="5">
        <v>42570</v>
      </c>
      <c r="C1251" s="2" t="str">
        <f>TEXT(data[[#This Row],[Order Date]],"YYYY")</f>
        <v>2016</v>
      </c>
      <c r="D1251" s="2">
        <v>42576</v>
      </c>
      <c r="E1251" s="2" t="s">
        <v>39</v>
      </c>
      <c r="F1251" s="2" t="s">
        <v>1630</v>
      </c>
      <c r="G1251" s="2" t="s">
        <v>1631</v>
      </c>
      <c r="H1251" s="2" t="s">
        <v>24</v>
      </c>
      <c r="I1251" s="2" t="s">
        <v>25</v>
      </c>
      <c r="J1251" s="2" t="s">
        <v>3338</v>
      </c>
      <c r="K1251" s="2" t="s">
        <v>478</v>
      </c>
      <c r="L1251" s="2" t="s">
        <v>28</v>
      </c>
      <c r="M1251" s="2" t="s">
        <v>2815</v>
      </c>
      <c r="N1251" s="2" t="s">
        <v>30</v>
      </c>
      <c r="O1251" s="2" t="s">
        <v>31</v>
      </c>
      <c r="P1251" s="2" t="s">
        <v>2816</v>
      </c>
      <c r="Q1251" s="2">
        <v>504.9</v>
      </c>
      <c r="R1251" s="2">
        <v>5</v>
      </c>
      <c r="S1251" s="2">
        <v>126.22499999999999</v>
      </c>
      <c r="T1251" s="2" t="s">
        <v>129</v>
      </c>
      <c r="U1251" s="2" t="s">
        <v>71</v>
      </c>
    </row>
    <row r="1252" spans="1:21" ht="14.25" customHeight="1" x14ac:dyDescent="0.3">
      <c r="A1252" s="2" t="s">
        <v>3339</v>
      </c>
      <c r="B1252" s="5">
        <v>42993</v>
      </c>
      <c r="C1252" s="2" t="str">
        <f>TEXT(data[[#This Row],[Order Date]],"YYYY")</f>
        <v>2017</v>
      </c>
      <c r="D1252" s="2">
        <v>42999</v>
      </c>
      <c r="E1252" s="2" t="s">
        <v>39</v>
      </c>
      <c r="F1252" s="2" t="s">
        <v>2948</v>
      </c>
      <c r="G1252" s="2" t="s">
        <v>2949</v>
      </c>
      <c r="H1252" s="2" t="s">
        <v>24</v>
      </c>
      <c r="I1252" s="2" t="s">
        <v>25</v>
      </c>
      <c r="J1252" s="2" t="s">
        <v>52</v>
      </c>
      <c r="K1252" s="2" t="s">
        <v>53</v>
      </c>
      <c r="L1252" s="2" t="s">
        <v>54</v>
      </c>
      <c r="M1252" s="2" t="s">
        <v>488</v>
      </c>
      <c r="N1252" s="2" t="s">
        <v>30</v>
      </c>
      <c r="O1252" s="2" t="s">
        <v>36</v>
      </c>
      <c r="P1252" s="2" t="s">
        <v>489</v>
      </c>
      <c r="Q1252" s="2">
        <v>184.75200000000001</v>
      </c>
      <c r="R1252" s="2">
        <v>3</v>
      </c>
      <c r="S1252" s="2">
        <v>-20.784600000000001</v>
      </c>
      <c r="T1252" s="2" t="s">
        <v>129</v>
      </c>
      <c r="U1252" s="2" t="s">
        <v>77</v>
      </c>
    </row>
    <row r="1253" spans="1:21" ht="14.25" customHeight="1" x14ac:dyDescent="0.3">
      <c r="A1253" s="2" t="s">
        <v>3340</v>
      </c>
      <c r="B1253" s="5">
        <v>42715</v>
      </c>
      <c r="C1253" s="2" t="str">
        <f>TEXT(data[[#This Row],[Order Date]],"YYYY")</f>
        <v>2016</v>
      </c>
      <c r="D1253" s="2">
        <v>42715</v>
      </c>
      <c r="E1253" s="2" t="s">
        <v>425</v>
      </c>
      <c r="F1253" s="2" t="s">
        <v>1038</v>
      </c>
      <c r="G1253" s="2" t="s">
        <v>1039</v>
      </c>
      <c r="H1253" s="2" t="s">
        <v>90</v>
      </c>
      <c r="I1253" s="2" t="s">
        <v>25</v>
      </c>
      <c r="J1253" s="2" t="s">
        <v>347</v>
      </c>
      <c r="K1253" s="2" t="s">
        <v>231</v>
      </c>
      <c r="L1253" s="2" t="s">
        <v>67</v>
      </c>
      <c r="M1253" s="2" t="s">
        <v>2578</v>
      </c>
      <c r="N1253" s="2" t="s">
        <v>30</v>
      </c>
      <c r="O1253" s="2" t="s">
        <v>36</v>
      </c>
      <c r="P1253" s="2" t="s">
        <v>2579</v>
      </c>
      <c r="Q1253" s="2">
        <v>458.43</v>
      </c>
      <c r="R1253" s="2">
        <v>5</v>
      </c>
      <c r="S1253" s="2">
        <v>-137.529</v>
      </c>
      <c r="T1253" s="2" t="s">
        <v>430</v>
      </c>
      <c r="U1253" s="2" t="s">
        <v>96</v>
      </c>
    </row>
    <row r="1254" spans="1:21" ht="14.25" customHeight="1" x14ac:dyDescent="0.3">
      <c r="A1254" s="2" t="s">
        <v>3340</v>
      </c>
      <c r="B1254" s="5">
        <v>42715</v>
      </c>
      <c r="C1254" s="2" t="str">
        <f>TEXT(data[[#This Row],[Order Date]],"YYYY")</f>
        <v>2016</v>
      </c>
      <c r="D1254" s="2">
        <v>42715</v>
      </c>
      <c r="E1254" s="2" t="s">
        <v>425</v>
      </c>
      <c r="F1254" s="2" t="s">
        <v>1038</v>
      </c>
      <c r="G1254" s="2" t="s">
        <v>1039</v>
      </c>
      <c r="H1254" s="2" t="s">
        <v>90</v>
      </c>
      <c r="I1254" s="2" t="s">
        <v>25</v>
      </c>
      <c r="J1254" s="2" t="s">
        <v>347</v>
      </c>
      <c r="K1254" s="2" t="s">
        <v>231</v>
      </c>
      <c r="L1254" s="2" t="s">
        <v>67</v>
      </c>
      <c r="M1254" s="2" t="s">
        <v>1234</v>
      </c>
      <c r="N1254" s="2" t="s">
        <v>30</v>
      </c>
      <c r="O1254" s="2" t="s">
        <v>45</v>
      </c>
      <c r="P1254" s="2" t="s">
        <v>1235</v>
      </c>
      <c r="Q1254" s="2">
        <v>328.59</v>
      </c>
      <c r="R1254" s="2">
        <v>3</v>
      </c>
      <c r="S1254" s="2">
        <v>-147.8655</v>
      </c>
      <c r="T1254" s="2" t="s">
        <v>430</v>
      </c>
      <c r="U1254" s="2" t="s">
        <v>96</v>
      </c>
    </row>
    <row r="1255" spans="1:21" ht="14.25" customHeight="1" x14ac:dyDescent="0.3">
      <c r="A1255" s="2" t="s">
        <v>3341</v>
      </c>
      <c r="B1255" s="5">
        <v>41983</v>
      </c>
      <c r="C1255" s="2" t="str">
        <f>TEXT(data[[#This Row],[Order Date]],"YYYY")</f>
        <v>2014</v>
      </c>
      <c r="D1255" s="2">
        <v>41987</v>
      </c>
      <c r="E1255" s="2" t="s">
        <v>39</v>
      </c>
      <c r="F1255" s="2" t="s">
        <v>2024</v>
      </c>
      <c r="G1255" s="2" t="s">
        <v>2025</v>
      </c>
      <c r="H1255" s="2" t="s">
        <v>90</v>
      </c>
      <c r="I1255" s="2" t="s">
        <v>25</v>
      </c>
      <c r="J1255" s="2" t="s">
        <v>3342</v>
      </c>
      <c r="K1255" s="2" t="s">
        <v>2280</v>
      </c>
      <c r="L1255" s="2" t="s">
        <v>54</v>
      </c>
      <c r="M1255" s="2" t="s">
        <v>1141</v>
      </c>
      <c r="N1255" s="2" t="s">
        <v>30</v>
      </c>
      <c r="O1255" s="2" t="s">
        <v>36</v>
      </c>
      <c r="P1255" s="2" t="s">
        <v>1142</v>
      </c>
      <c r="Q1255" s="2">
        <v>338.35199999999998</v>
      </c>
      <c r="R1255" s="2">
        <v>3</v>
      </c>
      <c r="S1255" s="2">
        <v>4.2294</v>
      </c>
      <c r="T1255" s="2" t="s">
        <v>83</v>
      </c>
      <c r="U1255" s="2" t="s">
        <v>96</v>
      </c>
    </row>
    <row r="1256" spans="1:21" ht="14.25" customHeight="1" x14ac:dyDescent="0.3">
      <c r="A1256" s="2" t="s">
        <v>3343</v>
      </c>
      <c r="B1256" s="5">
        <v>41986</v>
      </c>
      <c r="C1256" s="2" t="str">
        <f>TEXT(data[[#This Row],[Order Date]],"YYYY")</f>
        <v>2014</v>
      </c>
      <c r="D1256" s="2">
        <v>41990</v>
      </c>
      <c r="E1256" s="2" t="s">
        <v>39</v>
      </c>
      <c r="F1256" s="2" t="s">
        <v>1712</v>
      </c>
      <c r="G1256" s="2" t="s">
        <v>1713</v>
      </c>
      <c r="H1256" s="2" t="s">
        <v>90</v>
      </c>
      <c r="I1256" s="2" t="s">
        <v>25</v>
      </c>
      <c r="J1256" s="2" t="s">
        <v>519</v>
      </c>
      <c r="K1256" s="2" t="s">
        <v>520</v>
      </c>
      <c r="L1256" s="2" t="s">
        <v>54</v>
      </c>
      <c r="M1256" s="2" t="s">
        <v>1508</v>
      </c>
      <c r="N1256" s="2" t="s">
        <v>30</v>
      </c>
      <c r="O1256" s="2" t="s">
        <v>56</v>
      </c>
      <c r="P1256" s="2" t="s">
        <v>1509</v>
      </c>
      <c r="Q1256" s="2">
        <v>87.96</v>
      </c>
      <c r="R1256" s="2">
        <v>3</v>
      </c>
      <c r="S1256" s="2">
        <v>7.6965000000000003</v>
      </c>
      <c r="T1256" s="2" t="s">
        <v>83</v>
      </c>
      <c r="U1256" s="2" t="s">
        <v>96</v>
      </c>
    </row>
    <row r="1257" spans="1:21" ht="14.25" customHeight="1" x14ac:dyDescent="0.3">
      <c r="A1257" s="2" t="s">
        <v>3344</v>
      </c>
      <c r="B1257" s="5">
        <v>42985</v>
      </c>
      <c r="C1257" s="2" t="str">
        <f>TEXT(data[[#This Row],[Order Date]],"YYYY")</f>
        <v>2017</v>
      </c>
      <c r="D1257" s="2">
        <v>42989</v>
      </c>
      <c r="E1257" s="2" t="s">
        <v>39</v>
      </c>
      <c r="F1257" s="2" t="s">
        <v>3345</v>
      </c>
      <c r="G1257" s="2" t="s">
        <v>3346</v>
      </c>
      <c r="H1257" s="2" t="s">
        <v>24</v>
      </c>
      <c r="I1257" s="2" t="s">
        <v>25</v>
      </c>
      <c r="J1257" s="2" t="s">
        <v>52</v>
      </c>
      <c r="K1257" s="2" t="s">
        <v>53</v>
      </c>
      <c r="L1257" s="2" t="s">
        <v>54</v>
      </c>
      <c r="M1257" s="2" t="s">
        <v>802</v>
      </c>
      <c r="N1257" s="2" t="s">
        <v>30</v>
      </c>
      <c r="O1257" s="2" t="s">
        <v>56</v>
      </c>
      <c r="P1257" s="2" t="s">
        <v>803</v>
      </c>
      <c r="Q1257" s="2">
        <v>19.760000000000002</v>
      </c>
      <c r="R1257" s="2">
        <v>4</v>
      </c>
      <c r="S1257" s="2">
        <v>8.2992000000000008</v>
      </c>
      <c r="T1257" s="2" t="s">
        <v>83</v>
      </c>
      <c r="U1257" s="2" t="s">
        <v>77</v>
      </c>
    </row>
    <row r="1258" spans="1:21" ht="14.25" customHeight="1" x14ac:dyDescent="0.3">
      <c r="A1258" s="2" t="s">
        <v>3347</v>
      </c>
      <c r="B1258" s="5">
        <v>42310</v>
      </c>
      <c r="C1258" s="2" t="str">
        <f>TEXT(data[[#This Row],[Order Date]],"YYYY")</f>
        <v>2015</v>
      </c>
      <c r="D1258" s="2">
        <v>42315</v>
      </c>
      <c r="E1258" s="2" t="s">
        <v>39</v>
      </c>
      <c r="F1258" s="2" t="s">
        <v>3348</v>
      </c>
      <c r="G1258" s="2" t="s">
        <v>3349</v>
      </c>
      <c r="H1258" s="2" t="s">
        <v>24</v>
      </c>
      <c r="I1258" s="2" t="s">
        <v>25</v>
      </c>
      <c r="J1258" s="2" t="s">
        <v>119</v>
      </c>
      <c r="K1258" s="2" t="s">
        <v>120</v>
      </c>
      <c r="L1258" s="2" t="s">
        <v>67</v>
      </c>
      <c r="M1258" s="2" t="s">
        <v>2428</v>
      </c>
      <c r="N1258" s="2" t="s">
        <v>30</v>
      </c>
      <c r="O1258" s="2" t="s">
        <v>36</v>
      </c>
      <c r="P1258" s="2" t="s">
        <v>2429</v>
      </c>
      <c r="Q1258" s="2">
        <v>109.764</v>
      </c>
      <c r="R1258" s="2">
        <v>2</v>
      </c>
      <c r="S1258" s="2">
        <v>8.5372000000000003</v>
      </c>
      <c r="T1258" s="2" t="s">
        <v>58</v>
      </c>
      <c r="U1258" s="2" t="s">
        <v>34</v>
      </c>
    </row>
    <row r="1259" spans="1:21" ht="14.25" customHeight="1" x14ac:dyDescent="0.3">
      <c r="A1259" s="2" t="s">
        <v>3350</v>
      </c>
      <c r="B1259" s="5">
        <v>42826</v>
      </c>
      <c r="C1259" s="2" t="str">
        <f>TEXT(data[[#This Row],[Order Date]],"YYYY")</f>
        <v>2017</v>
      </c>
      <c r="D1259" s="2">
        <v>42828</v>
      </c>
      <c r="E1259" s="2" t="s">
        <v>87</v>
      </c>
      <c r="F1259" s="2" t="s">
        <v>1080</v>
      </c>
      <c r="G1259" s="2" t="s">
        <v>1081</v>
      </c>
      <c r="H1259" s="2" t="s">
        <v>90</v>
      </c>
      <c r="I1259" s="2" t="s">
        <v>25</v>
      </c>
      <c r="J1259" s="2" t="s">
        <v>854</v>
      </c>
      <c r="K1259" s="2" t="s">
        <v>158</v>
      </c>
      <c r="L1259" s="2" t="s">
        <v>28</v>
      </c>
      <c r="M1259" s="2" t="s">
        <v>181</v>
      </c>
      <c r="N1259" s="2" t="s">
        <v>30</v>
      </c>
      <c r="O1259" s="2" t="s">
        <v>56</v>
      </c>
      <c r="P1259" s="2" t="s">
        <v>182</v>
      </c>
      <c r="Q1259" s="2">
        <v>127.95</v>
      </c>
      <c r="R1259" s="2">
        <v>3</v>
      </c>
      <c r="S1259" s="2">
        <v>21.7515</v>
      </c>
      <c r="T1259" s="2" t="s">
        <v>70</v>
      </c>
      <c r="U1259" s="2" t="s">
        <v>113</v>
      </c>
    </row>
    <row r="1260" spans="1:21" ht="14.25" customHeight="1" x14ac:dyDescent="0.3">
      <c r="A1260" s="2" t="s">
        <v>3351</v>
      </c>
      <c r="B1260" s="5">
        <v>41735</v>
      </c>
      <c r="C1260" s="2" t="str">
        <f>TEXT(data[[#This Row],[Order Date]],"YYYY")</f>
        <v>2014</v>
      </c>
      <c r="D1260" s="2">
        <v>41741</v>
      </c>
      <c r="E1260" s="2" t="s">
        <v>39</v>
      </c>
      <c r="F1260" s="2" t="s">
        <v>2202</v>
      </c>
      <c r="G1260" s="2" t="s">
        <v>2203</v>
      </c>
      <c r="H1260" s="2" t="s">
        <v>90</v>
      </c>
      <c r="I1260" s="2" t="s">
        <v>25</v>
      </c>
      <c r="J1260" s="2" t="s">
        <v>52</v>
      </c>
      <c r="K1260" s="2" t="s">
        <v>53</v>
      </c>
      <c r="L1260" s="2" t="s">
        <v>54</v>
      </c>
      <c r="M1260" s="2" t="s">
        <v>3288</v>
      </c>
      <c r="N1260" s="2" t="s">
        <v>30</v>
      </c>
      <c r="O1260" s="2" t="s">
        <v>56</v>
      </c>
      <c r="P1260" s="2" t="s">
        <v>3289</v>
      </c>
      <c r="Q1260" s="2">
        <v>91.96</v>
      </c>
      <c r="R1260" s="2">
        <v>2</v>
      </c>
      <c r="S1260" s="2">
        <v>15.6332</v>
      </c>
      <c r="T1260" s="2" t="s">
        <v>129</v>
      </c>
      <c r="U1260" s="2" t="s">
        <v>113</v>
      </c>
    </row>
    <row r="1261" spans="1:21" ht="14.25" customHeight="1" x14ac:dyDescent="0.3">
      <c r="A1261" s="2" t="s">
        <v>3351</v>
      </c>
      <c r="B1261" s="5">
        <v>41735</v>
      </c>
      <c r="C1261" s="2" t="str">
        <f>TEXT(data[[#This Row],[Order Date]],"YYYY")</f>
        <v>2014</v>
      </c>
      <c r="D1261" s="2">
        <v>41741</v>
      </c>
      <c r="E1261" s="2" t="s">
        <v>39</v>
      </c>
      <c r="F1261" s="2" t="s">
        <v>2202</v>
      </c>
      <c r="G1261" s="2" t="s">
        <v>2203</v>
      </c>
      <c r="H1261" s="2" t="s">
        <v>90</v>
      </c>
      <c r="I1261" s="2" t="s">
        <v>25</v>
      </c>
      <c r="J1261" s="2" t="s">
        <v>52</v>
      </c>
      <c r="K1261" s="2" t="s">
        <v>53</v>
      </c>
      <c r="L1261" s="2" t="s">
        <v>54</v>
      </c>
      <c r="M1261" s="2" t="s">
        <v>379</v>
      </c>
      <c r="N1261" s="2" t="s">
        <v>30</v>
      </c>
      <c r="O1261" s="2" t="s">
        <v>56</v>
      </c>
      <c r="P1261" s="2" t="s">
        <v>380</v>
      </c>
      <c r="Q1261" s="2">
        <v>33.11</v>
      </c>
      <c r="R1261" s="2">
        <v>7</v>
      </c>
      <c r="S1261" s="2">
        <v>12.9129</v>
      </c>
      <c r="T1261" s="2" t="s">
        <v>129</v>
      </c>
      <c r="U1261" s="2" t="s">
        <v>113</v>
      </c>
    </row>
    <row r="1262" spans="1:21" ht="14.25" customHeight="1" x14ac:dyDescent="0.3">
      <c r="A1262" s="2" t="s">
        <v>3352</v>
      </c>
      <c r="B1262" s="5">
        <v>42922</v>
      </c>
      <c r="C1262" s="2" t="str">
        <f>TEXT(data[[#This Row],[Order Date]],"YYYY")</f>
        <v>2017</v>
      </c>
      <c r="D1262" s="2">
        <v>42922</v>
      </c>
      <c r="E1262" s="2" t="s">
        <v>425</v>
      </c>
      <c r="F1262" s="2" t="s">
        <v>2783</v>
      </c>
      <c r="G1262" s="2" t="s">
        <v>2784</v>
      </c>
      <c r="H1262" s="2" t="s">
        <v>24</v>
      </c>
      <c r="I1262" s="2" t="s">
        <v>25</v>
      </c>
      <c r="J1262" s="2" t="s">
        <v>1006</v>
      </c>
      <c r="K1262" s="2" t="s">
        <v>43</v>
      </c>
      <c r="L1262" s="2" t="s">
        <v>28</v>
      </c>
      <c r="M1262" s="2" t="s">
        <v>1585</v>
      </c>
      <c r="N1262" s="2" t="s">
        <v>30</v>
      </c>
      <c r="O1262" s="2" t="s">
        <v>36</v>
      </c>
      <c r="P1262" s="2" t="s">
        <v>1586</v>
      </c>
      <c r="Q1262" s="2">
        <v>239.24</v>
      </c>
      <c r="R1262" s="2">
        <v>1</v>
      </c>
      <c r="S1262" s="2">
        <v>23.923999999999999</v>
      </c>
      <c r="T1262" s="2" t="s">
        <v>430</v>
      </c>
      <c r="U1262" s="2" t="s">
        <v>71</v>
      </c>
    </row>
    <row r="1263" spans="1:21" ht="14.25" customHeight="1" x14ac:dyDescent="0.3">
      <c r="A1263" s="2" t="s">
        <v>3353</v>
      </c>
      <c r="B1263" s="5">
        <v>42729</v>
      </c>
      <c r="C1263" s="2" t="str">
        <f>TEXT(data[[#This Row],[Order Date]],"YYYY")</f>
        <v>2016</v>
      </c>
      <c r="D1263" s="2">
        <v>42736</v>
      </c>
      <c r="E1263" s="2" t="s">
        <v>39</v>
      </c>
      <c r="F1263" s="2" t="s">
        <v>2087</v>
      </c>
      <c r="G1263" s="2" t="s">
        <v>2088</v>
      </c>
      <c r="H1263" s="2" t="s">
        <v>90</v>
      </c>
      <c r="I1263" s="2" t="s">
        <v>25</v>
      </c>
      <c r="J1263" s="2" t="s">
        <v>3354</v>
      </c>
      <c r="K1263" s="2" t="s">
        <v>884</v>
      </c>
      <c r="L1263" s="2" t="s">
        <v>67</v>
      </c>
      <c r="M1263" s="2" t="s">
        <v>1658</v>
      </c>
      <c r="N1263" s="2" t="s">
        <v>30</v>
      </c>
      <c r="O1263" s="2" t="s">
        <v>56</v>
      </c>
      <c r="P1263" s="2" t="s">
        <v>1659</v>
      </c>
      <c r="Q1263" s="2">
        <v>21.12</v>
      </c>
      <c r="R1263" s="2">
        <v>4</v>
      </c>
      <c r="S1263" s="2">
        <v>6.5472000000000001</v>
      </c>
      <c r="T1263" s="2" t="s">
        <v>47</v>
      </c>
      <c r="U1263" s="2" t="s">
        <v>96</v>
      </c>
    </row>
    <row r="1264" spans="1:21" ht="14.25" customHeight="1" x14ac:dyDescent="0.3">
      <c r="A1264" s="2" t="s">
        <v>3355</v>
      </c>
      <c r="B1264" s="5">
        <v>42352</v>
      </c>
      <c r="C1264" s="2" t="str">
        <f>TEXT(data[[#This Row],[Order Date]],"YYYY")</f>
        <v>2015</v>
      </c>
      <c r="D1264" s="2">
        <v>42356</v>
      </c>
      <c r="E1264" s="2" t="s">
        <v>39</v>
      </c>
      <c r="F1264" s="2" t="s">
        <v>1240</v>
      </c>
      <c r="G1264" s="2" t="s">
        <v>1241</v>
      </c>
      <c r="H1264" s="2" t="s">
        <v>100</v>
      </c>
      <c r="I1264" s="2" t="s">
        <v>25</v>
      </c>
      <c r="J1264" s="2" t="s">
        <v>52</v>
      </c>
      <c r="K1264" s="2" t="s">
        <v>53</v>
      </c>
      <c r="L1264" s="2" t="s">
        <v>54</v>
      </c>
      <c r="M1264" s="2" t="s">
        <v>2390</v>
      </c>
      <c r="N1264" s="2" t="s">
        <v>30</v>
      </c>
      <c r="O1264" s="2" t="s">
        <v>56</v>
      </c>
      <c r="P1264" s="2" t="s">
        <v>2391</v>
      </c>
      <c r="Q1264" s="2">
        <v>15.24</v>
      </c>
      <c r="R1264" s="2">
        <v>3</v>
      </c>
      <c r="S1264" s="2">
        <v>5.1816000000000004</v>
      </c>
      <c r="T1264" s="2" t="s">
        <v>83</v>
      </c>
      <c r="U1264" s="2" t="s">
        <v>96</v>
      </c>
    </row>
    <row r="1265" spans="1:21" ht="14.25" customHeight="1" x14ac:dyDescent="0.3">
      <c r="A1265" s="2" t="s">
        <v>3356</v>
      </c>
      <c r="B1265" s="5">
        <v>42617</v>
      </c>
      <c r="C1265" s="2" t="str">
        <f>TEXT(data[[#This Row],[Order Date]],"YYYY")</f>
        <v>2016</v>
      </c>
      <c r="D1265" s="2">
        <v>42621</v>
      </c>
      <c r="E1265" s="2" t="s">
        <v>39</v>
      </c>
      <c r="F1265" s="2" t="s">
        <v>2693</v>
      </c>
      <c r="G1265" s="2" t="s">
        <v>2694</v>
      </c>
      <c r="H1265" s="2" t="s">
        <v>24</v>
      </c>
      <c r="I1265" s="2" t="s">
        <v>25</v>
      </c>
      <c r="J1265" s="2" t="s">
        <v>3357</v>
      </c>
      <c r="K1265" s="2" t="s">
        <v>27</v>
      </c>
      <c r="L1265" s="2" t="s">
        <v>28</v>
      </c>
      <c r="M1265" s="2" t="s">
        <v>485</v>
      </c>
      <c r="N1265" s="2" t="s">
        <v>30</v>
      </c>
      <c r="O1265" s="2" t="s">
        <v>56</v>
      </c>
      <c r="P1265" s="2" t="s">
        <v>486</v>
      </c>
      <c r="Q1265" s="2">
        <v>42.6</v>
      </c>
      <c r="R1265" s="2">
        <v>3</v>
      </c>
      <c r="S1265" s="2">
        <v>16.614000000000001</v>
      </c>
      <c r="T1265" s="2" t="s">
        <v>83</v>
      </c>
      <c r="U1265" s="2" t="s">
        <v>77</v>
      </c>
    </row>
    <row r="1266" spans="1:21" ht="14.25" customHeight="1" x14ac:dyDescent="0.3">
      <c r="A1266" s="2" t="s">
        <v>3358</v>
      </c>
      <c r="B1266" s="5">
        <v>42404</v>
      </c>
      <c r="C1266" s="2" t="str">
        <f>TEXT(data[[#This Row],[Order Date]],"YYYY")</f>
        <v>2016</v>
      </c>
      <c r="D1266" s="2">
        <v>42408</v>
      </c>
      <c r="E1266" s="2" t="s">
        <v>39</v>
      </c>
      <c r="F1266" s="2" t="s">
        <v>79</v>
      </c>
      <c r="G1266" s="2" t="s">
        <v>80</v>
      </c>
      <c r="H1266" s="2" t="s">
        <v>24</v>
      </c>
      <c r="I1266" s="2" t="s">
        <v>25</v>
      </c>
      <c r="J1266" s="2" t="s">
        <v>3359</v>
      </c>
      <c r="K1266" s="2" t="s">
        <v>520</v>
      </c>
      <c r="L1266" s="2" t="s">
        <v>54</v>
      </c>
      <c r="M1266" s="2" t="s">
        <v>1451</v>
      </c>
      <c r="N1266" s="2" t="s">
        <v>30</v>
      </c>
      <c r="O1266" s="2" t="s">
        <v>56</v>
      </c>
      <c r="P1266" s="2" t="s">
        <v>1452</v>
      </c>
      <c r="Q1266" s="2">
        <v>14.368</v>
      </c>
      <c r="R1266" s="2">
        <v>2</v>
      </c>
      <c r="S1266" s="2">
        <v>3.9512</v>
      </c>
      <c r="T1266" s="2" t="s">
        <v>83</v>
      </c>
      <c r="U1266" s="2" t="s">
        <v>297</v>
      </c>
    </row>
    <row r="1267" spans="1:21" ht="14.25" customHeight="1" x14ac:dyDescent="0.3">
      <c r="A1267" s="2" t="s">
        <v>3360</v>
      </c>
      <c r="B1267" s="5">
        <v>42874</v>
      </c>
      <c r="C1267" s="2" t="str">
        <f>TEXT(data[[#This Row],[Order Date]],"YYYY")</f>
        <v>2017</v>
      </c>
      <c r="D1267" s="2">
        <v>42879</v>
      </c>
      <c r="E1267" s="2" t="s">
        <v>21</v>
      </c>
      <c r="F1267" s="2" t="s">
        <v>1556</v>
      </c>
      <c r="G1267" s="2" t="s">
        <v>1557</v>
      </c>
      <c r="H1267" s="2" t="s">
        <v>90</v>
      </c>
      <c r="I1267" s="2" t="s">
        <v>25</v>
      </c>
      <c r="J1267" s="2" t="s">
        <v>3124</v>
      </c>
      <c r="K1267" s="2" t="s">
        <v>141</v>
      </c>
      <c r="L1267" s="2" t="s">
        <v>28</v>
      </c>
      <c r="M1267" s="2" t="s">
        <v>668</v>
      </c>
      <c r="N1267" s="2" t="s">
        <v>30</v>
      </c>
      <c r="O1267" s="2" t="s">
        <v>36</v>
      </c>
      <c r="P1267" s="2" t="s">
        <v>669</v>
      </c>
      <c r="Q1267" s="2">
        <v>314.35199999999998</v>
      </c>
      <c r="R1267" s="2">
        <v>3</v>
      </c>
      <c r="S1267" s="2">
        <v>-35.364600000000003</v>
      </c>
      <c r="T1267" s="2" t="s">
        <v>58</v>
      </c>
      <c r="U1267" s="2" t="s">
        <v>161</v>
      </c>
    </row>
    <row r="1268" spans="1:21" ht="14.25" customHeight="1" x14ac:dyDescent="0.3">
      <c r="A1268" s="2" t="s">
        <v>3361</v>
      </c>
      <c r="B1268" s="5">
        <v>42250</v>
      </c>
      <c r="C1268" s="2" t="str">
        <f>TEXT(data[[#This Row],[Order Date]],"YYYY")</f>
        <v>2015</v>
      </c>
      <c r="D1268" s="2">
        <v>42255</v>
      </c>
      <c r="E1268" s="2" t="s">
        <v>39</v>
      </c>
      <c r="F1268" s="2" t="s">
        <v>2058</v>
      </c>
      <c r="G1268" s="2" t="s">
        <v>2059</v>
      </c>
      <c r="H1268" s="2" t="s">
        <v>90</v>
      </c>
      <c r="I1268" s="2" t="s">
        <v>25</v>
      </c>
      <c r="J1268" s="2" t="s">
        <v>1222</v>
      </c>
      <c r="K1268" s="2" t="s">
        <v>520</v>
      </c>
      <c r="L1268" s="2" t="s">
        <v>54</v>
      </c>
      <c r="M1268" s="2" t="s">
        <v>1400</v>
      </c>
      <c r="N1268" s="2" t="s">
        <v>30</v>
      </c>
      <c r="O1268" s="2" t="s">
        <v>56</v>
      </c>
      <c r="P1268" s="2" t="s">
        <v>1401</v>
      </c>
      <c r="Q1268" s="2">
        <v>238.15199999999999</v>
      </c>
      <c r="R1268" s="2">
        <v>3</v>
      </c>
      <c r="S1268" s="2">
        <v>89.307000000000002</v>
      </c>
      <c r="T1268" s="2" t="s">
        <v>58</v>
      </c>
      <c r="U1268" s="2" t="s">
        <v>77</v>
      </c>
    </row>
    <row r="1269" spans="1:21" ht="14.25" customHeight="1" x14ac:dyDescent="0.3">
      <c r="A1269" s="2" t="s">
        <v>3362</v>
      </c>
      <c r="B1269" s="5">
        <v>42530</v>
      </c>
      <c r="C1269" s="2" t="str">
        <f>TEXT(data[[#This Row],[Order Date]],"YYYY")</f>
        <v>2016</v>
      </c>
      <c r="D1269" s="2">
        <v>42537</v>
      </c>
      <c r="E1269" s="2" t="s">
        <v>39</v>
      </c>
      <c r="F1269" s="2" t="s">
        <v>3363</v>
      </c>
      <c r="G1269" s="2" t="s">
        <v>3364</v>
      </c>
      <c r="H1269" s="2" t="s">
        <v>100</v>
      </c>
      <c r="I1269" s="2" t="s">
        <v>25</v>
      </c>
      <c r="J1269" s="2" t="s">
        <v>165</v>
      </c>
      <c r="K1269" s="2" t="s">
        <v>166</v>
      </c>
      <c r="L1269" s="2" t="s">
        <v>93</v>
      </c>
      <c r="M1269" s="2" t="s">
        <v>3165</v>
      </c>
      <c r="N1269" s="2" t="s">
        <v>30</v>
      </c>
      <c r="O1269" s="2" t="s">
        <v>45</v>
      </c>
      <c r="P1269" s="2" t="s">
        <v>3166</v>
      </c>
      <c r="Q1269" s="2">
        <v>692.94</v>
      </c>
      <c r="R1269" s="2">
        <v>3</v>
      </c>
      <c r="S1269" s="2">
        <v>173.23500000000001</v>
      </c>
      <c r="T1269" s="2" t="s">
        <v>47</v>
      </c>
      <c r="U1269" s="2" t="s">
        <v>59</v>
      </c>
    </row>
    <row r="1270" spans="1:21" ht="14.25" customHeight="1" x14ac:dyDescent="0.3">
      <c r="A1270" s="2" t="s">
        <v>3365</v>
      </c>
      <c r="B1270" s="5">
        <v>42636</v>
      </c>
      <c r="C1270" s="2" t="str">
        <f>TEXT(data[[#This Row],[Order Date]],"YYYY")</f>
        <v>2016</v>
      </c>
      <c r="D1270" s="2">
        <v>42639</v>
      </c>
      <c r="E1270" s="2" t="s">
        <v>21</v>
      </c>
      <c r="F1270" s="2" t="s">
        <v>524</v>
      </c>
      <c r="G1270" s="2" t="s">
        <v>525</v>
      </c>
      <c r="H1270" s="2" t="s">
        <v>100</v>
      </c>
      <c r="I1270" s="2" t="s">
        <v>25</v>
      </c>
      <c r="J1270" s="2" t="s">
        <v>815</v>
      </c>
      <c r="K1270" s="2" t="s">
        <v>231</v>
      </c>
      <c r="L1270" s="2" t="s">
        <v>67</v>
      </c>
      <c r="M1270" s="2" t="s">
        <v>2189</v>
      </c>
      <c r="N1270" s="2" t="s">
        <v>30</v>
      </c>
      <c r="O1270" s="2" t="s">
        <v>56</v>
      </c>
      <c r="P1270" s="2" t="s">
        <v>2190</v>
      </c>
      <c r="Q1270" s="2">
        <v>28</v>
      </c>
      <c r="R1270" s="2">
        <v>4</v>
      </c>
      <c r="S1270" s="2">
        <v>7.7</v>
      </c>
      <c r="T1270" s="2" t="s">
        <v>33</v>
      </c>
      <c r="U1270" s="2" t="s">
        <v>77</v>
      </c>
    </row>
    <row r="1271" spans="1:21" ht="14.25" customHeight="1" x14ac:dyDescent="0.3">
      <c r="A1271" s="2" t="s">
        <v>3366</v>
      </c>
      <c r="B1271" s="5">
        <v>42875</v>
      </c>
      <c r="C1271" s="2" t="str">
        <f>TEXT(data[[#This Row],[Order Date]],"YYYY")</f>
        <v>2017</v>
      </c>
      <c r="D1271" s="2">
        <v>42879</v>
      </c>
      <c r="E1271" s="2" t="s">
        <v>39</v>
      </c>
      <c r="F1271" s="2" t="s">
        <v>882</v>
      </c>
      <c r="G1271" s="2" t="s">
        <v>883</v>
      </c>
      <c r="H1271" s="2" t="s">
        <v>100</v>
      </c>
      <c r="I1271" s="2" t="s">
        <v>25</v>
      </c>
      <c r="J1271" s="2" t="s">
        <v>2060</v>
      </c>
      <c r="K1271" s="2" t="s">
        <v>53</v>
      </c>
      <c r="L1271" s="2" t="s">
        <v>54</v>
      </c>
      <c r="M1271" s="2" t="s">
        <v>510</v>
      </c>
      <c r="N1271" s="2" t="s">
        <v>30</v>
      </c>
      <c r="O1271" s="2" t="s">
        <v>36</v>
      </c>
      <c r="P1271" s="2" t="s">
        <v>511</v>
      </c>
      <c r="Q1271" s="2">
        <v>518.27200000000005</v>
      </c>
      <c r="R1271" s="2">
        <v>8</v>
      </c>
      <c r="S1271" s="2">
        <v>-97.176000000000002</v>
      </c>
      <c r="T1271" s="2" t="s">
        <v>83</v>
      </c>
      <c r="U1271" s="2" t="s">
        <v>161</v>
      </c>
    </row>
    <row r="1272" spans="1:21" ht="14.25" customHeight="1" x14ac:dyDescent="0.3">
      <c r="A1272" s="2" t="s">
        <v>3366</v>
      </c>
      <c r="B1272" s="5">
        <v>42875</v>
      </c>
      <c r="C1272" s="2" t="str">
        <f>TEXT(data[[#This Row],[Order Date]],"YYYY")</f>
        <v>2017</v>
      </c>
      <c r="D1272" s="2">
        <v>42879</v>
      </c>
      <c r="E1272" s="2" t="s">
        <v>39</v>
      </c>
      <c r="F1272" s="2" t="s">
        <v>882</v>
      </c>
      <c r="G1272" s="2" t="s">
        <v>883</v>
      </c>
      <c r="H1272" s="2" t="s">
        <v>100</v>
      </c>
      <c r="I1272" s="2" t="s">
        <v>25</v>
      </c>
      <c r="J1272" s="2" t="s">
        <v>2060</v>
      </c>
      <c r="K1272" s="2" t="s">
        <v>53</v>
      </c>
      <c r="L1272" s="2" t="s">
        <v>54</v>
      </c>
      <c r="M1272" s="2" t="s">
        <v>977</v>
      </c>
      <c r="N1272" s="2" t="s">
        <v>30</v>
      </c>
      <c r="O1272" s="2" t="s">
        <v>56</v>
      </c>
      <c r="P1272" s="2" t="s">
        <v>978</v>
      </c>
      <c r="Q1272" s="2">
        <v>6.98</v>
      </c>
      <c r="R1272" s="2">
        <v>1</v>
      </c>
      <c r="S1272" s="2">
        <v>3.3504</v>
      </c>
      <c r="T1272" s="2" t="s">
        <v>83</v>
      </c>
      <c r="U1272" s="2" t="s">
        <v>161</v>
      </c>
    </row>
    <row r="1273" spans="1:21" ht="14.25" customHeight="1" x14ac:dyDescent="0.3">
      <c r="A1273" s="2" t="s">
        <v>3367</v>
      </c>
      <c r="B1273" s="5">
        <v>42614</v>
      </c>
      <c r="C1273" s="2" t="str">
        <f>TEXT(data[[#This Row],[Order Date]],"YYYY")</f>
        <v>2016</v>
      </c>
      <c r="D1273" s="2">
        <v>42620</v>
      </c>
      <c r="E1273" s="2" t="s">
        <v>39</v>
      </c>
      <c r="F1273" s="2" t="s">
        <v>1118</v>
      </c>
      <c r="G1273" s="2" t="s">
        <v>1119</v>
      </c>
      <c r="H1273" s="2" t="s">
        <v>24</v>
      </c>
      <c r="I1273" s="2" t="s">
        <v>25</v>
      </c>
      <c r="J1273" s="2" t="s">
        <v>173</v>
      </c>
      <c r="K1273" s="2" t="s">
        <v>120</v>
      </c>
      <c r="L1273" s="2" t="s">
        <v>67</v>
      </c>
      <c r="M1273" s="2" t="s">
        <v>551</v>
      </c>
      <c r="N1273" s="2" t="s">
        <v>30</v>
      </c>
      <c r="O1273" s="2" t="s">
        <v>56</v>
      </c>
      <c r="P1273" s="2" t="s">
        <v>552</v>
      </c>
      <c r="Q1273" s="2">
        <v>191.82</v>
      </c>
      <c r="R1273" s="2">
        <v>3</v>
      </c>
      <c r="S1273" s="2">
        <v>61.382399999999997</v>
      </c>
      <c r="T1273" s="2" t="s">
        <v>129</v>
      </c>
      <c r="U1273" s="2" t="s">
        <v>77</v>
      </c>
    </row>
    <row r="1274" spans="1:21" ht="14.25" customHeight="1" x14ac:dyDescent="0.3">
      <c r="A1274" s="2" t="s">
        <v>3368</v>
      </c>
      <c r="B1274" s="5">
        <v>41688</v>
      </c>
      <c r="C1274" s="2" t="str">
        <f>TEXT(data[[#This Row],[Order Date]],"YYYY")</f>
        <v>2014</v>
      </c>
      <c r="D1274" s="2">
        <v>41688</v>
      </c>
      <c r="E1274" s="2" t="s">
        <v>425</v>
      </c>
      <c r="F1274" s="2" t="s">
        <v>498</v>
      </c>
      <c r="G1274" s="2" t="s">
        <v>499</v>
      </c>
      <c r="H1274" s="2" t="s">
        <v>24</v>
      </c>
      <c r="I1274" s="2" t="s">
        <v>25</v>
      </c>
      <c r="J1274" s="2" t="s">
        <v>3369</v>
      </c>
      <c r="K1274" s="2" t="s">
        <v>92</v>
      </c>
      <c r="L1274" s="2" t="s">
        <v>93</v>
      </c>
      <c r="M1274" s="2" t="s">
        <v>2614</v>
      </c>
      <c r="N1274" s="2" t="s">
        <v>30</v>
      </c>
      <c r="O1274" s="2" t="s">
        <v>56</v>
      </c>
      <c r="P1274" s="2" t="s">
        <v>2615</v>
      </c>
      <c r="Q1274" s="2">
        <v>25.16</v>
      </c>
      <c r="R1274" s="2">
        <v>5</v>
      </c>
      <c r="S1274" s="2">
        <v>-11.321999999999999</v>
      </c>
      <c r="T1274" s="2" t="s">
        <v>430</v>
      </c>
      <c r="U1274" s="2" t="s">
        <v>297</v>
      </c>
    </row>
    <row r="1275" spans="1:21" ht="14.25" customHeight="1" x14ac:dyDescent="0.3">
      <c r="A1275" s="2" t="s">
        <v>3370</v>
      </c>
      <c r="B1275" s="5">
        <v>42352</v>
      </c>
      <c r="C1275" s="2" t="str">
        <f>TEXT(data[[#This Row],[Order Date]],"YYYY")</f>
        <v>2015</v>
      </c>
      <c r="D1275" s="2">
        <v>42356</v>
      </c>
      <c r="E1275" s="2" t="s">
        <v>39</v>
      </c>
      <c r="F1275" s="2" t="s">
        <v>1046</v>
      </c>
      <c r="G1275" s="2" t="s">
        <v>1047</v>
      </c>
      <c r="H1275" s="2" t="s">
        <v>24</v>
      </c>
      <c r="I1275" s="2" t="s">
        <v>25</v>
      </c>
      <c r="J1275" s="2" t="s">
        <v>550</v>
      </c>
      <c r="K1275" s="2" t="s">
        <v>53</v>
      </c>
      <c r="L1275" s="2" t="s">
        <v>54</v>
      </c>
      <c r="M1275" s="2" t="s">
        <v>315</v>
      </c>
      <c r="N1275" s="2" t="s">
        <v>30</v>
      </c>
      <c r="O1275" s="2" t="s">
        <v>56</v>
      </c>
      <c r="P1275" s="2" t="s">
        <v>316</v>
      </c>
      <c r="Q1275" s="2">
        <v>29.22</v>
      </c>
      <c r="R1275" s="2">
        <v>3</v>
      </c>
      <c r="S1275" s="2">
        <v>12.8568</v>
      </c>
      <c r="T1275" s="2" t="s">
        <v>83</v>
      </c>
      <c r="U1275" s="2" t="s">
        <v>96</v>
      </c>
    </row>
    <row r="1276" spans="1:21" ht="14.25" customHeight="1" x14ac:dyDescent="0.3">
      <c r="A1276" s="2" t="s">
        <v>3371</v>
      </c>
      <c r="B1276" s="5">
        <v>42998</v>
      </c>
      <c r="C1276" s="2" t="str">
        <f>TEXT(data[[#This Row],[Order Date]],"YYYY")</f>
        <v>2017</v>
      </c>
      <c r="D1276" s="2">
        <v>43004</v>
      </c>
      <c r="E1276" s="2" t="s">
        <v>39</v>
      </c>
      <c r="F1276" s="2" t="s">
        <v>739</v>
      </c>
      <c r="G1276" s="2" t="s">
        <v>740</v>
      </c>
      <c r="H1276" s="2" t="s">
        <v>24</v>
      </c>
      <c r="I1276" s="2" t="s">
        <v>25</v>
      </c>
      <c r="J1276" s="2" t="s">
        <v>173</v>
      </c>
      <c r="K1276" s="2" t="s">
        <v>120</v>
      </c>
      <c r="L1276" s="2" t="s">
        <v>67</v>
      </c>
      <c r="M1276" s="2" t="s">
        <v>1186</v>
      </c>
      <c r="N1276" s="2" t="s">
        <v>30</v>
      </c>
      <c r="O1276" s="2" t="s">
        <v>36</v>
      </c>
      <c r="P1276" s="2" t="s">
        <v>1187</v>
      </c>
      <c r="Q1276" s="2">
        <v>272.64600000000002</v>
      </c>
      <c r="R1276" s="2">
        <v>3</v>
      </c>
      <c r="S1276" s="2">
        <v>18.176400000000001</v>
      </c>
      <c r="T1276" s="2" t="s">
        <v>129</v>
      </c>
      <c r="U1276" s="2" t="s">
        <v>77</v>
      </c>
    </row>
    <row r="1277" spans="1:21" ht="14.25" customHeight="1" x14ac:dyDescent="0.3">
      <c r="A1277" s="2" t="s">
        <v>3371</v>
      </c>
      <c r="B1277" s="5">
        <v>42998</v>
      </c>
      <c r="C1277" s="2" t="str">
        <f>TEXT(data[[#This Row],[Order Date]],"YYYY")</f>
        <v>2017</v>
      </c>
      <c r="D1277" s="2">
        <v>43004</v>
      </c>
      <c r="E1277" s="2" t="s">
        <v>39</v>
      </c>
      <c r="F1277" s="2" t="s">
        <v>739</v>
      </c>
      <c r="G1277" s="2" t="s">
        <v>740</v>
      </c>
      <c r="H1277" s="2" t="s">
        <v>24</v>
      </c>
      <c r="I1277" s="2" t="s">
        <v>25</v>
      </c>
      <c r="J1277" s="2" t="s">
        <v>173</v>
      </c>
      <c r="K1277" s="2" t="s">
        <v>120</v>
      </c>
      <c r="L1277" s="2" t="s">
        <v>67</v>
      </c>
      <c r="M1277" s="2" t="s">
        <v>114</v>
      </c>
      <c r="N1277" s="2" t="s">
        <v>30</v>
      </c>
      <c r="O1277" s="2" t="s">
        <v>36</v>
      </c>
      <c r="P1277" s="2" t="s">
        <v>115</v>
      </c>
      <c r="Q1277" s="2">
        <v>80.991</v>
      </c>
      <c r="R1277" s="2">
        <v>1</v>
      </c>
      <c r="S1277" s="2">
        <v>8.0991</v>
      </c>
      <c r="T1277" s="2" t="s">
        <v>129</v>
      </c>
      <c r="U1277" s="2" t="s">
        <v>77</v>
      </c>
    </row>
    <row r="1278" spans="1:21" ht="14.25" customHeight="1" x14ac:dyDescent="0.3">
      <c r="A1278" s="2" t="s">
        <v>3371</v>
      </c>
      <c r="B1278" s="5">
        <v>42998</v>
      </c>
      <c r="C1278" s="2" t="str">
        <f>TEXT(data[[#This Row],[Order Date]],"YYYY")</f>
        <v>2017</v>
      </c>
      <c r="D1278" s="2">
        <v>43004</v>
      </c>
      <c r="E1278" s="2" t="s">
        <v>39</v>
      </c>
      <c r="F1278" s="2" t="s">
        <v>739</v>
      </c>
      <c r="G1278" s="2" t="s">
        <v>740</v>
      </c>
      <c r="H1278" s="2" t="s">
        <v>24</v>
      </c>
      <c r="I1278" s="2" t="s">
        <v>25</v>
      </c>
      <c r="J1278" s="2" t="s">
        <v>173</v>
      </c>
      <c r="K1278" s="2" t="s">
        <v>120</v>
      </c>
      <c r="L1278" s="2" t="s">
        <v>67</v>
      </c>
      <c r="M1278" s="2" t="s">
        <v>381</v>
      </c>
      <c r="N1278" s="2" t="s">
        <v>30</v>
      </c>
      <c r="O1278" s="2" t="s">
        <v>36</v>
      </c>
      <c r="P1278" s="2" t="s">
        <v>382</v>
      </c>
      <c r="Q1278" s="2">
        <v>2888.127</v>
      </c>
      <c r="R1278" s="2">
        <v>11</v>
      </c>
      <c r="S1278" s="2">
        <v>609.71569999999997</v>
      </c>
      <c r="T1278" s="2" t="s">
        <v>129</v>
      </c>
      <c r="U1278" s="2" t="s">
        <v>77</v>
      </c>
    </row>
    <row r="1279" spans="1:21" ht="14.25" customHeight="1" x14ac:dyDescent="0.3">
      <c r="A1279" s="2" t="s">
        <v>3371</v>
      </c>
      <c r="B1279" s="5">
        <v>42998</v>
      </c>
      <c r="C1279" s="2" t="str">
        <f>TEXT(data[[#This Row],[Order Date]],"YYYY")</f>
        <v>2017</v>
      </c>
      <c r="D1279" s="2">
        <v>43004</v>
      </c>
      <c r="E1279" s="2" t="s">
        <v>39</v>
      </c>
      <c r="F1279" s="2" t="s">
        <v>739</v>
      </c>
      <c r="G1279" s="2" t="s">
        <v>740</v>
      </c>
      <c r="H1279" s="2" t="s">
        <v>24</v>
      </c>
      <c r="I1279" s="2" t="s">
        <v>25</v>
      </c>
      <c r="J1279" s="2" t="s">
        <v>173</v>
      </c>
      <c r="K1279" s="2" t="s">
        <v>120</v>
      </c>
      <c r="L1279" s="2" t="s">
        <v>67</v>
      </c>
      <c r="M1279" s="2" t="s">
        <v>559</v>
      </c>
      <c r="N1279" s="2" t="s">
        <v>30</v>
      </c>
      <c r="O1279" s="2" t="s">
        <v>36</v>
      </c>
      <c r="P1279" s="2" t="s">
        <v>560</v>
      </c>
      <c r="Q1279" s="2">
        <v>2254.41</v>
      </c>
      <c r="R1279" s="2">
        <v>5</v>
      </c>
      <c r="S1279" s="2">
        <v>375.73500000000001</v>
      </c>
      <c r="T1279" s="2" t="s">
        <v>129</v>
      </c>
      <c r="U1279" s="2" t="s">
        <v>77</v>
      </c>
    </row>
    <row r="1280" spans="1:21" ht="14.25" customHeight="1" x14ac:dyDescent="0.3">
      <c r="A1280" s="2" t="s">
        <v>3372</v>
      </c>
      <c r="B1280" s="5">
        <v>42969</v>
      </c>
      <c r="C1280" s="2" t="str">
        <f>TEXT(data[[#This Row],[Order Date]],"YYYY")</f>
        <v>2017</v>
      </c>
      <c r="D1280" s="2">
        <v>42971</v>
      </c>
      <c r="E1280" s="2" t="s">
        <v>87</v>
      </c>
      <c r="F1280" s="2" t="s">
        <v>2431</v>
      </c>
      <c r="G1280" s="2" t="s">
        <v>2432</v>
      </c>
      <c r="H1280" s="2" t="s">
        <v>100</v>
      </c>
      <c r="I1280" s="2" t="s">
        <v>25</v>
      </c>
      <c r="J1280" s="2" t="s">
        <v>65</v>
      </c>
      <c r="K1280" s="2" t="s">
        <v>66</v>
      </c>
      <c r="L1280" s="2" t="s">
        <v>67</v>
      </c>
      <c r="M1280" s="2" t="s">
        <v>915</v>
      </c>
      <c r="N1280" s="2" t="s">
        <v>30</v>
      </c>
      <c r="O1280" s="2" t="s">
        <v>45</v>
      </c>
      <c r="P1280" s="2" t="s">
        <v>916</v>
      </c>
      <c r="Q1280" s="2">
        <v>314.53199999999998</v>
      </c>
      <c r="R1280" s="2">
        <v>2</v>
      </c>
      <c r="S1280" s="2">
        <v>-83.875200000000007</v>
      </c>
      <c r="T1280" s="2" t="s">
        <v>70</v>
      </c>
      <c r="U1280" s="2" t="s">
        <v>253</v>
      </c>
    </row>
    <row r="1281" spans="1:21" ht="14.25" customHeight="1" x14ac:dyDescent="0.3">
      <c r="A1281" s="2" t="s">
        <v>3373</v>
      </c>
      <c r="B1281" s="5">
        <v>42686</v>
      </c>
      <c r="C1281" s="2" t="str">
        <f>TEXT(data[[#This Row],[Order Date]],"YYYY")</f>
        <v>2016</v>
      </c>
      <c r="D1281" s="2">
        <v>42690</v>
      </c>
      <c r="E1281" s="2" t="s">
        <v>39</v>
      </c>
      <c r="F1281" s="2" t="s">
        <v>3374</v>
      </c>
      <c r="G1281" s="2" t="s">
        <v>3375</v>
      </c>
      <c r="H1281" s="2" t="s">
        <v>24</v>
      </c>
      <c r="I1281" s="2" t="s">
        <v>25</v>
      </c>
      <c r="J1281" s="2" t="s">
        <v>2984</v>
      </c>
      <c r="K1281" s="2" t="s">
        <v>231</v>
      </c>
      <c r="L1281" s="2" t="s">
        <v>67</v>
      </c>
      <c r="M1281" s="2" t="s">
        <v>2334</v>
      </c>
      <c r="N1281" s="2" t="s">
        <v>30</v>
      </c>
      <c r="O1281" s="2" t="s">
        <v>36</v>
      </c>
      <c r="P1281" s="2" t="s">
        <v>2335</v>
      </c>
      <c r="Q1281" s="2">
        <v>1474.8019999999999</v>
      </c>
      <c r="R1281" s="2">
        <v>7</v>
      </c>
      <c r="S1281" s="2">
        <v>-21.0686</v>
      </c>
      <c r="T1281" s="2" t="s">
        <v>83</v>
      </c>
      <c r="U1281" s="2" t="s">
        <v>34</v>
      </c>
    </row>
    <row r="1282" spans="1:21" ht="14.25" customHeight="1" x14ac:dyDescent="0.3">
      <c r="A1282" s="2" t="s">
        <v>3373</v>
      </c>
      <c r="B1282" s="5">
        <v>42686</v>
      </c>
      <c r="C1282" s="2" t="str">
        <f>TEXT(data[[#This Row],[Order Date]],"YYYY")</f>
        <v>2016</v>
      </c>
      <c r="D1282" s="2">
        <v>42690</v>
      </c>
      <c r="E1282" s="2" t="s">
        <v>39</v>
      </c>
      <c r="F1282" s="2" t="s">
        <v>3374</v>
      </c>
      <c r="G1282" s="2" t="s">
        <v>3375</v>
      </c>
      <c r="H1282" s="2" t="s">
        <v>24</v>
      </c>
      <c r="I1282" s="2" t="s">
        <v>25</v>
      </c>
      <c r="J1282" s="2" t="s">
        <v>2984</v>
      </c>
      <c r="K1282" s="2" t="s">
        <v>231</v>
      </c>
      <c r="L1282" s="2" t="s">
        <v>67</v>
      </c>
      <c r="M1282" s="2" t="s">
        <v>35</v>
      </c>
      <c r="N1282" s="2" t="s">
        <v>30</v>
      </c>
      <c r="O1282" s="2" t="s">
        <v>36</v>
      </c>
      <c r="P1282" s="2" t="s">
        <v>37</v>
      </c>
      <c r="Q1282" s="2">
        <v>1537.0740000000001</v>
      </c>
      <c r="R1282" s="2">
        <v>9</v>
      </c>
      <c r="S1282" s="2">
        <v>0</v>
      </c>
      <c r="T1282" s="2" t="s">
        <v>83</v>
      </c>
      <c r="U1282" s="2" t="s">
        <v>34</v>
      </c>
    </row>
    <row r="1283" spans="1:21" ht="14.25" customHeight="1" x14ac:dyDescent="0.3">
      <c r="A1283" s="2" t="s">
        <v>3373</v>
      </c>
      <c r="B1283" s="5">
        <v>42686</v>
      </c>
      <c r="C1283" s="2" t="str">
        <f>TEXT(data[[#This Row],[Order Date]],"YYYY")</f>
        <v>2016</v>
      </c>
      <c r="D1283" s="2">
        <v>42690</v>
      </c>
      <c r="E1283" s="2" t="s">
        <v>39</v>
      </c>
      <c r="F1283" s="2" t="s">
        <v>3374</v>
      </c>
      <c r="G1283" s="2" t="s">
        <v>3375</v>
      </c>
      <c r="H1283" s="2" t="s">
        <v>24</v>
      </c>
      <c r="I1283" s="2" t="s">
        <v>25</v>
      </c>
      <c r="J1283" s="2" t="s">
        <v>2984</v>
      </c>
      <c r="K1283" s="2" t="s">
        <v>231</v>
      </c>
      <c r="L1283" s="2" t="s">
        <v>67</v>
      </c>
      <c r="M1283" s="2" t="s">
        <v>795</v>
      </c>
      <c r="N1283" s="2" t="s">
        <v>30</v>
      </c>
      <c r="O1283" s="2" t="s">
        <v>36</v>
      </c>
      <c r="P1283" s="2" t="s">
        <v>796</v>
      </c>
      <c r="Q1283" s="2">
        <v>449.37200000000001</v>
      </c>
      <c r="R1283" s="2">
        <v>2</v>
      </c>
      <c r="S1283" s="2">
        <v>-12.8392</v>
      </c>
      <c r="T1283" s="2" t="s">
        <v>83</v>
      </c>
      <c r="U1283" s="2" t="s">
        <v>34</v>
      </c>
    </row>
    <row r="1284" spans="1:21" ht="14.25" customHeight="1" x14ac:dyDescent="0.3">
      <c r="A1284" s="2" t="s">
        <v>3376</v>
      </c>
      <c r="B1284" s="5">
        <v>42997</v>
      </c>
      <c r="C1284" s="2" t="str">
        <f>TEXT(data[[#This Row],[Order Date]],"YYYY")</f>
        <v>2017</v>
      </c>
      <c r="D1284" s="2">
        <v>43003</v>
      </c>
      <c r="E1284" s="2" t="s">
        <v>39</v>
      </c>
      <c r="F1284" s="2" t="s">
        <v>3377</v>
      </c>
      <c r="G1284" s="2" t="s">
        <v>3378</v>
      </c>
      <c r="H1284" s="2" t="s">
        <v>90</v>
      </c>
      <c r="I1284" s="2" t="s">
        <v>25</v>
      </c>
      <c r="J1284" s="2" t="s">
        <v>878</v>
      </c>
      <c r="K1284" s="2" t="s">
        <v>1517</v>
      </c>
      <c r="L1284" s="2" t="s">
        <v>54</v>
      </c>
      <c r="M1284" s="2" t="s">
        <v>551</v>
      </c>
      <c r="N1284" s="2" t="s">
        <v>30</v>
      </c>
      <c r="O1284" s="2" t="s">
        <v>56</v>
      </c>
      <c r="P1284" s="2" t="s">
        <v>552</v>
      </c>
      <c r="Q1284" s="2">
        <v>409.21600000000001</v>
      </c>
      <c r="R1284" s="2">
        <v>8</v>
      </c>
      <c r="S1284" s="2">
        <v>61.382399999999997</v>
      </c>
      <c r="T1284" s="2" t="s">
        <v>129</v>
      </c>
      <c r="U1284" s="2" t="s">
        <v>77</v>
      </c>
    </row>
    <row r="1285" spans="1:21" ht="14.25" customHeight="1" x14ac:dyDescent="0.3">
      <c r="A1285" s="2" t="s">
        <v>3376</v>
      </c>
      <c r="B1285" s="5">
        <v>42997</v>
      </c>
      <c r="C1285" s="2" t="str">
        <f>TEXT(data[[#This Row],[Order Date]],"YYYY")</f>
        <v>2017</v>
      </c>
      <c r="D1285" s="2">
        <v>43003</v>
      </c>
      <c r="E1285" s="2" t="s">
        <v>39</v>
      </c>
      <c r="F1285" s="2" t="s">
        <v>3377</v>
      </c>
      <c r="G1285" s="2" t="s">
        <v>3378</v>
      </c>
      <c r="H1285" s="2" t="s">
        <v>90</v>
      </c>
      <c r="I1285" s="2" t="s">
        <v>25</v>
      </c>
      <c r="J1285" s="2" t="s">
        <v>878</v>
      </c>
      <c r="K1285" s="2" t="s">
        <v>1517</v>
      </c>
      <c r="L1285" s="2" t="s">
        <v>54</v>
      </c>
      <c r="M1285" s="2" t="s">
        <v>456</v>
      </c>
      <c r="N1285" s="2" t="s">
        <v>30</v>
      </c>
      <c r="O1285" s="2" t="s">
        <v>31</v>
      </c>
      <c r="P1285" s="2" t="s">
        <v>457</v>
      </c>
      <c r="Q1285" s="2">
        <v>72.587999999999994</v>
      </c>
      <c r="R1285" s="2">
        <v>2</v>
      </c>
      <c r="S1285" s="2">
        <v>-128.2388</v>
      </c>
      <c r="T1285" s="2" t="s">
        <v>129</v>
      </c>
      <c r="U1285" s="2" t="s">
        <v>77</v>
      </c>
    </row>
    <row r="1286" spans="1:21" ht="14.25" customHeight="1" x14ac:dyDescent="0.3">
      <c r="A1286" s="2" t="s">
        <v>3379</v>
      </c>
      <c r="B1286" s="5">
        <v>42460</v>
      </c>
      <c r="C1286" s="2" t="str">
        <f>TEXT(data[[#This Row],[Order Date]],"YYYY")</f>
        <v>2016</v>
      </c>
      <c r="D1286" s="2">
        <v>42466</v>
      </c>
      <c r="E1286" s="2" t="s">
        <v>39</v>
      </c>
      <c r="F1286" s="2" t="s">
        <v>1847</v>
      </c>
      <c r="G1286" s="2" t="s">
        <v>1848</v>
      </c>
      <c r="H1286" s="2" t="s">
        <v>24</v>
      </c>
      <c r="I1286" s="2" t="s">
        <v>25</v>
      </c>
      <c r="J1286" s="2" t="s">
        <v>173</v>
      </c>
      <c r="K1286" s="2" t="s">
        <v>120</v>
      </c>
      <c r="L1286" s="2" t="s">
        <v>67</v>
      </c>
      <c r="M1286" s="2" t="s">
        <v>251</v>
      </c>
      <c r="N1286" s="2" t="s">
        <v>30</v>
      </c>
      <c r="O1286" s="2" t="s">
        <v>36</v>
      </c>
      <c r="P1286" s="2" t="s">
        <v>252</v>
      </c>
      <c r="Q1286" s="2">
        <v>327.99599999999998</v>
      </c>
      <c r="R1286" s="2">
        <v>6</v>
      </c>
      <c r="S1286" s="2">
        <v>54.665999999999997</v>
      </c>
      <c r="T1286" s="2" t="s">
        <v>129</v>
      </c>
      <c r="U1286" s="2" t="s">
        <v>195</v>
      </c>
    </row>
    <row r="1287" spans="1:21" ht="14.25" customHeight="1" x14ac:dyDescent="0.3">
      <c r="A1287" s="2" t="s">
        <v>3380</v>
      </c>
      <c r="B1287" s="5">
        <v>42000</v>
      </c>
      <c r="C1287" s="2" t="str">
        <f>TEXT(data[[#This Row],[Order Date]],"YYYY")</f>
        <v>2014</v>
      </c>
      <c r="D1287" s="2">
        <v>42004</v>
      </c>
      <c r="E1287" s="2" t="s">
        <v>39</v>
      </c>
      <c r="F1287" s="2" t="s">
        <v>3381</v>
      </c>
      <c r="G1287" s="2" t="s">
        <v>3382</v>
      </c>
      <c r="H1287" s="2" t="s">
        <v>100</v>
      </c>
      <c r="I1287" s="2" t="s">
        <v>25</v>
      </c>
      <c r="J1287" s="2" t="s">
        <v>173</v>
      </c>
      <c r="K1287" s="2" t="s">
        <v>120</v>
      </c>
      <c r="L1287" s="2" t="s">
        <v>67</v>
      </c>
      <c r="M1287" s="2" t="s">
        <v>298</v>
      </c>
      <c r="N1287" s="2" t="s">
        <v>30</v>
      </c>
      <c r="O1287" s="2" t="s">
        <v>36</v>
      </c>
      <c r="P1287" s="2" t="s">
        <v>299</v>
      </c>
      <c r="Q1287" s="2">
        <v>767.21400000000006</v>
      </c>
      <c r="R1287" s="2">
        <v>14</v>
      </c>
      <c r="S1287" s="2">
        <v>161.9674</v>
      </c>
      <c r="T1287" s="2" t="s">
        <v>83</v>
      </c>
      <c r="U1287" s="2" t="s">
        <v>96</v>
      </c>
    </row>
    <row r="1288" spans="1:21" ht="14.25" customHeight="1" x14ac:dyDescent="0.3">
      <c r="A1288" s="2" t="s">
        <v>3383</v>
      </c>
      <c r="B1288" s="5">
        <v>42598</v>
      </c>
      <c r="C1288" s="2" t="str">
        <f>TEXT(data[[#This Row],[Order Date]],"YYYY")</f>
        <v>2016</v>
      </c>
      <c r="D1288" s="2">
        <v>42601</v>
      </c>
      <c r="E1288" s="2" t="s">
        <v>87</v>
      </c>
      <c r="F1288" s="2" t="s">
        <v>3384</v>
      </c>
      <c r="G1288" s="2" t="s">
        <v>3385</v>
      </c>
      <c r="H1288" s="2" t="s">
        <v>90</v>
      </c>
      <c r="I1288" s="2" t="s">
        <v>25</v>
      </c>
      <c r="J1288" s="2" t="s">
        <v>52</v>
      </c>
      <c r="K1288" s="2" t="s">
        <v>53</v>
      </c>
      <c r="L1288" s="2" t="s">
        <v>54</v>
      </c>
      <c r="M1288" s="2" t="s">
        <v>2406</v>
      </c>
      <c r="N1288" s="2" t="s">
        <v>30</v>
      </c>
      <c r="O1288" s="2" t="s">
        <v>45</v>
      </c>
      <c r="P1288" s="2" t="s">
        <v>2407</v>
      </c>
      <c r="Q1288" s="2">
        <v>161.28</v>
      </c>
      <c r="R1288" s="2">
        <v>2</v>
      </c>
      <c r="S1288" s="2">
        <v>12.096</v>
      </c>
      <c r="T1288" s="2" t="s">
        <v>33</v>
      </c>
      <c r="U1288" s="2" t="s">
        <v>253</v>
      </c>
    </row>
    <row r="1289" spans="1:21" ht="14.25" customHeight="1" x14ac:dyDescent="0.3">
      <c r="A1289" s="2" t="s">
        <v>3386</v>
      </c>
      <c r="B1289" s="5">
        <v>41728</v>
      </c>
      <c r="C1289" s="2" t="str">
        <f>TEXT(data[[#This Row],[Order Date]],"YYYY")</f>
        <v>2014</v>
      </c>
      <c r="D1289" s="2">
        <v>41733</v>
      </c>
      <c r="E1289" s="2" t="s">
        <v>39</v>
      </c>
      <c r="F1289" s="2" t="s">
        <v>867</v>
      </c>
      <c r="G1289" s="2" t="s">
        <v>868</v>
      </c>
      <c r="H1289" s="2" t="s">
        <v>24</v>
      </c>
      <c r="I1289" s="2" t="s">
        <v>25</v>
      </c>
      <c r="J1289" s="2" t="s">
        <v>328</v>
      </c>
      <c r="K1289" s="2" t="s">
        <v>53</v>
      </c>
      <c r="L1289" s="2" t="s">
        <v>54</v>
      </c>
      <c r="M1289" s="2" t="s">
        <v>542</v>
      </c>
      <c r="N1289" s="2" t="s">
        <v>30</v>
      </c>
      <c r="O1289" s="2" t="s">
        <v>31</v>
      </c>
      <c r="P1289" s="2" t="s">
        <v>543</v>
      </c>
      <c r="Q1289" s="2">
        <v>205.666</v>
      </c>
      <c r="R1289" s="2">
        <v>2</v>
      </c>
      <c r="S1289" s="2">
        <v>-12.098000000000001</v>
      </c>
      <c r="T1289" s="2" t="s">
        <v>58</v>
      </c>
      <c r="U1289" s="2" t="s">
        <v>195</v>
      </c>
    </row>
    <row r="1290" spans="1:21" ht="14.25" customHeight="1" x14ac:dyDescent="0.3">
      <c r="A1290" s="2" t="s">
        <v>3387</v>
      </c>
      <c r="B1290" s="5">
        <v>43097</v>
      </c>
      <c r="C1290" s="2" t="str">
        <f>TEXT(data[[#This Row],[Order Date]],"YYYY")</f>
        <v>2017</v>
      </c>
      <c r="D1290" s="2">
        <v>43100</v>
      </c>
      <c r="E1290" s="2" t="s">
        <v>87</v>
      </c>
      <c r="F1290" s="2" t="s">
        <v>2308</v>
      </c>
      <c r="G1290" s="2" t="s">
        <v>2309</v>
      </c>
      <c r="H1290" s="2" t="s">
        <v>90</v>
      </c>
      <c r="I1290" s="2" t="s">
        <v>25</v>
      </c>
      <c r="J1290" s="2" t="s">
        <v>730</v>
      </c>
      <c r="K1290" s="2" t="s">
        <v>53</v>
      </c>
      <c r="L1290" s="2" t="s">
        <v>54</v>
      </c>
      <c r="M1290" s="2" t="s">
        <v>121</v>
      </c>
      <c r="N1290" s="2" t="s">
        <v>30</v>
      </c>
      <c r="O1290" s="2" t="s">
        <v>36</v>
      </c>
      <c r="P1290" s="2" t="s">
        <v>122</v>
      </c>
      <c r="Q1290" s="2">
        <v>340.70400000000001</v>
      </c>
      <c r="R1290" s="2">
        <v>6</v>
      </c>
      <c r="S1290" s="2">
        <v>-34.070399999999999</v>
      </c>
      <c r="T1290" s="2" t="s">
        <v>33</v>
      </c>
      <c r="U1290" s="2" t="s">
        <v>96</v>
      </c>
    </row>
    <row r="1291" spans="1:21" ht="14.25" customHeight="1" x14ac:dyDescent="0.3">
      <c r="A1291" s="2" t="s">
        <v>3388</v>
      </c>
      <c r="B1291" s="5">
        <v>42468</v>
      </c>
      <c r="C1291" s="2" t="str">
        <f>TEXT(data[[#This Row],[Order Date]],"YYYY")</f>
        <v>2016</v>
      </c>
      <c r="D1291" s="2">
        <v>42471</v>
      </c>
      <c r="E1291" s="2" t="s">
        <v>87</v>
      </c>
      <c r="F1291" s="2" t="s">
        <v>1489</v>
      </c>
      <c r="G1291" s="2" t="s">
        <v>1490</v>
      </c>
      <c r="H1291" s="2" t="s">
        <v>24</v>
      </c>
      <c r="I1291" s="2" t="s">
        <v>25</v>
      </c>
      <c r="J1291" s="2" t="s">
        <v>347</v>
      </c>
      <c r="K1291" s="2" t="s">
        <v>667</v>
      </c>
      <c r="L1291" s="2" t="s">
        <v>28</v>
      </c>
      <c r="M1291" s="2" t="s">
        <v>2479</v>
      </c>
      <c r="N1291" s="2" t="s">
        <v>30</v>
      </c>
      <c r="O1291" s="2" t="s">
        <v>31</v>
      </c>
      <c r="P1291" s="2" t="s">
        <v>2480</v>
      </c>
      <c r="Q1291" s="2">
        <v>354.9</v>
      </c>
      <c r="R1291" s="2">
        <v>5</v>
      </c>
      <c r="S1291" s="2">
        <v>88.724999999999994</v>
      </c>
      <c r="T1291" s="2" t="s">
        <v>33</v>
      </c>
      <c r="U1291" s="2" t="s">
        <v>113</v>
      </c>
    </row>
    <row r="1292" spans="1:21" ht="14.25" customHeight="1" x14ac:dyDescent="0.3">
      <c r="A1292" s="2" t="s">
        <v>3389</v>
      </c>
      <c r="B1292" s="5">
        <v>41716</v>
      </c>
      <c r="C1292" s="2" t="str">
        <f>TEXT(data[[#This Row],[Order Date]],"YYYY")</f>
        <v>2014</v>
      </c>
      <c r="D1292" s="2">
        <v>41719</v>
      </c>
      <c r="E1292" s="2" t="s">
        <v>21</v>
      </c>
      <c r="F1292" s="2" t="s">
        <v>3390</v>
      </c>
      <c r="G1292" s="2" t="s">
        <v>3391</v>
      </c>
      <c r="H1292" s="2" t="s">
        <v>100</v>
      </c>
      <c r="I1292" s="2" t="s">
        <v>25</v>
      </c>
      <c r="J1292" s="2" t="s">
        <v>328</v>
      </c>
      <c r="K1292" s="2" t="s">
        <v>53</v>
      </c>
      <c r="L1292" s="2" t="s">
        <v>54</v>
      </c>
      <c r="M1292" s="2" t="s">
        <v>2622</v>
      </c>
      <c r="N1292" s="2" t="s">
        <v>30</v>
      </c>
      <c r="O1292" s="2" t="s">
        <v>31</v>
      </c>
      <c r="P1292" s="2" t="s">
        <v>2623</v>
      </c>
      <c r="Q1292" s="2">
        <v>1198.33</v>
      </c>
      <c r="R1292" s="2">
        <v>10</v>
      </c>
      <c r="S1292" s="2">
        <v>70.489999999999995</v>
      </c>
      <c r="T1292" s="2" t="s">
        <v>33</v>
      </c>
      <c r="U1292" s="2" t="s">
        <v>195</v>
      </c>
    </row>
    <row r="1293" spans="1:21" ht="14.25" customHeight="1" x14ac:dyDescent="0.3">
      <c r="A1293" s="2" t="s">
        <v>3392</v>
      </c>
      <c r="B1293" s="5">
        <v>42845</v>
      </c>
      <c r="C1293" s="2" t="str">
        <f>TEXT(data[[#This Row],[Order Date]],"YYYY")</f>
        <v>2017</v>
      </c>
      <c r="D1293" s="2">
        <v>42848</v>
      </c>
      <c r="E1293" s="2" t="s">
        <v>87</v>
      </c>
      <c r="F1293" s="2" t="s">
        <v>184</v>
      </c>
      <c r="G1293" s="2" t="s">
        <v>185</v>
      </c>
      <c r="H1293" s="2" t="s">
        <v>90</v>
      </c>
      <c r="I1293" s="2" t="s">
        <v>25</v>
      </c>
      <c r="J1293" s="2" t="s">
        <v>65</v>
      </c>
      <c r="K1293" s="2" t="s">
        <v>66</v>
      </c>
      <c r="L1293" s="2" t="s">
        <v>67</v>
      </c>
      <c r="M1293" s="2" t="s">
        <v>2055</v>
      </c>
      <c r="N1293" s="2" t="s">
        <v>30</v>
      </c>
      <c r="O1293" s="2" t="s">
        <v>56</v>
      </c>
      <c r="P1293" s="2" t="s">
        <v>2056</v>
      </c>
      <c r="Q1293" s="2">
        <v>51.968000000000004</v>
      </c>
      <c r="R1293" s="2">
        <v>2</v>
      </c>
      <c r="S1293" s="2">
        <v>10.393599999999999</v>
      </c>
      <c r="T1293" s="2" t="s">
        <v>33</v>
      </c>
      <c r="U1293" s="2" t="s">
        <v>113</v>
      </c>
    </row>
    <row r="1294" spans="1:21" ht="14.25" customHeight="1" x14ac:dyDescent="0.3">
      <c r="A1294" s="2" t="s">
        <v>3392</v>
      </c>
      <c r="B1294" s="5">
        <v>42845</v>
      </c>
      <c r="C1294" s="2" t="str">
        <f>TEXT(data[[#This Row],[Order Date]],"YYYY")</f>
        <v>2017</v>
      </c>
      <c r="D1294" s="2">
        <v>42848</v>
      </c>
      <c r="E1294" s="2" t="s">
        <v>87</v>
      </c>
      <c r="F1294" s="2" t="s">
        <v>184</v>
      </c>
      <c r="G1294" s="2" t="s">
        <v>185</v>
      </c>
      <c r="H1294" s="2" t="s">
        <v>90</v>
      </c>
      <c r="I1294" s="2" t="s">
        <v>25</v>
      </c>
      <c r="J1294" s="2" t="s">
        <v>65</v>
      </c>
      <c r="K1294" s="2" t="s">
        <v>66</v>
      </c>
      <c r="L1294" s="2" t="s">
        <v>67</v>
      </c>
      <c r="M1294" s="2" t="s">
        <v>1989</v>
      </c>
      <c r="N1294" s="2" t="s">
        <v>30</v>
      </c>
      <c r="O1294" s="2" t="s">
        <v>56</v>
      </c>
      <c r="P1294" s="2" t="s">
        <v>1990</v>
      </c>
      <c r="Q1294" s="2">
        <v>42.408000000000001</v>
      </c>
      <c r="R1294" s="2">
        <v>3</v>
      </c>
      <c r="S1294" s="2">
        <v>9.5418000000000003</v>
      </c>
      <c r="T1294" s="2" t="s">
        <v>33</v>
      </c>
      <c r="U1294" s="2" t="s">
        <v>113</v>
      </c>
    </row>
    <row r="1295" spans="1:21" ht="14.25" customHeight="1" x14ac:dyDescent="0.3">
      <c r="A1295" s="2" t="s">
        <v>3393</v>
      </c>
      <c r="B1295" s="5">
        <v>41717</v>
      </c>
      <c r="C1295" s="2" t="str">
        <f>TEXT(data[[#This Row],[Order Date]],"YYYY")</f>
        <v>2014</v>
      </c>
      <c r="D1295" s="2">
        <v>41719</v>
      </c>
      <c r="E1295" s="2" t="s">
        <v>87</v>
      </c>
      <c r="F1295" s="2" t="s">
        <v>569</v>
      </c>
      <c r="G1295" s="2" t="s">
        <v>570</v>
      </c>
      <c r="H1295" s="2" t="s">
        <v>90</v>
      </c>
      <c r="I1295" s="2" t="s">
        <v>25</v>
      </c>
      <c r="J1295" s="2" t="s">
        <v>574</v>
      </c>
      <c r="K1295" s="2" t="s">
        <v>43</v>
      </c>
      <c r="L1295" s="2" t="s">
        <v>28</v>
      </c>
      <c r="M1295" s="2" t="s">
        <v>1361</v>
      </c>
      <c r="N1295" s="2" t="s">
        <v>30</v>
      </c>
      <c r="O1295" s="2" t="s">
        <v>56</v>
      </c>
      <c r="P1295" s="2" t="s">
        <v>423</v>
      </c>
      <c r="Q1295" s="2">
        <v>4.992</v>
      </c>
      <c r="R1295" s="2">
        <v>3</v>
      </c>
      <c r="S1295" s="2">
        <v>1.3728</v>
      </c>
      <c r="T1295" s="2" t="s">
        <v>70</v>
      </c>
      <c r="U1295" s="2" t="s">
        <v>195</v>
      </c>
    </row>
    <row r="1296" spans="1:21" ht="14.25" customHeight="1" x14ac:dyDescent="0.3">
      <c r="A1296" s="2" t="s">
        <v>3393</v>
      </c>
      <c r="B1296" s="5">
        <v>41717</v>
      </c>
      <c r="C1296" s="2" t="str">
        <f>TEXT(data[[#This Row],[Order Date]],"YYYY")</f>
        <v>2014</v>
      </c>
      <c r="D1296" s="2">
        <v>41719</v>
      </c>
      <c r="E1296" s="2" t="s">
        <v>87</v>
      </c>
      <c r="F1296" s="2" t="s">
        <v>569</v>
      </c>
      <c r="G1296" s="2" t="s">
        <v>570</v>
      </c>
      <c r="H1296" s="2" t="s">
        <v>90</v>
      </c>
      <c r="I1296" s="2" t="s">
        <v>25</v>
      </c>
      <c r="J1296" s="2" t="s">
        <v>574</v>
      </c>
      <c r="K1296" s="2" t="s">
        <v>43</v>
      </c>
      <c r="L1296" s="2" t="s">
        <v>28</v>
      </c>
      <c r="M1296" s="2" t="s">
        <v>2889</v>
      </c>
      <c r="N1296" s="2" t="s">
        <v>30</v>
      </c>
      <c r="O1296" s="2" t="s">
        <v>56</v>
      </c>
      <c r="P1296" s="2" t="s">
        <v>2890</v>
      </c>
      <c r="Q1296" s="2">
        <v>20.015999999999998</v>
      </c>
      <c r="R1296" s="2">
        <v>3</v>
      </c>
      <c r="S1296" s="2">
        <v>5.5044000000000004</v>
      </c>
      <c r="T1296" s="2" t="s">
        <v>70</v>
      </c>
      <c r="U1296" s="2" t="s">
        <v>195</v>
      </c>
    </row>
    <row r="1297" spans="1:21" ht="14.25" customHeight="1" x14ac:dyDescent="0.3">
      <c r="A1297" s="2" t="s">
        <v>3394</v>
      </c>
      <c r="B1297" s="5">
        <v>42268</v>
      </c>
      <c r="C1297" s="2" t="str">
        <f>TEXT(data[[#This Row],[Order Date]],"YYYY")</f>
        <v>2015</v>
      </c>
      <c r="D1297" s="2">
        <v>42273</v>
      </c>
      <c r="E1297" s="2" t="s">
        <v>39</v>
      </c>
      <c r="F1297" s="2" t="s">
        <v>2223</v>
      </c>
      <c r="G1297" s="2" t="s">
        <v>2224</v>
      </c>
      <c r="H1297" s="2" t="s">
        <v>24</v>
      </c>
      <c r="I1297" s="2" t="s">
        <v>25</v>
      </c>
      <c r="J1297" s="2" t="s">
        <v>157</v>
      </c>
      <c r="K1297" s="2" t="s">
        <v>158</v>
      </c>
      <c r="L1297" s="2" t="s">
        <v>28</v>
      </c>
      <c r="M1297" s="2" t="s">
        <v>981</v>
      </c>
      <c r="N1297" s="2" t="s">
        <v>30</v>
      </c>
      <c r="O1297" s="2" t="s">
        <v>36</v>
      </c>
      <c r="P1297" s="2" t="s">
        <v>982</v>
      </c>
      <c r="Q1297" s="2">
        <v>1690.04</v>
      </c>
      <c r="R1297" s="2">
        <v>4</v>
      </c>
      <c r="S1297" s="2">
        <v>422.51</v>
      </c>
      <c r="T1297" s="2" t="s">
        <v>58</v>
      </c>
      <c r="U1297" s="2" t="s">
        <v>77</v>
      </c>
    </row>
    <row r="1298" spans="1:21" ht="14.25" customHeight="1" x14ac:dyDescent="0.3">
      <c r="A1298" s="2" t="s">
        <v>3395</v>
      </c>
      <c r="B1298" s="5">
        <v>42715</v>
      </c>
      <c r="C1298" s="2" t="str">
        <f>TEXT(data[[#This Row],[Order Date]],"YYYY")</f>
        <v>2016</v>
      </c>
      <c r="D1298" s="2">
        <v>42717</v>
      </c>
      <c r="E1298" s="2" t="s">
        <v>87</v>
      </c>
      <c r="F1298" s="2" t="s">
        <v>3396</v>
      </c>
      <c r="G1298" s="2" t="s">
        <v>3397</v>
      </c>
      <c r="H1298" s="2" t="s">
        <v>100</v>
      </c>
      <c r="I1298" s="2" t="s">
        <v>25</v>
      </c>
      <c r="J1298" s="2" t="s">
        <v>3398</v>
      </c>
      <c r="K1298" s="2" t="s">
        <v>1517</v>
      </c>
      <c r="L1298" s="2" t="s">
        <v>54</v>
      </c>
      <c r="M1298" s="2" t="s">
        <v>104</v>
      </c>
      <c r="N1298" s="2" t="s">
        <v>30</v>
      </c>
      <c r="O1298" s="2" t="s">
        <v>36</v>
      </c>
      <c r="P1298" s="2" t="s">
        <v>105</v>
      </c>
      <c r="Q1298" s="2">
        <v>403.92</v>
      </c>
      <c r="R1298" s="2">
        <v>5</v>
      </c>
      <c r="S1298" s="2">
        <v>25.245000000000001</v>
      </c>
      <c r="T1298" s="2" t="s">
        <v>70</v>
      </c>
      <c r="U1298" s="2" t="s">
        <v>96</v>
      </c>
    </row>
    <row r="1299" spans="1:21" ht="14.25" customHeight="1" x14ac:dyDescent="0.3">
      <c r="A1299" s="2" t="s">
        <v>3399</v>
      </c>
      <c r="B1299" s="5">
        <v>42728</v>
      </c>
      <c r="C1299" s="2" t="str">
        <f>TEXT(data[[#This Row],[Order Date]],"YYYY")</f>
        <v>2016</v>
      </c>
      <c r="D1299" s="2">
        <v>42732</v>
      </c>
      <c r="E1299" s="2" t="s">
        <v>39</v>
      </c>
      <c r="F1299" s="2" t="s">
        <v>1331</v>
      </c>
      <c r="G1299" s="2" t="s">
        <v>1332</v>
      </c>
      <c r="H1299" s="2" t="s">
        <v>24</v>
      </c>
      <c r="I1299" s="2" t="s">
        <v>25</v>
      </c>
      <c r="J1299" s="2" t="s">
        <v>173</v>
      </c>
      <c r="K1299" s="2" t="s">
        <v>120</v>
      </c>
      <c r="L1299" s="2" t="s">
        <v>67</v>
      </c>
      <c r="M1299" s="2" t="s">
        <v>3157</v>
      </c>
      <c r="N1299" s="2" t="s">
        <v>30</v>
      </c>
      <c r="O1299" s="2" t="s">
        <v>56</v>
      </c>
      <c r="P1299" s="2" t="s">
        <v>3158</v>
      </c>
      <c r="Q1299" s="2">
        <v>799.56</v>
      </c>
      <c r="R1299" s="2">
        <v>9</v>
      </c>
      <c r="S1299" s="2">
        <v>207.88560000000001</v>
      </c>
      <c r="T1299" s="2" t="s">
        <v>83</v>
      </c>
      <c r="U1299" s="2" t="s">
        <v>96</v>
      </c>
    </row>
    <row r="1300" spans="1:21" ht="14.25" customHeight="1" x14ac:dyDescent="0.3">
      <c r="A1300" s="2" t="s">
        <v>3400</v>
      </c>
      <c r="B1300" s="5">
        <v>42720</v>
      </c>
      <c r="C1300" s="2" t="str">
        <f>TEXT(data[[#This Row],[Order Date]],"YYYY")</f>
        <v>2016</v>
      </c>
      <c r="D1300" s="2">
        <v>42727</v>
      </c>
      <c r="E1300" s="2" t="s">
        <v>39</v>
      </c>
      <c r="F1300" s="2" t="s">
        <v>491</v>
      </c>
      <c r="G1300" s="2" t="s">
        <v>492</v>
      </c>
      <c r="H1300" s="2" t="s">
        <v>24</v>
      </c>
      <c r="I1300" s="2" t="s">
        <v>25</v>
      </c>
      <c r="J1300" s="2" t="s">
        <v>3231</v>
      </c>
      <c r="K1300" s="2" t="s">
        <v>53</v>
      </c>
      <c r="L1300" s="2" t="s">
        <v>54</v>
      </c>
      <c r="M1300" s="2" t="s">
        <v>1141</v>
      </c>
      <c r="N1300" s="2" t="s">
        <v>30</v>
      </c>
      <c r="O1300" s="2" t="s">
        <v>36</v>
      </c>
      <c r="P1300" s="2" t="s">
        <v>1142</v>
      </c>
      <c r="Q1300" s="2">
        <v>563.91999999999996</v>
      </c>
      <c r="R1300" s="2">
        <v>5</v>
      </c>
      <c r="S1300" s="2">
        <v>7.0490000000000004</v>
      </c>
      <c r="T1300" s="2" t="s">
        <v>47</v>
      </c>
      <c r="U1300" s="2" t="s">
        <v>96</v>
      </c>
    </row>
    <row r="1301" spans="1:21" ht="14.25" customHeight="1" x14ac:dyDescent="0.3">
      <c r="A1301" s="2" t="s">
        <v>3401</v>
      </c>
      <c r="B1301" s="5">
        <v>43070</v>
      </c>
      <c r="C1301" s="2" t="str">
        <f>TEXT(data[[#This Row],[Order Date]],"YYYY")</f>
        <v>2017</v>
      </c>
      <c r="D1301" s="2">
        <v>43072</v>
      </c>
      <c r="E1301" s="2" t="s">
        <v>87</v>
      </c>
      <c r="F1301" s="2" t="s">
        <v>2882</v>
      </c>
      <c r="G1301" s="2" t="s">
        <v>2883</v>
      </c>
      <c r="H1301" s="2" t="s">
        <v>100</v>
      </c>
      <c r="I1301" s="2" t="s">
        <v>25</v>
      </c>
      <c r="J1301" s="2" t="s">
        <v>1770</v>
      </c>
      <c r="K1301" s="2" t="s">
        <v>231</v>
      </c>
      <c r="L1301" s="2" t="s">
        <v>67</v>
      </c>
      <c r="M1301" s="2" t="s">
        <v>959</v>
      </c>
      <c r="N1301" s="2" t="s">
        <v>30</v>
      </c>
      <c r="O1301" s="2" t="s">
        <v>56</v>
      </c>
      <c r="P1301" s="2" t="s">
        <v>960</v>
      </c>
      <c r="Q1301" s="2">
        <v>7.7119999999999997</v>
      </c>
      <c r="R1301" s="2">
        <v>2</v>
      </c>
      <c r="S1301" s="2">
        <v>1.7352000000000001</v>
      </c>
      <c r="T1301" s="2" t="s">
        <v>70</v>
      </c>
      <c r="U1301" s="2" t="s">
        <v>96</v>
      </c>
    </row>
    <row r="1302" spans="1:21" ht="14.25" customHeight="1" x14ac:dyDescent="0.3">
      <c r="A1302" s="2" t="s">
        <v>3402</v>
      </c>
      <c r="B1302" s="5">
        <v>42663</v>
      </c>
      <c r="C1302" s="2" t="str">
        <f>TEXT(data[[#This Row],[Order Date]],"YYYY")</f>
        <v>2016</v>
      </c>
      <c r="D1302" s="2">
        <v>42667</v>
      </c>
      <c r="E1302" s="2" t="s">
        <v>21</v>
      </c>
      <c r="F1302" s="2" t="s">
        <v>3403</v>
      </c>
      <c r="G1302" s="2" t="s">
        <v>3404</v>
      </c>
      <c r="H1302" s="2" t="s">
        <v>24</v>
      </c>
      <c r="I1302" s="2" t="s">
        <v>25</v>
      </c>
      <c r="J1302" s="2" t="s">
        <v>101</v>
      </c>
      <c r="K1302" s="2" t="s">
        <v>92</v>
      </c>
      <c r="L1302" s="2" t="s">
        <v>93</v>
      </c>
      <c r="M1302" s="2" t="s">
        <v>495</v>
      </c>
      <c r="N1302" s="2" t="s">
        <v>30</v>
      </c>
      <c r="O1302" s="2" t="s">
        <v>36</v>
      </c>
      <c r="P1302" s="2" t="s">
        <v>496</v>
      </c>
      <c r="Q1302" s="2">
        <v>56.686</v>
      </c>
      <c r="R1302" s="2">
        <v>1</v>
      </c>
      <c r="S1302" s="2">
        <v>-14.5764</v>
      </c>
      <c r="T1302" s="2" t="s">
        <v>83</v>
      </c>
      <c r="U1302" s="2" t="s">
        <v>48</v>
      </c>
    </row>
    <row r="1303" spans="1:21" ht="14.25" customHeight="1" x14ac:dyDescent="0.3">
      <c r="A1303" s="2" t="s">
        <v>3405</v>
      </c>
      <c r="B1303" s="5">
        <v>42965</v>
      </c>
      <c r="C1303" s="2" t="str">
        <f>TEXT(data[[#This Row],[Order Date]],"YYYY")</f>
        <v>2017</v>
      </c>
      <c r="D1303" s="2">
        <v>42972</v>
      </c>
      <c r="E1303" s="2" t="s">
        <v>39</v>
      </c>
      <c r="F1303" s="2" t="s">
        <v>3406</v>
      </c>
      <c r="G1303" s="2" t="s">
        <v>3407</v>
      </c>
      <c r="H1303" s="2" t="s">
        <v>90</v>
      </c>
      <c r="I1303" s="2" t="s">
        <v>25</v>
      </c>
      <c r="J1303" s="2" t="s">
        <v>191</v>
      </c>
      <c r="K1303" s="2" t="s">
        <v>192</v>
      </c>
      <c r="L1303" s="2" t="s">
        <v>54</v>
      </c>
      <c r="M1303" s="2" t="s">
        <v>630</v>
      </c>
      <c r="N1303" s="2" t="s">
        <v>30</v>
      </c>
      <c r="O1303" s="2" t="s">
        <v>56</v>
      </c>
      <c r="P1303" s="2" t="s">
        <v>631</v>
      </c>
      <c r="Q1303" s="2">
        <v>65.94</v>
      </c>
      <c r="R1303" s="2">
        <v>3</v>
      </c>
      <c r="S1303" s="2">
        <v>22.419599999999999</v>
      </c>
      <c r="T1303" s="2" t="s">
        <v>47</v>
      </c>
      <c r="U1303" s="2" t="s">
        <v>253</v>
      </c>
    </row>
    <row r="1304" spans="1:21" ht="14.25" customHeight="1" x14ac:dyDescent="0.3">
      <c r="A1304" s="2" t="s">
        <v>3408</v>
      </c>
      <c r="B1304" s="5">
        <v>42336</v>
      </c>
      <c r="C1304" s="2" t="str">
        <f>TEXT(data[[#This Row],[Order Date]],"YYYY")</f>
        <v>2015</v>
      </c>
      <c r="D1304" s="2">
        <v>42341</v>
      </c>
      <c r="E1304" s="2" t="s">
        <v>39</v>
      </c>
      <c r="F1304" s="2" t="s">
        <v>2412</v>
      </c>
      <c r="G1304" s="2" t="s">
        <v>2413</v>
      </c>
      <c r="H1304" s="2" t="s">
        <v>90</v>
      </c>
      <c r="I1304" s="2" t="s">
        <v>25</v>
      </c>
      <c r="J1304" s="2" t="s">
        <v>173</v>
      </c>
      <c r="K1304" s="2" t="s">
        <v>120</v>
      </c>
      <c r="L1304" s="2" t="s">
        <v>67</v>
      </c>
      <c r="M1304" s="2" t="s">
        <v>283</v>
      </c>
      <c r="N1304" s="2" t="s">
        <v>30</v>
      </c>
      <c r="O1304" s="2" t="s">
        <v>56</v>
      </c>
      <c r="P1304" s="2" t="s">
        <v>284</v>
      </c>
      <c r="Q1304" s="2">
        <v>68.16</v>
      </c>
      <c r="R1304" s="2">
        <v>3</v>
      </c>
      <c r="S1304" s="2">
        <v>27.945599999999999</v>
      </c>
      <c r="T1304" s="2" t="s">
        <v>58</v>
      </c>
      <c r="U1304" s="2" t="s">
        <v>34</v>
      </c>
    </row>
    <row r="1305" spans="1:21" ht="14.25" customHeight="1" x14ac:dyDescent="0.3">
      <c r="A1305" s="2" t="s">
        <v>3409</v>
      </c>
      <c r="B1305" s="5">
        <v>43092</v>
      </c>
      <c r="C1305" s="2" t="str">
        <f>TEXT(data[[#This Row],[Order Date]],"YYYY")</f>
        <v>2017</v>
      </c>
      <c r="D1305" s="2">
        <v>43096</v>
      </c>
      <c r="E1305" s="2" t="s">
        <v>39</v>
      </c>
      <c r="F1305" s="2" t="s">
        <v>588</v>
      </c>
      <c r="G1305" s="2" t="s">
        <v>589</v>
      </c>
      <c r="H1305" s="2" t="s">
        <v>24</v>
      </c>
      <c r="I1305" s="2" t="s">
        <v>25</v>
      </c>
      <c r="J1305" s="2" t="s">
        <v>3410</v>
      </c>
      <c r="K1305" s="2" t="s">
        <v>141</v>
      </c>
      <c r="L1305" s="2" t="s">
        <v>28</v>
      </c>
      <c r="M1305" s="2" t="s">
        <v>283</v>
      </c>
      <c r="N1305" s="2" t="s">
        <v>30</v>
      </c>
      <c r="O1305" s="2" t="s">
        <v>56</v>
      </c>
      <c r="P1305" s="2" t="s">
        <v>284</v>
      </c>
      <c r="Q1305" s="2">
        <v>72.703999999999994</v>
      </c>
      <c r="R1305" s="2">
        <v>4</v>
      </c>
      <c r="S1305" s="2">
        <v>19.084800000000001</v>
      </c>
      <c r="T1305" s="2" t="s">
        <v>83</v>
      </c>
      <c r="U1305" s="2" t="s">
        <v>96</v>
      </c>
    </row>
    <row r="1306" spans="1:21" ht="14.25" customHeight="1" x14ac:dyDescent="0.3">
      <c r="A1306" s="2" t="s">
        <v>3411</v>
      </c>
      <c r="B1306" s="5">
        <v>42282</v>
      </c>
      <c r="C1306" s="2" t="str">
        <f>TEXT(data[[#This Row],[Order Date]],"YYYY")</f>
        <v>2015</v>
      </c>
      <c r="D1306" s="2">
        <v>42286</v>
      </c>
      <c r="E1306" s="2" t="s">
        <v>39</v>
      </c>
      <c r="F1306" s="2" t="s">
        <v>2873</v>
      </c>
      <c r="G1306" s="2" t="s">
        <v>2874</v>
      </c>
      <c r="H1306" s="2" t="s">
        <v>24</v>
      </c>
      <c r="I1306" s="2" t="s">
        <v>25</v>
      </c>
      <c r="J1306" s="2" t="s">
        <v>3398</v>
      </c>
      <c r="K1306" s="2" t="s">
        <v>1517</v>
      </c>
      <c r="L1306" s="2" t="s">
        <v>54</v>
      </c>
      <c r="M1306" s="2" t="s">
        <v>2310</v>
      </c>
      <c r="N1306" s="2" t="s">
        <v>30</v>
      </c>
      <c r="O1306" s="2" t="s">
        <v>31</v>
      </c>
      <c r="P1306" s="2" t="s">
        <v>2311</v>
      </c>
      <c r="Q1306" s="2">
        <v>66.293999999999997</v>
      </c>
      <c r="R1306" s="2">
        <v>1</v>
      </c>
      <c r="S1306" s="2">
        <v>-103.86060000000001</v>
      </c>
      <c r="T1306" s="2" t="s">
        <v>83</v>
      </c>
      <c r="U1306" s="2" t="s">
        <v>48</v>
      </c>
    </row>
    <row r="1307" spans="1:21" ht="14.25" customHeight="1" x14ac:dyDescent="0.3">
      <c r="A1307" s="2" t="s">
        <v>3411</v>
      </c>
      <c r="B1307" s="5">
        <v>42282</v>
      </c>
      <c r="C1307" s="2" t="str">
        <f>TEXT(data[[#This Row],[Order Date]],"YYYY")</f>
        <v>2015</v>
      </c>
      <c r="D1307" s="2">
        <v>42286</v>
      </c>
      <c r="E1307" s="2" t="s">
        <v>39</v>
      </c>
      <c r="F1307" s="2" t="s">
        <v>2873</v>
      </c>
      <c r="G1307" s="2" t="s">
        <v>2874</v>
      </c>
      <c r="H1307" s="2" t="s">
        <v>24</v>
      </c>
      <c r="I1307" s="2" t="s">
        <v>25</v>
      </c>
      <c r="J1307" s="2" t="s">
        <v>3398</v>
      </c>
      <c r="K1307" s="2" t="s">
        <v>1517</v>
      </c>
      <c r="L1307" s="2" t="s">
        <v>54</v>
      </c>
      <c r="M1307" s="2" t="s">
        <v>2180</v>
      </c>
      <c r="N1307" s="2" t="s">
        <v>30</v>
      </c>
      <c r="O1307" s="2" t="s">
        <v>36</v>
      </c>
      <c r="P1307" s="2" t="s">
        <v>2181</v>
      </c>
      <c r="Q1307" s="2">
        <v>291.16800000000001</v>
      </c>
      <c r="R1307" s="2">
        <v>4</v>
      </c>
      <c r="S1307" s="2">
        <v>-14.558400000000001</v>
      </c>
      <c r="T1307" s="2" t="s">
        <v>83</v>
      </c>
      <c r="U1307" s="2" t="s">
        <v>48</v>
      </c>
    </row>
    <row r="1308" spans="1:21" ht="14.25" customHeight="1" x14ac:dyDescent="0.3">
      <c r="A1308" s="2" t="s">
        <v>3412</v>
      </c>
      <c r="B1308" s="5">
        <v>42989</v>
      </c>
      <c r="C1308" s="2" t="str">
        <f>TEXT(data[[#This Row],[Order Date]],"YYYY")</f>
        <v>2017</v>
      </c>
      <c r="D1308" s="2">
        <v>42989</v>
      </c>
      <c r="E1308" s="2" t="s">
        <v>425</v>
      </c>
      <c r="F1308" s="2" t="s">
        <v>3413</v>
      </c>
      <c r="G1308" s="2" t="s">
        <v>3414</v>
      </c>
      <c r="H1308" s="2" t="s">
        <v>24</v>
      </c>
      <c r="I1308" s="2" t="s">
        <v>25</v>
      </c>
      <c r="J1308" s="2" t="s">
        <v>191</v>
      </c>
      <c r="K1308" s="2" t="s">
        <v>192</v>
      </c>
      <c r="L1308" s="2" t="s">
        <v>54</v>
      </c>
      <c r="M1308" s="2" t="s">
        <v>821</v>
      </c>
      <c r="N1308" s="2" t="s">
        <v>30</v>
      </c>
      <c r="O1308" s="2" t="s">
        <v>36</v>
      </c>
      <c r="P1308" s="2" t="s">
        <v>822</v>
      </c>
      <c r="Q1308" s="2">
        <v>177.56800000000001</v>
      </c>
      <c r="R1308" s="2">
        <v>2</v>
      </c>
      <c r="S1308" s="2">
        <v>8.8783999999999992</v>
      </c>
      <c r="T1308" s="2" t="s">
        <v>430</v>
      </c>
      <c r="U1308" s="2" t="s">
        <v>77</v>
      </c>
    </row>
    <row r="1309" spans="1:21" ht="14.25" customHeight="1" x14ac:dyDescent="0.3">
      <c r="A1309" s="2" t="s">
        <v>3415</v>
      </c>
      <c r="B1309" s="5">
        <v>42350</v>
      </c>
      <c r="C1309" s="2" t="str">
        <f>TEXT(data[[#This Row],[Order Date]],"YYYY")</f>
        <v>2015</v>
      </c>
      <c r="D1309" s="2">
        <v>42354</v>
      </c>
      <c r="E1309" s="2" t="s">
        <v>39</v>
      </c>
      <c r="F1309" s="2" t="s">
        <v>2908</v>
      </c>
      <c r="G1309" s="2" t="s">
        <v>2909</v>
      </c>
      <c r="H1309" s="2" t="s">
        <v>24</v>
      </c>
      <c r="I1309" s="2" t="s">
        <v>25</v>
      </c>
      <c r="J1309" s="2" t="s">
        <v>1491</v>
      </c>
      <c r="K1309" s="2" t="s">
        <v>53</v>
      </c>
      <c r="L1309" s="2" t="s">
        <v>54</v>
      </c>
      <c r="M1309" s="2" t="s">
        <v>1784</v>
      </c>
      <c r="N1309" s="2" t="s">
        <v>30</v>
      </c>
      <c r="O1309" s="2" t="s">
        <v>56</v>
      </c>
      <c r="P1309" s="2" t="s">
        <v>1785</v>
      </c>
      <c r="Q1309" s="2">
        <v>166.5</v>
      </c>
      <c r="R1309" s="2">
        <v>3</v>
      </c>
      <c r="S1309" s="2">
        <v>21.645</v>
      </c>
      <c r="T1309" s="2" t="s">
        <v>83</v>
      </c>
      <c r="U1309" s="2" t="s">
        <v>96</v>
      </c>
    </row>
    <row r="1310" spans="1:21" ht="14.25" customHeight="1" x14ac:dyDescent="0.3">
      <c r="A1310" s="2" t="s">
        <v>3416</v>
      </c>
      <c r="B1310" s="5">
        <v>42883</v>
      </c>
      <c r="C1310" s="2" t="str">
        <f>TEXT(data[[#This Row],[Order Date]],"YYYY")</f>
        <v>2017</v>
      </c>
      <c r="D1310" s="2">
        <v>42886</v>
      </c>
      <c r="E1310" s="2" t="s">
        <v>21</v>
      </c>
      <c r="F1310" s="2" t="s">
        <v>3417</v>
      </c>
      <c r="G1310" s="2" t="s">
        <v>3418</v>
      </c>
      <c r="H1310" s="2" t="s">
        <v>90</v>
      </c>
      <c r="I1310" s="2" t="s">
        <v>25</v>
      </c>
      <c r="J1310" s="2" t="s">
        <v>509</v>
      </c>
      <c r="K1310" s="2" t="s">
        <v>884</v>
      </c>
      <c r="L1310" s="2" t="s">
        <v>67</v>
      </c>
      <c r="M1310" s="2" t="s">
        <v>2110</v>
      </c>
      <c r="N1310" s="2" t="s">
        <v>30</v>
      </c>
      <c r="O1310" s="2" t="s">
        <v>56</v>
      </c>
      <c r="P1310" s="2" t="s">
        <v>2111</v>
      </c>
      <c r="Q1310" s="2">
        <v>247.44</v>
      </c>
      <c r="R1310" s="2">
        <v>8</v>
      </c>
      <c r="S1310" s="2">
        <v>101.4504</v>
      </c>
      <c r="T1310" s="2" t="s">
        <v>33</v>
      </c>
      <c r="U1310" s="2" t="s">
        <v>161</v>
      </c>
    </row>
    <row r="1311" spans="1:21" ht="14.25" customHeight="1" x14ac:dyDescent="0.3">
      <c r="A1311" s="2" t="s">
        <v>3419</v>
      </c>
      <c r="B1311" s="5">
        <v>42328</v>
      </c>
      <c r="C1311" s="2" t="str">
        <f>TEXT(data[[#This Row],[Order Date]],"YYYY")</f>
        <v>2015</v>
      </c>
      <c r="D1311" s="2">
        <v>42333</v>
      </c>
      <c r="E1311" s="2" t="s">
        <v>39</v>
      </c>
      <c r="F1311" s="2" t="s">
        <v>3292</v>
      </c>
      <c r="G1311" s="2" t="s">
        <v>3293</v>
      </c>
      <c r="H1311" s="2" t="s">
        <v>100</v>
      </c>
      <c r="I1311" s="2" t="s">
        <v>25</v>
      </c>
      <c r="J1311" s="2" t="s">
        <v>191</v>
      </c>
      <c r="K1311" s="2" t="s">
        <v>192</v>
      </c>
      <c r="L1311" s="2" t="s">
        <v>54</v>
      </c>
      <c r="M1311" s="2" t="s">
        <v>1718</v>
      </c>
      <c r="N1311" s="2" t="s">
        <v>30</v>
      </c>
      <c r="O1311" s="2" t="s">
        <v>56</v>
      </c>
      <c r="P1311" s="2" t="s">
        <v>1719</v>
      </c>
      <c r="Q1311" s="2">
        <v>22.14</v>
      </c>
      <c r="R1311" s="2">
        <v>3</v>
      </c>
      <c r="S1311" s="2">
        <v>6.4206000000000003</v>
      </c>
      <c r="T1311" s="2" t="s">
        <v>58</v>
      </c>
      <c r="U1311" s="2" t="s">
        <v>34</v>
      </c>
    </row>
    <row r="1312" spans="1:21" ht="14.25" customHeight="1" x14ac:dyDescent="0.3">
      <c r="A1312" s="2" t="s">
        <v>3420</v>
      </c>
      <c r="B1312" s="5">
        <v>42884</v>
      </c>
      <c r="C1312" s="2" t="str">
        <f>TEXT(data[[#This Row],[Order Date]],"YYYY")</f>
        <v>2017</v>
      </c>
      <c r="D1312" s="2">
        <v>42890</v>
      </c>
      <c r="E1312" s="2" t="s">
        <v>39</v>
      </c>
      <c r="F1312" s="2" t="s">
        <v>2516</v>
      </c>
      <c r="G1312" s="2" t="s">
        <v>2517</v>
      </c>
      <c r="H1312" s="2" t="s">
        <v>24</v>
      </c>
      <c r="I1312" s="2" t="s">
        <v>25</v>
      </c>
      <c r="J1312" s="2" t="s">
        <v>347</v>
      </c>
      <c r="K1312" s="2" t="s">
        <v>110</v>
      </c>
      <c r="L1312" s="2" t="s">
        <v>93</v>
      </c>
      <c r="M1312" s="2" t="s">
        <v>1361</v>
      </c>
      <c r="N1312" s="2" t="s">
        <v>30</v>
      </c>
      <c r="O1312" s="2" t="s">
        <v>56</v>
      </c>
      <c r="P1312" s="2" t="s">
        <v>423</v>
      </c>
      <c r="Q1312" s="2">
        <v>6.24</v>
      </c>
      <c r="R1312" s="2">
        <v>3</v>
      </c>
      <c r="S1312" s="2">
        <v>2.6208</v>
      </c>
      <c r="T1312" s="2" t="s">
        <v>129</v>
      </c>
      <c r="U1312" s="2" t="s">
        <v>161</v>
      </c>
    </row>
    <row r="1313" spans="1:21" ht="14.25" customHeight="1" x14ac:dyDescent="0.3">
      <c r="A1313" s="2" t="s">
        <v>3421</v>
      </c>
      <c r="B1313" s="5">
        <v>42255</v>
      </c>
      <c r="C1313" s="2" t="str">
        <f>TEXT(data[[#This Row],[Order Date]],"YYYY")</f>
        <v>2015</v>
      </c>
      <c r="D1313" s="2">
        <v>42261</v>
      </c>
      <c r="E1313" s="2" t="s">
        <v>39</v>
      </c>
      <c r="F1313" s="2" t="s">
        <v>274</v>
      </c>
      <c r="G1313" s="2" t="s">
        <v>275</v>
      </c>
      <c r="H1313" s="2" t="s">
        <v>90</v>
      </c>
      <c r="I1313" s="2" t="s">
        <v>25</v>
      </c>
      <c r="J1313" s="2" t="s">
        <v>1616</v>
      </c>
      <c r="K1313" s="2" t="s">
        <v>1276</v>
      </c>
      <c r="L1313" s="2" t="s">
        <v>28</v>
      </c>
      <c r="M1313" s="2" t="s">
        <v>2513</v>
      </c>
      <c r="N1313" s="2" t="s">
        <v>30</v>
      </c>
      <c r="O1313" s="2" t="s">
        <v>56</v>
      </c>
      <c r="P1313" s="2" t="s">
        <v>2514</v>
      </c>
      <c r="Q1313" s="2">
        <v>21.36</v>
      </c>
      <c r="R1313" s="2">
        <v>8</v>
      </c>
      <c r="S1313" s="2">
        <v>8.1167999999999996</v>
      </c>
      <c r="T1313" s="2" t="s">
        <v>129</v>
      </c>
      <c r="U1313" s="2" t="s">
        <v>77</v>
      </c>
    </row>
    <row r="1314" spans="1:21" ht="14.25" customHeight="1" x14ac:dyDescent="0.3">
      <c r="A1314" s="2" t="s">
        <v>3422</v>
      </c>
      <c r="B1314" s="5">
        <v>43071</v>
      </c>
      <c r="C1314" s="2" t="str">
        <f>TEXT(data[[#This Row],[Order Date]],"YYYY")</f>
        <v>2017</v>
      </c>
      <c r="D1314" s="2">
        <v>43075</v>
      </c>
      <c r="E1314" s="2" t="s">
        <v>39</v>
      </c>
      <c r="F1314" s="2" t="s">
        <v>1935</v>
      </c>
      <c r="G1314" s="2" t="s">
        <v>1936</v>
      </c>
      <c r="H1314" s="2" t="s">
        <v>90</v>
      </c>
      <c r="I1314" s="2" t="s">
        <v>25</v>
      </c>
      <c r="J1314" s="2" t="s">
        <v>1470</v>
      </c>
      <c r="K1314" s="2" t="s">
        <v>53</v>
      </c>
      <c r="L1314" s="2" t="s">
        <v>54</v>
      </c>
      <c r="M1314" s="2" t="s">
        <v>2549</v>
      </c>
      <c r="N1314" s="2" t="s">
        <v>30</v>
      </c>
      <c r="O1314" s="2" t="s">
        <v>36</v>
      </c>
      <c r="P1314" s="2" t="s">
        <v>2550</v>
      </c>
      <c r="Q1314" s="2">
        <v>1159.056</v>
      </c>
      <c r="R1314" s="2">
        <v>9</v>
      </c>
      <c r="S1314" s="2">
        <v>43.464599999999997</v>
      </c>
      <c r="T1314" s="2" t="s">
        <v>83</v>
      </c>
      <c r="U1314" s="2" t="s">
        <v>96</v>
      </c>
    </row>
    <row r="1315" spans="1:21" ht="14.25" customHeight="1" x14ac:dyDescent="0.3">
      <c r="A1315" s="2" t="s">
        <v>3423</v>
      </c>
      <c r="B1315" s="5">
        <v>42568</v>
      </c>
      <c r="C1315" s="2" t="str">
        <f>TEXT(data[[#This Row],[Order Date]],"YYYY")</f>
        <v>2016</v>
      </c>
      <c r="D1315" s="2">
        <v>42573</v>
      </c>
      <c r="E1315" s="2" t="s">
        <v>21</v>
      </c>
      <c r="F1315" s="2" t="s">
        <v>1768</v>
      </c>
      <c r="G1315" s="2" t="s">
        <v>1769</v>
      </c>
      <c r="H1315" s="2" t="s">
        <v>24</v>
      </c>
      <c r="I1315" s="2" t="s">
        <v>25</v>
      </c>
      <c r="J1315" s="2" t="s">
        <v>191</v>
      </c>
      <c r="K1315" s="2" t="s">
        <v>192</v>
      </c>
      <c r="L1315" s="2" t="s">
        <v>54</v>
      </c>
      <c r="M1315" s="2" t="s">
        <v>1980</v>
      </c>
      <c r="N1315" s="2" t="s">
        <v>30</v>
      </c>
      <c r="O1315" s="2" t="s">
        <v>56</v>
      </c>
      <c r="P1315" s="2" t="s">
        <v>1981</v>
      </c>
      <c r="Q1315" s="2">
        <v>12.42</v>
      </c>
      <c r="R1315" s="2">
        <v>3</v>
      </c>
      <c r="S1315" s="2">
        <v>4.4711999999999996</v>
      </c>
      <c r="T1315" s="2" t="s">
        <v>58</v>
      </c>
      <c r="U1315" s="2" t="s">
        <v>71</v>
      </c>
    </row>
    <row r="1316" spans="1:21" ht="14.25" customHeight="1" x14ac:dyDescent="0.3">
      <c r="A1316" s="2" t="s">
        <v>3423</v>
      </c>
      <c r="B1316" s="5">
        <v>42568</v>
      </c>
      <c r="C1316" s="2" t="str">
        <f>TEXT(data[[#This Row],[Order Date]],"YYYY")</f>
        <v>2016</v>
      </c>
      <c r="D1316" s="2">
        <v>42573</v>
      </c>
      <c r="E1316" s="2" t="s">
        <v>21</v>
      </c>
      <c r="F1316" s="2" t="s">
        <v>1768</v>
      </c>
      <c r="G1316" s="2" t="s">
        <v>1769</v>
      </c>
      <c r="H1316" s="2" t="s">
        <v>24</v>
      </c>
      <c r="I1316" s="2" t="s">
        <v>25</v>
      </c>
      <c r="J1316" s="2" t="s">
        <v>191</v>
      </c>
      <c r="K1316" s="2" t="s">
        <v>192</v>
      </c>
      <c r="L1316" s="2" t="s">
        <v>54</v>
      </c>
      <c r="M1316" s="2" t="s">
        <v>2601</v>
      </c>
      <c r="N1316" s="2" t="s">
        <v>30</v>
      </c>
      <c r="O1316" s="2" t="s">
        <v>56</v>
      </c>
      <c r="P1316" s="2" t="s">
        <v>2602</v>
      </c>
      <c r="Q1316" s="2">
        <v>24.75</v>
      </c>
      <c r="R1316" s="2">
        <v>5</v>
      </c>
      <c r="S1316" s="2">
        <v>10.89</v>
      </c>
      <c r="T1316" s="2" t="s">
        <v>58</v>
      </c>
      <c r="U1316" s="2" t="s">
        <v>71</v>
      </c>
    </row>
    <row r="1317" spans="1:21" ht="14.25" customHeight="1" x14ac:dyDescent="0.3">
      <c r="A1317" s="2" t="s">
        <v>3424</v>
      </c>
      <c r="B1317" s="5">
        <v>42328</v>
      </c>
      <c r="C1317" s="2" t="str">
        <f>TEXT(data[[#This Row],[Order Date]],"YYYY")</f>
        <v>2015</v>
      </c>
      <c r="D1317" s="2">
        <v>42334</v>
      </c>
      <c r="E1317" s="2" t="s">
        <v>39</v>
      </c>
      <c r="F1317" s="2" t="s">
        <v>1438</v>
      </c>
      <c r="G1317" s="2" t="s">
        <v>1439</v>
      </c>
      <c r="H1317" s="2" t="s">
        <v>24</v>
      </c>
      <c r="I1317" s="2" t="s">
        <v>25</v>
      </c>
      <c r="J1317" s="2" t="s">
        <v>1770</v>
      </c>
      <c r="K1317" s="2" t="s">
        <v>231</v>
      </c>
      <c r="L1317" s="2" t="s">
        <v>67</v>
      </c>
      <c r="M1317" s="2" t="s">
        <v>3425</v>
      </c>
      <c r="N1317" s="2" t="s">
        <v>30</v>
      </c>
      <c r="O1317" s="2" t="s">
        <v>56</v>
      </c>
      <c r="P1317" s="2" t="s">
        <v>3426</v>
      </c>
      <c r="Q1317" s="2">
        <v>63.823999999999998</v>
      </c>
      <c r="R1317" s="2">
        <v>2</v>
      </c>
      <c r="S1317" s="2">
        <v>9.5736000000000008</v>
      </c>
      <c r="T1317" s="2" t="s">
        <v>129</v>
      </c>
      <c r="U1317" s="2" t="s">
        <v>34</v>
      </c>
    </row>
    <row r="1318" spans="1:21" ht="14.25" customHeight="1" x14ac:dyDescent="0.3">
      <c r="A1318" s="2" t="s">
        <v>3427</v>
      </c>
      <c r="B1318" s="5">
        <v>42637</v>
      </c>
      <c r="C1318" s="2" t="str">
        <f>TEXT(data[[#This Row],[Order Date]],"YYYY")</f>
        <v>2016</v>
      </c>
      <c r="D1318" s="2">
        <v>42641</v>
      </c>
      <c r="E1318" s="2" t="s">
        <v>39</v>
      </c>
      <c r="F1318" s="2" t="s">
        <v>1598</v>
      </c>
      <c r="G1318" s="2" t="s">
        <v>1599</v>
      </c>
      <c r="H1318" s="2" t="s">
        <v>90</v>
      </c>
      <c r="I1318" s="2" t="s">
        <v>25</v>
      </c>
      <c r="J1318" s="2" t="s">
        <v>52</v>
      </c>
      <c r="K1318" s="2" t="s">
        <v>53</v>
      </c>
      <c r="L1318" s="2" t="s">
        <v>54</v>
      </c>
      <c r="M1318" s="2" t="s">
        <v>1532</v>
      </c>
      <c r="N1318" s="2" t="s">
        <v>30</v>
      </c>
      <c r="O1318" s="2" t="s">
        <v>36</v>
      </c>
      <c r="P1318" s="2" t="s">
        <v>1533</v>
      </c>
      <c r="Q1318" s="2">
        <v>563.24</v>
      </c>
      <c r="R1318" s="2">
        <v>5</v>
      </c>
      <c r="S1318" s="2">
        <v>56.323999999999998</v>
      </c>
      <c r="T1318" s="2" t="s">
        <v>83</v>
      </c>
      <c r="U1318" s="2" t="s">
        <v>77</v>
      </c>
    </row>
    <row r="1319" spans="1:21" ht="14.25" customHeight="1" x14ac:dyDescent="0.3">
      <c r="A1319" s="2" t="s">
        <v>3428</v>
      </c>
      <c r="B1319" s="5">
        <v>42664</v>
      </c>
      <c r="C1319" s="2" t="str">
        <f>TEXT(data[[#This Row],[Order Date]],"YYYY")</f>
        <v>2016</v>
      </c>
      <c r="D1319" s="2">
        <v>42669</v>
      </c>
      <c r="E1319" s="2" t="s">
        <v>39</v>
      </c>
      <c r="F1319" s="2" t="s">
        <v>274</v>
      </c>
      <c r="G1319" s="2" t="s">
        <v>275</v>
      </c>
      <c r="H1319" s="2" t="s">
        <v>90</v>
      </c>
      <c r="I1319" s="2" t="s">
        <v>25</v>
      </c>
      <c r="J1319" s="2" t="s">
        <v>2060</v>
      </c>
      <c r="K1319" s="2" t="s">
        <v>231</v>
      </c>
      <c r="L1319" s="2" t="s">
        <v>67</v>
      </c>
      <c r="M1319" s="2" t="s">
        <v>1723</v>
      </c>
      <c r="N1319" s="2" t="s">
        <v>30</v>
      </c>
      <c r="O1319" s="2" t="s">
        <v>45</v>
      </c>
      <c r="P1319" s="2" t="s">
        <v>1724</v>
      </c>
      <c r="Q1319" s="2">
        <v>661.17600000000004</v>
      </c>
      <c r="R1319" s="2">
        <v>2</v>
      </c>
      <c r="S1319" s="2">
        <v>-231.41159999999999</v>
      </c>
      <c r="T1319" s="2" t="s">
        <v>58</v>
      </c>
      <c r="U1319" s="2" t="s">
        <v>48</v>
      </c>
    </row>
    <row r="1320" spans="1:21" ht="14.25" customHeight="1" x14ac:dyDescent="0.3">
      <c r="A1320" s="2" t="s">
        <v>3429</v>
      </c>
      <c r="B1320" s="5">
        <v>41828</v>
      </c>
      <c r="C1320" s="2" t="str">
        <f>TEXT(data[[#This Row],[Order Date]],"YYYY")</f>
        <v>2014</v>
      </c>
      <c r="D1320" s="2">
        <v>41832</v>
      </c>
      <c r="E1320" s="2" t="s">
        <v>39</v>
      </c>
      <c r="F1320" s="2" t="s">
        <v>503</v>
      </c>
      <c r="G1320" s="2" t="s">
        <v>504</v>
      </c>
      <c r="H1320" s="2" t="s">
        <v>90</v>
      </c>
      <c r="I1320" s="2" t="s">
        <v>25</v>
      </c>
      <c r="J1320" s="2" t="s">
        <v>328</v>
      </c>
      <c r="K1320" s="2" t="s">
        <v>53</v>
      </c>
      <c r="L1320" s="2" t="s">
        <v>54</v>
      </c>
      <c r="M1320" s="2" t="s">
        <v>1328</v>
      </c>
      <c r="N1320" s="2" t="s">
        <v>30</v>
      </c>
      <c r="O1320" s="2" t="s">
        <v>45</v>
      </c>
      <c r="P1320" s="2" t="s">
        <v>1329</v>
      </c>
      <c r="Q1320" s="2">
        <v>502.488</v>
      </c>
      <c r="R1320" s="2">
        <v>3</v>
      </c>
      <c r="S1320" s="2">
        <v>-87.935400000000001</v>
      </c>
      <c r="T1320" s="2" t="s">
        <v>83</v>
      </c>
      <c r="U1320" s="2" t="s">
        <v>71</v>
      </c>
    </row>
    <row r="1321" spans="1:21" ht="14.25" customHeight="1" x14ac:dyDescent="0.3">
      <c r="A1321" s="2" t="s">
        <v>3430</v>
      </c>
      <c r="B1321" s="5">
        <v>42076</v>
      </c>
      <c r="C1321" s="2" t="str">
        <f>TEXT(data[[#This Row],[Order Date]],"YYYY")</f>
        <v>2015</v>
      </c>
      <c r="D1321" s="2">
        <v>42081</v>
      </c>
      <c r="E1321" s="2" t="s">
        <v>21</v>
      </c>
      <c r="F1321" s="2" t="s">
        <v>1015</v>
      </c>
      <c r="G1321" s="2" t="s">
        <v>1016</v>
      </c>
      <c r="H1321" s="2" t="s">
        <v>100</v>
      </c>
      <c r="I1321" s="2" t="s">
        <v>25</v>
      </c>
      <c r="J1321" s="2" t="s">
        <v>3431</v>
      </c>
      <c r="K1321" s="2" t="s">
        <v>53</v>
      </c>
      <c r="L1321" s="2" t="s">
        <v>54</v>
      </c>
      <c r="M1321" s="2" t="s">
        <v>206</v>
      </c>
      <c r="N1321" s="2" t="s">
        <v>30</v>
      </c>
      <c r="O1321" s="2" t="s">
        <v>36</v>
      </c>
      <c r="P1321" s="2" t="s">
        <v>207</v>
      </c>
      <c r="Q1321" s="2">
        <v>915.13599999999997</v>
      </c>
      <c r="R1321" s="2">
        <v>4</v>
      </c>
      <c r="S1321" s="2">
        <v>102.9528</v>
      </c>
      <c r="T1321" s="2" t="s">
        <v>58</v>
      </c>
      <c r="U1321" s="2" t="s">
        <v>195</v>
      </c>
    </row>
    <row r="1322" spans="1:21" ht="14.25" customHeight="1" x14ac:dyDescent="0.3">
      <c r="A1322" s="2" t="s">
        <v>3430</v>
      </c>
      <c r="B1322" s="5">
        <v>42076</v>
      </c>
      <c r="C1322" s="2" t="str">
        <f>TEXT(data[[#This Row],[Order Date]],"YYYY")</f>
        <v>2015</v>
      </c>
      <c r="D1322" s="2">
        <v>42081</v>
      </c>
      <c r="E1322" s="2" t="s">
        <v>21</v>
      </c>
      <c r="F1322" s="2" t="s">
        <v>1015</v>
      </c>
      <c r="G1322" s="2" t="s">
        <v>1016</v>
      </c>
      <c r="H1322" s="2" t="s">
        <v>100</v>
      </c>
      <c r="I1322" s="2" t="s">
        <v>25</v>
      </c>
      <c r="J1322" s="2" t="s">
        <v>3431</v>
      </c>
      <c r="K1322" s="2" t="s">
        <v>53</v>
      </c>
      <c r="L1322" s="2" t="s">
        <v>54</v>
      </c>
      <c r="M1322" s="2" t="s">
        <v>640</v>
      </c>
      <c r="N1322" s="2" t="s">
        <v>30</v>
      </c>
      <c r="O1322" s="2" t="s">
        <v>56</v>
      </c>
      <c r="P1322" s="2" t="s">
        <v>641</v>
      </c>
      <c r="Q1322" s="2">
        <v>327.76</v>
      </c>
      <c r="R1322" s="2">
        <v>8</v>
      </c>
      <c r="S1322" s="2">
        <v>91.772800000000004</v>
      </c>
      <c r="T1322" s="2" t="s">
        <v>58</v>
      </c>
      <c r="U1322" s="2" t="s">
        <v>195</v>
      </c>
    </row>
    <row r="1323" spans="1:21" ht="14.25" customHeight="1" x14ac:dyDescent="0.3">
      <c r="A1323" s="2" t="s">
        <v>3432</v>
      </c>
      <c r="B1323" s="5">
        <v>43071</v>
      </c>
      <c r="C1323" s="2" t="str">
        <f>TEXT(data[[#This Row],[Order Date]],"YYYY")</f>
        <v>2017</v>
      </c>
      <c r="D1323" s="2">
        <v>43074</v>
      </c>
      <c r="E1323" s="2" t="s">
        <v>87</v>
      </c>
      <c r="F1323" s="2" t="s">
        <v>3433</v>
      </c>
      <c r="G1323" s="2" t="s">
        <v>3434</v>
      </c>
      <c r="H1323" s="2" t="s">
        <v>24</v>
      </c>
      <c r="I1323" s="2" t="s">
        <v>25</v>
      </c>
      <c r="J1323" s="2" t="s">
        <v>3233</v>
      </c>
      <c r="K1323" s="2" t="s">
        <v>716</v>
      </c>
      <c r="L1323" s="2" t="s">
        <v>28</v>
      </c>
      <c r="M1323" s="2" t="s">
        <v>1486</v>
      </c>
      <c r="N1323" s="2" t="s">
        <v>30</v>
      </c>
      <c r="O1323" s="2" t="s">
        <v>36</v>
      </c>
      <c r="P1323" s="2" t="s">
        <v>1487</v>
      </c>
      <c r="Q1323" s="2">
        <v>701.96</v>
      </c>
      <c r="R1323" s="2">
        <v>2</v>
      </c>
      <c r="S1323" s="2">
        <v>168.47040000000001</v>
      </c>
      <c r="T1323" s="2" t="s">
        <v>33</v>
      </c>
      <c r="U1323" s="2" t="s">
        <v>96</v>
      </c>
    </row>
    <row r="1324" spans="1:21" ht="14.25" customHeight="1" x14ac:dyDescent="0.3">
      <c r="A1324" s="2" t="s">
        <v>3435</v>
      </c>
      <c r="B1324" s="5">
        <v>43069</v>
      </c>
      <c r="C1324" s="2" t="str">
        <f>TEXT(data[[#This Row],[Order Date]],"YYYY")</f>
        <v>2017</v>
      </c>
      <c r="D1324" s="2">
        <v>43072</v>
      </c>
      <c r="E1324" s="2" t="s">
        <v>87</v>
      </c>
      <c r="F1324" s="2" t="s">
        <v>3436</v>
      </c>
      <c r="G1324" s="2" t="s">
        <v>3437</v>
      </c>
      <c r="H1324" s="2" t="s">
        <v>100</v>
      </c>
      <c r="I1324" s="2" t="s">
        <v>25</v>
      </c>
      <c r="J1324" s="2" t="s">
        <v>328</v>
      </c>
      <c r="K1324" s="2" t="s">
        <v>53</v>
      </c>
      <c r="L1324" s="2" t="s">
        <v>54</v>
      </c>
      <c r="M1324" s="2" t="s">
        <v>3438</v>
      </c>
      <c r="N1324" s="2" t="s">
        <v>30</v>
      </c>
      <c r="O1324" s="2" t="s">
        <v>56</v>
      </c>
      <c r="P1324" s="2" t="s">
        <v>3439</v>
      </c>
      <c r="Q1324" s="2">
        <v>25.83</v>
      </c>
      <c r="R1324" s="2">
        <v>3</v>
      </c>
      <c r="S1324" s="2">
        <v>9.5571000000000002</v>
      </c>
      <c r="T1324" s="2" t="s">
        <v>33</v>
      </c>
      <c r="U1324" s="2" t="s">
        <v>34</v>
      </c>
    </row>
    <row r="1325" spans="1:21" ht="14.25" customHeight="1" x14ac:dyDescent="0.3">
      <c r="A1325" s="2" t="s">
        <v>3440</v>
      </c>
      <c r="B1325" s="5">
        <v>42678</v>
      </c>
      <c r="C1325" s="2" t="str">
        <f>TEXT(data[[#This Row],[Order Date]],"YYYY")</f>
        <v>2016</v>
      </c>
      <c r="D1325" s="2">
        <v>42680</v>
      </c>
      <c r="E1325" s="2" t="s">
        <v>21</v>
      </c>
      <c r="F1325" s="2" t="s">
        <v>3441</v>
      </c>
      <c r="G1325" s="2" t="s">
        <v>3442</v>
      </c>
      <c r="H1325" s="2" t="s">
        <v>90</v>
      </c>
      <c r="I1325" s="2" t="s">
        <v>25</v>
      </c>
      <c r="J1325" s="2" t="s">
        <v>3443</v>
      </c>
      <c r="K1325" s="2" t="s">
        <v>1517</v>
      </c>
      <c r="L1325" s="2" t="s">
        <v>54</v>
      </c>
      <c r="M1325" s="2" t="s">
        <v>2578</v>
      </c>
      <c r="N1325" s="2" t="s">
        <v>30</v>
      </c>
      <c r="O1325" s="2" t="s">
        <v>36</v>
      </c>
      <c r="P1325" s="2" t="s">
        <v>2579</v>
      </c>
      <c r="Q1325" s="2">
        <v>104.78400000000001</v>
      </c>
      <c r="R1325" s="2">
        <v>1</v>
      </c>
      <c r="S1325" s="2">
        <v>-14.4078</v>
      </c>
      <c r="T1325" s="2" t="s">
        <v>70</v>
      </c>
      <c r="U1325" s="2" t="s">
        <v>34</v>
      </c>
    </row>
    <row r="1326" spans="1:21" ht="14.25" customHeight="1" x14ac:dyDescent="0.3">
      <c r="A1326" s="2" t="s">
        <v>3440</v>
      </c>
      <c r="B1326" s="5">
        <v>42678</v>
      </c>
      <c r="C1326" s="2" t="str">
        <f>TEXT(data[[#This Row],[Order Date]],"YYYY")</f>
        <v>2016</v>
      </c>
      <c r="D1326" s="2">
        <v>42680</v>
      </c>
      <c r="E1326" s="2" t="s">
        <v>21</v>
      </c>
      <c r="F1326" s="2" t="s">
        <v>3441</v>
      </c>
      <c r="G1326" s="2" t="s">
        <v>3442</v>
      </c>
      <c r="H1326" s="2" t="s">
        <v>90</v>
      </c>
      <c r="I1326" s="2" t="s">
        <v>25</v>
      </c>
      <c r="J1326" s="2" t="s">
        <v>3443</v>
      </c>
      <c r="K1326" s="2" t="s">
        <v>1517</v>
      </c>
      <c r="L1326" s="2" t="s">
        <v>54</v>
      </c>
      <c r="M1326" s="2" t="s">
        <v>2730</v>
      </c>
      <c r="N1326" s="2" t="s">
        <v>30</v>
      </c>
      <c r="O1326" s="2" t="s">
        <v>36</v>
      </c>
      <c r="P1326" s="2" t="s">
        <v>2731</v>
      </c>
      <c r="Q1326" s="2">
        <v>650.35199999999998</v>
      </c>
      <c r="R1326" s="2">
        <v>3</v>
      </c>
      <c r="S1326" s="2">
        <v>-97.552800000000005</v>
      </c>
      <c r="T1326" s="2" t="s">
        <v>70</v>
      </c>
      <c r="U1326" s="2" t="s">
        <v>34</v>
      </c>
    </row>
    <row r="1327" spans="1:21" ht="14.25" customHeight="1" x14ac:dyDescent="0.3">
      <c r="A1327" s="2" t="s">
        <v>3444</v>
      </c>
      <c r="B1327" s="5">
        <v>41893</v>
      </c>
      <c r="C1327" s="2" t="str">
        <f>TEXT(data[[#This Row],[Order Date]],"YYYY")</f>
        <v>2014</v>
      </c>
      <c r="D1327" s="2">
        <v>41898</v>
      </c>
      <c r="E1327" s="2" t="s">
        <v>39</v>
      </c>
      <c r="F1327" s="2" t="s">
        <v>3445</v>
      </c>
      <c r="G1327" s="2" t="s">
        <v>3446</v>
      </c>
      <c r="H1327" s="2" t="s">
        <v>24</v>
      </c>
      <c r="I1327" s="2" t="s">
        <v>25</v>
      </c>
      <c r="J1327" s="2" t="s">
        <v>3447</v>
      </c>
      <c r="K1327" s="2" t="s">
        <v>53</v>
      </c>
      <c r="L1327" s="2" t="s">
        <v>54</v>
      </c>
      <c r="M1327" s="2" t="s">
        <v>181</v>
      </c>
      <c r="N1327" s="2" t="s">
        <v>30</v>
      </c>
      <c r="O1327" s="2" t="s">
        <v>56</v>
      </c>
      <c r="P1327" s="2" t="s">
        <v>182</v>
      </c>
      <c r="Q1327" s="2">
        <v>127.95</v>
      </c>
      <c r="R1327" s="2">
        <v>3</v>
      </c>
      <c r="S1327" s="2">
        <v>21.7515</v>
      </c>
      <c r="T1327" s="2" t="s">
        <v>58</v>
      </c>
      <c r="U1327" s="2" t="s">
        <v>77</v>
      </c>
    </row>
    <row r="1328" spans="1:21" ht="14.25" customHeight="1" x14ac:dyDescent="0.3">
      <c r="A1328" s="2" t="s">
        <v>3448</v>
      </c>
      <c r="B1328" s="5">
        <v>41659</v>
      </c>
      <c r="C1328" s="2" t="str">
        <f>TEXT(data[[#This Row],[Order Date]],"YYYY")</f>
        <v>2014</v>
      </c>
      <c r="D1328" s="2">
        <v>41665</v>
      </c>
      <c r="E1328" s="2" t="s">
        <v>39</v>
      </c>
      <c r="F1328" s="2" t="s">
        <v>3449</v>
      </c>
      <c r="G1328" s="2" t="s">
        <v>3450</v>
      </c>
      <c r="H1328" s="2" t="s">
        <v>24</v>
      </c>
      <c r="I1328" s="2" t="s">
        <v>25</v>
      </c>
      <c r="J1328" s="2" t="s">
        <v>3451</v>
      </c>
      <c r="K1328" s="2" t="s">
        <v>289</v>
      </c>
      <c r="L1328" s="2" t="s">
        <v>93</v>
      </c>
      <c r="M1328" s="2" t="s">
        <v>358</v>
      </c>
      <c r="N1328" s="2" t="s">
        <v>30</v>
      </c>
      <c r="O1328" s="2" t="s">
        <v>56</v>
      </c>
      <c r="P1328" s="2" t="s">
        <v>359</v>
      </c>
      <c r="Q1328" s="2">
        <v>272.94</v>
      </c>
      <c r="R1328" s="2">
        <v>3</v>
      </c>
      <c r="S1328" s="2">
        <v>30.023399999999999</v>
      </c>
      <c r="T1328" s="2" t="s">
        <v>129</v>
      </c>
      <c r="U1328" s="2" t="s">
        <v>169</v>
      </c>
    </row>
    <row r="1329" spans="1:21" ht="14.25" customHeight="1" x14ac:dyDescent="0.3">
      <c r="A1329" s="2" t="s">
        <v>3448</v>
      </c>
      <c r="B1329" s="5">
        <v>41659</v>
      </c>
      <c r="C1329" s="2" t="str">
        <f>TEXT(data[[#This Row],[Order Date]],"YYYY")</f>
        <v>2014</v>
      </c>
      <c r="D1329" s="2">
        <v>41665</v>
      </c>
      <c r="E1329" s="2" t="s">
        <v>39</v>
      </c>
      <c r="F1329" s="2" t="s">
        <v>3449</v>
      </c>
      <c r="G1329" s="2" t="s">
        <v>3450</v>
      </c>
      <c r="H1329" s="2" t="s">
        <v>24</v>
      </c>
      <c r="I1329" s="2" t="s">
        <v>25</v>
      </c>
      <c r="J1329" s="2" t="s">
        <v>3451</v>
      </c>
      <c r="K1329" s="2" t="s">
        <v>289</v>
      </c>
      <c r="L1329" s="2" t="s">
        <v>93</v>
      </c>
      <c r="M1329" s="2" t="s">
        <v>1099</v>
      </c>
      <c r="N1329" s="2" t="s">
        <v>30</v>
      </c>
      <c r="O1329" s="2" t="s">
        <v>56</v>
      </c>
      <c r="P1329" s="2" t="s">
        <v>1100</v>
      </c>
      <c r="Q1329" s="2">
        <v>14.73</v>
      </c>
      <c r="R1329" s="2">
        <v>3</v>
      </c>
      <c r="S1329" s="2">
        <v>4.8609</v>
      </c>
      <c r="T1329" s="2" t="s">
        <v>129</v>
      </c>
      <c r="U1329" s="2" t="s">
        <v>169</v>
      </c>
    </row>
    <row r="1330" spans="1:21" ht="14.25" customHeight="1" x14ac:dyDescent="0.3">
      <c r="A1330" s="2" t="s">
        <v>3452</v>
      </c>
      <c r="B1330" s="5">
        <v>42612</v>
      </c>
      <c r="C1330" s="2" t="str">
        <f>TEXT(data[[#This Row],[Order Date]],"YYYY")</f>
        <v>2016</v>
      </c>
      <c r="D1330" s="2">
        <v>42619</v>
      </c>
      <c r="E1330" s="2" t="s">
        <v>39</v>
      </c>
      <c r="F1330" s="2" t="s">
        <v>2363</v>
      </c>
      <c r="G1330" s="2" t="s">
        <v>2364</v>
      </c>
      <c r="H1330" s="2" t="s">
        <v>24</v>
      </c>
      <c r="I1330" s="2" t="s">
        <v>25</v>
      </c>
      <c r="J1330" s="2" t="s">
        <v>52</v>
      </c>
      <c r="K1330" s="2" t="s">
        <v>53</v>
      </c>
      <c r="L1330" s="2" t="s">
        <v>54</v>
      </c>
      <c r="M1330" s="2" t="s">
        <v>2409</v>
      </c>
      <c r="N1330" s="2" t="s">
        <v>30</v>
      </c>
      <c r="O1330" s="2" t="s">
        <v>56</v>
      </c>
      <c r="P1330" s="2" t="s">
        <v>2410</v>
      </c>
      <c r="Q1330" s="2">
        <v>47.04</v>
      </c>
      <c r="R1330" s="2">
        <v>4</v>
      </c>
      <c r="S1330" s="2">
        <v>15.993600000000001</v>
      </c>
      <c r="T1330" s="2" t="s">
        <v>47</v>
      </c>
      <c r="U1330" s="2" t="s">
        <v>253</v>
      </c>
    </row>
    <row r="1331" spans="1:21" ht="14.25" customHeight="1" x14ac:dyDescent="0.3">
      <c r="A1331" s="2" t="s">
        <v>3453</v>
      </c>
      <c r="B1331" s="5">
        <v>43013</v>
      </c>
      <c r="C1331" s="2" t="str">
        <f>TEXT(data[[#This Row],[Order Date]],"YYYY")</f>
        <v>2017</v>
      </c>
      <c r="D1331" s="2">
        <v>43017</v>
      </c>
      <c r="E1331" s="2" t="s">
        <v>39</v>
      </c>
      <c r="F1331" s="2" t="s">
        <v>1317</v>
      </c>
      <c r="G1331" s="2" t="s">
        <v>1318</v>
      </c>
      <c r="H1331" s="2" t="s">
        <v>90</v>
      </c>
      <c r="I1331" s="2" t="s">
        <v>25</v>
      </c>
      <c r="J1331" s="2" t="s">
        <v>173</v>
      </c>
      <c r="K1331" s="2" t="s">
        <v>120</v>
      </c>
      <c r="L1331" s="2" t="s">
        <v>67</v>
      </c>
      <c r="M1331" s="2" t="s">
        <v>1028</v>
      </c>
      <c r="N1331" s="2" t="s">
        <v>30</v>
      </c>
      <c r="O1331" s="2" t="s">
        <v>36</v>
      </c>
      <c r="P1331" s="2" t="s">
        <v>1029</v>
      </c>
      <c r="Q1331" s="2">
        <v>221.38200000000001</v>
      </c>
      <c r="R1331" s="2">
        <v>2</v>
      </c>
      <c r="S1331" s="2">
        <v>2.4598</v>
      </c>
      <c r="T1331" s="2" t="s">
        <v>83</v>
      </c>
      <c r="U1331" s="2" t="s">
        <v>48</v>
      </c>
    </row>
    <row r="1332" spans="1:21" ht="14.25" customHeight="1" x14ac:dyDescent="0.3">
      <c r="A1332" s="2" t="s">
        <v>3454</v>
      </c>
      <c r="B1332" s="5">
        <v>42981</v>
      </c>
      <c r="C1332" s="2" t="str">
        <f>TEXT(data[[#This Row],[Order Date]],"YYYY")</f>
        <v>2017</v>
      </c>
      <c r="D1332" s="2">
        <v>42986</v>
      </c>
      <c r="E1332" s="2" t="s">
        <v>39</v>
      </c>
      <c r="F1332" s="2" t="s">
        <v>1472</v>
      </c>
      <c r="G1332" s="2" t="s">
        <v>1473</v>
      </c>
      <c r="H1332" s="2" t="s">
        <v>24</v>
      </c>
      <c r="I1332" s="2" t="s">
        <v>25</v>
      </c>
      <c r="J1332" s="2" t="s">
        <v>1739</v>
      </c>
      <c r="K1332" s="2" t="s">
        <v>92</v>
      </c>
      <c r="L1332" s="2" t="s">
        <v>93</v>
      </c>
      <c r="M1332" s="2" t="s">
        <v>1017</v>
      </c>
      <c r="N1332" s="2" t="s">
        <v>30</v>
      </c>
      <c r="O1332" s="2" t="s">
        <v>56</v>
      </c>
      <c r="P1332" s="2" t="s">
        <v>1018</v>
      </c>
      <c r="Q1332" s="2">
        <v>108.4</v>
      </c>
      <c r="R1332" s="2">
        <v>5</v>
      </c>
      <c r="S1332" s="2">
        <v>-105.69</v>
      </c>
      <c r="T1332" s="2" t="s">
        <v>58</v>
      </c>
      <c r="U1332" s="2" t="s">
        <v>77</v>
      </c>
    </row>
    <row r="1333" spans="1:21" ht="14.25" customHeight="1" x14ac:dyDescent="0.3">
      <c r="A1333" s="2" t="s">
        <v>3455</v>
      </c>
      <c r="B1333" s="5">
        <v>42646</v>
      </c>
      <c r="C1333" s="2" t="str">
        <f>TEXT(data[[#This Row],[Order Date]],"YYYY")</f>
        <v>2016</v>
      </c>
      <c r="D1333" s="2">
        <v>42650</v>
      </c>
      <c r="E1333" s="2" t="s">
        <v>39</v>
      </c>
      <c r="F1333" s="2" t="s">
        <v>3441</v>
      </c>
      <c r="G1333" s="2" t="s">
        <v>3442</v>
      </c>
      <c r="H1333" s="2" t="s">
        <v>90</v>
      </c>
      <c r="I1333" s="2" t="s">
        <v>25</v>
      </c>
      <c r="J1333" s="2" t="s">
        <v>1717</v>
      </c>
      <c r="K1333" s="2" t="s">
        <v>92</v>
      </c>
      <c r="L1333" s="2" t="s">
        <v>93</v>
      </c>
      <c r="M1333" s="2" t="s">
        <v>383</v>
      </c>
      <c r="N1333" s="2" t="s">
        <v>30</v>
      </c>
      <c r="O1333" s="2" t="s">
        <v>56</v>
      </c>
      <c r="P1333" s="2" t="s">
        <v>384</v>
      </c>
      <c r="Q1333" s="2">
        <v>38.08</v>
      </c>
      <c r="R1333" s="2">
        <v>5</v>
      </c>
      <c r="S1333" s="2">
        <v>-29.512</v>
      </c>
      <c r="T1333" s="2" t="s">
        <v>83</v>
      </c>
      <c r="U1333" s="2" t="s">
        <v>48</v>
      </c>
    </row>
    <row r="1334" spans="1:21" ht="14.25" customHeight="1" x14ac:dyDescent="0.3">
      <c r="A1334" s="2" t="s">
        <v>3456</v>
      </c>
      <c r="B1334" s="5">
        <v>42695</v>
      </c>
      <c r="C1334" s="2" t="str">
        <f>TEXT(data[[#This Row],[Order Date]],"YYYY")</f>
        <v>2016</v>
      </c>
      <c r="D1334" s="2">
        <v>42695</v>
      </c>
      <c r="E1334" s="2" t="s">
        <v>425</v>
      </c>
      <c r="F1334" s="2" t="s">
        <v>1237</v>
      </c>
      <c r="G1334" s="2" t="s">
        <v>1238</v>
      </c>
      <c r="H1334" s="2" t="s">
        <v>100</v>
      </c>
      <c r="I1334" s="2" t="s">
        <v>25</v>
      </c>
      <c r="J1334" s="2" t="s">
        <v>173</v>
      </c>
      <c r="K1334" s="2" t="s">
        <v>120</v>
      </c>
      <c r="L1334" s="2" t="s">
        <v>67</v>
      </c>
      <c r="M1334" s="2" t="s">
        <v>2420</v>
      </c>
      <c r="N1334" s="2" t="s">
        <v>30</v>
      </c>
      <c r="O1334" s="2" t="s">
        <v>31</v>
      </c>
      <c r="P1334" s="2" t="s">
        <v>2421</v>
      </c>
      <c r="Q1334" s="2">
        <v>113.568</v>
      </c>
      <c r="R1334" s="2">
        <v>2</v>
      </c>
      <c r="S1334" s="2">
        <v>12.776400000000001</v>
      </c>
      <c r="T1334" s="2" t="s">
        <v>430</v>
      </c>
      <c r="U1334" s="2" t="s">
        <v>34</v>
      </c>
    </row>
    <row r="1335" spans="1:21" ht="14.25" customHeight="1" x14ac:dyDescent="0.3">
      <c r="A1335" s="2" t="s">
        <v>3457</v>
      </c>
      <c r="B1335" s="5">
        <v>43011</v>
      </c>
      <c r="C1335" s="2" t="str">
        <f>TEXT(data[[#This Row],[Order Date]],"YYYY")</f>
        <v>2017</v>
      </c>
      <c r="D1335" s="2">
        <v>43013</v>
      </c>
      <c r="E1335" s="2" t="s">
        <v>21</v>
      </c>
      <c r="F1335" s="2" t="s">
        <v>882</v>
      </c>
      <c r="G1335" s="2" t="s">
        <v>883</v>
      </c>
      <c r="H1335" s="2" t="s">
        <v>100</v>
      </c>
      <c r="I1335" s="2" t="s">
        <v>25</v>
      </c>
      <c r="J1335" s="2" t="s">
        <v>173</v>
      </c>
      <c r="K1335" s="2" t="s">
        <v>120</v>
      </c>
      <c r="L1335" s="2" t="s">
        <v>67</v>
      </c>
      <c r="M1335" s="2" t="s">
        <v>186</v>
      </c>
      <c r="N1335" s="2" t="s">
        <v>30</v>
      </c>
      <c r="O1335" s="2" t="s">
        <v>56</v>
      </c>
      <c r="P1335" s="2" t="s">
        <v>187</v>
      </c>
      <c r="Q1335" s="2">
        <v>83.92</v>
      </c>
      <c r="R1335" s="2">
        <v>4</v>
      </c>
      <c r="S1335" s="2">
        <v>21.819199999999999</v>
      </c>
      <c r="T1335" s="2" t="s">
        <v>70</v>
      </c>
      <c r="U1335" s="2" t="s">
        <v>48</v>
      </c>
    </row>
    <row r="1336" spans="1:21" ht="14.25" customHeight="1" x14ac:dyDescent="0.3">
      <c r="A1336" s="2" t="s">
        <v>3458</v>
      </c>
      <c r="B1336" s="5">
        <v>41758</v>
      </c>
      <c r="C1336" s="2" t="str">
        <f>TEXT(data[[#This Row],[Order Date]],"YYYY")</f>
        <v>2014</v>
      </c>
      <c r="D1336" s="2">
        <v>41762</v>
      </c>
      <c r="E1336" s="2" t="s">
        <v>39</v>
      </c>
      <c r="F1336" s="2" t="s">
        <v>984</v>
      </c>
      <c r="G1336" s="2" t="s">
        <v>985</v>
      </c>
      <c r="H1336" s="2" t="s">
        <v>90</v>
      </c>
      <c r="I1336" s="2" t="s">
        <v>25</v>
      </c>
      <c r="J1336" s="2" t="s">
        <v>140</v>
      </c>
      <c r="K1336" s="2" t="s">
        <v>141</v>
      </c>
      <c r="L1336" s="2" t="s">
        <v>28</v>
      </c>
      <c r="M1336" s="2" t="s">
        <v>851</v>
      </c>
      <c r="N1336" s="2" t="s">
        <v>30</v>
      </c>
      <c r="O1336" s="2" t="s">
        <v>36</v>
      </c>
      <c r="P1336" s="2" t="s">
        <v>852</v>
      </c>
      <c r="Q1336" s="2">
        <v>561.58399999999995</v>
      </c>
      <c r="R1336" s="2">
        <v>2</v>
      </c>
      <c r="S1336" s="2">
        <v>70.197999999999993</v>
      </c>
      <c r="T1336" s="2" t="s">
        <v>83</v>
      </c>
      <c r="U1336" s="2" t="s">
        <v>113</v>
      </c>
    </row>
    <row r="1337" spans="1:21" ht="14.25" customHeight="1" x14ac:dyDescent="0.3">
      <c r="A1337" s="2" t="s">
        <v>3459</v>
      </c>
      <c r="B1337" s="5">
        <v>42719</v>
      </c>
      <c r="C1337" s="2" t="str">
        <f>TEXT(data[[#This Row],[Order Date]],"YYYY")</f>
        <v>2016</v>
      </c>
      <c r="D1337" s="2">
        <v>42726</v>
      </c>
      <c r="E1337" s="2" t="s">
        <v>39</v>
      </c>
      <c r="F1337" s="2" t="s">
        <v>1564</v>
      </c>
      <c r="G1337" s="2" t="s">
        <v>1565</v>
      </c>
      <c r="H1337" s="2" t="s">
        <v>24</v>
      </c>
      <c r="I1337" s="2" t="s">
        <v>25</v>
      </c>
      <c r="J1337" s="2" t="s">
        <v>52</v>
      </c>
      <c r="K1337" s="2" t="s">
        <v>53</v>
      </c>
      <c r="L1337" s="2" t="s">
        <v>54</v>
      </c>
      <c r="M1337" s="2" t="s">
        <v>1718</v>
      </c>
      <c r="N1337" s="2" t="s">
        <v>30</v>
      </c>
      <c r="O1337" s="2" t="s">
        <v>56</v>
      </c>
      <c r="P1337" s="2" t="s">
        <v>1719</v>
      </c>
      <c r="Q1337" s="2">
        <v>14.76</v>
      </c>
      <c r="R1337" s="2">
        <v>2</v>
      </c>
      <c r="S1337" s="2">
        <v>4.2804000000000002</v>
      </c>
      <c r="T1337" s="2" t="s">
        <v>47</v>
      </c>
      <c r="U1337" s="2" t="s">
        <v>96</v>
      </c>
    </row>
    <row r="1338" spans="1:21" ht="14.25" customHeight="1" x14ac:dyDescent="0.3">
      <c r="A1338" s="2" t="s">
        <v>3460</v>
      </c>
      <c r="B1338" s="5">
        <v>42458</v>
      </c>
      <c r="C1338" s="2" t="str">
        <f>TEXT(data[[#This Row],[Order Date]],"YYYY")</f>
        <v>2016</v>
      </c>
      <c r="D1338" s="2">
        <v>42462</v>
      </c>
      <c r="E1338" s="2" t="s">
        <v>39</v>
      </c>
      <c r="F1338" s="2" t="s">
        <v>498</v>
      </c>
      <c r="G1338" s="2" t="s">
        <v>499</v>
      </c>
      <c r="H1338" s="2" t="s">
        <v>24</v>
      </c>
      <c r="I1338" s="2" t="s">
        <v>25</v>
      </c>
      <c r="J1338" s="2" t="s">
        <v>878</v>
      </c>
      <c r="K1338" s="2" t="s">
        <v>231</v>
      </c>
      <c r="L1338" s="2" t="s">
        <v>67</v>
      </c>
      <c r="M1338" s="2" t="s">
        <v>710</v>
      </c>
      <c r="N1338" s="2" t="s">
        <v>30</v>
      </c>
      <c r="O1338" s="2" t="s">
        <v>31</v>
      </c>
      <c r="P1338" s="2" t="s">
        <v>711</v>
      </c>
      <c r="Q1338" s="2">
        <v>299.97500000000002</v>
      </c>
      <c r="R1338" s="2">
        <v>5</v>
      </c>
      <c r="S1338" s="2">
        <v>-167.98599999999999</v>
      </c>
      <c r="T1338" s="2" t="s">
        <v>83</v>
      </c>
      <c r="U1338" s="2" t="s">
        <v>195</v>
      </c>
    </row>
    <row r="1339" spans="1:21" ht="14.25" customHeight="1" x14ac:dyDescent="0.3">
      <c r="A1339" s="2" t="s">
        <v>3461</v>
      </c>
      <c r="B1339" s="5">
        <v>42718</v>
      </c>
      <c r="C1339" s="2" t="str">
        <f>TEXT(data[[#This Row],[Order Date]],"YYYY")</f>
        <v>2016</v>
      </c>
      <c r="D1339" s="2">
        <v>42723</v>
      </c>
      <c r="E1339" s="2" t="s">
        <v>39</v>
      </c>
      <c r="F1339" s="2" t="s">
        <v>491</v>
      </c>
      <c r="G1339" s="2" t="s">
        <v>492</v>
      </c>
      <c r="H1339" s="2" t="s">
        <v>24</v>
      </c>
      <c r="I1339" s="2" t="s">
        <v>25</v>
      </c>
      <c r="J1339" s="2" t="s">
        <v>173</v>
      </c>
      <c r="K1339" s="2" t="s">
        <v>120</v>
      </c>
      <c r="L1339" s="2" t="s">
        <v>67</v>
      </c>
      <c r="M1339" s="2" t="s">
        <v>1400</v>
      </c>
      <c r="N1339" s="2" t="s">
        <v>30</v>
      </c>
      <c r="O1339" s="2" t="s">
        <v>56</v>
      </c>
      <c r="P1339" s="2" t="s">
        <v>1401</v>
      </c>
      <c r="Q1339" s="2">
        <v>396.92</v>
      </c>
      <c r="R1339" s="2">
        <v>4</v>
      </c>
      <c r="S1339" s="2">
        <v>198.46</v>
      </c>
      <c r="T1339" s="2" t="s">
        <v>58</v>
      </c>
      <c r="U1339" s="2" t="s">
        <v>96</v>
      </c>
    </row>
    <row r="1340" spans="1:21" ht="14.25" customHeight="1" x14ac:dyDescent="0.3">
      <c r="A1340" s="2" t="s">
        <v>3462</v>
      </c>
      <c r="B1340" s="5">
        <v>42885</v>
      </c>
      <c r="C1340" s="2" t="str">
        <f>TEXT(data[[#This Row],[Order Date]],"YYYY")</f>
        <v>2017</v>
      </c>
      <c r="D1340" s="2">
        <v>42886</v>
      </c>
      <c r="E1340" s="2" t="s">
        <v>87</v>
      </c>
      <c r="F1340" s="2" t="s">
        <v>633</v>
      </c>
      <c r="G1340" s="2" t="s">
        <v>634</v>
      </c>
      <c r="H1340" s="2" t="s">
        <v>24</v>
      </c>
      <c r="I1340" s="2" t="s">
        <v>25</v>
      </c>
      <c r="J1340" s="2" t="s">
        <v>1405</v>
      </c>
      <c r="K1340" s="2" t="s">
        <v>1406</v>
      </c>
      <c r="L1340" s="2" t="s">
        <v>28</v>
      </c>
      <c r="M1340" s="2" t="s">
        <v>1474</v>
      </c>
      <c r="N1340" s="2" t="s">
        <v>30</v>
      </c>
      <c r="O1340" s="2" t="s">
        <v>31</v>
      </c>
      <c r="P1340" s="2" t="s">
        <v>1475</v>
      </c>
      <c r="Q1340" s="2">
        <v>241.96</v>
      </c>
      <c r="R1340" s="2">
        <v>2</v>
      </c>
      <c r="S1340" s="2">
        <v>33.874400000000001</v>
      </c>
      <c r="T1340" s="2" t="s">
        <v>123</v>
      </c>
      <c r="U1340" s="2" t="s">
        <v>161</v>
      </c>
    </row>
    <row r="1341" spans="1:21" ht="14.25" customHeight="1" x14ac:dyDescent="0.3">
      <c r="A1341" s="2" t="s">
        <v>3462</v>
      </c>
      <c r="B1341" s="5">
        <v>42885</v>
      </c>
      <c r="C1341" s="2" t="str">
        <f>TEXT(data[[#This Row],[Order Date]],"YYYY")</f>
        <v>2017</v>
      </c>
      <c r="D1341" s="2">
        <v>42886</v>
      </c>
      <c r="E1341" s="2" t="s">
        <v>87</v>
      </c>
      <c r="F1341" s="2" t="s">
        <v>633</v>
      </c>
      <c r="G1341" s="2" t="s">
        <v>634</v>
      </c>
      <c r="H1341" s="2" t="s">
        <v>24</v>
      </c>
      <c r="I1341" s="2" t="s">
        <v>25</v>
      </c>
      <c r="J1341" s="2" t="s">
        <v>1405</v>
      </c>
      <c r="K1341" s="2" t="s">
        <v>1406</v>
      </c>
      <c r="L1341" s="2" t="s">
        <v>28</v>
      </c>
      <c r="M1341" s="2" t="s">
        <v>2513</v>
      </c>
      <c r="N1341" s="2" t="s">
        <v>30</v>
      </c>
      <c r="O1341" s="2" t="s">
        <v>56</v>
      </c>
      <c r="P1341" s="2" t="s">
        <v>2514</v>
      </c>
      <c r="Q1341" s="2">
        <v>8.01</v>
      </c>
      <c r="R1341" s="2">
        <v>3</v>
      </c>
      <c r="S1341" s="2">
        <v>3.0438000000000001</v>
      </c>
      <c r="T1341" s="2" t="s">
        <v>123</v>
      </c>
      <c r="U1341" s="2" t="s">
        <v>161</v>
      </c>
    </row>
    <row r="1342" spans="1:21" ht="14.25" customHeight="1" x14ac:dyDescent="0.3">
      <c r="A1342" s="2" t="s">
        <v>3463</v>
      </c>
      <c r="B1342" s="5">
        <v>42978</v>
      </c>
      <c r="C1342" s="2" t="str">
        <f>TEXT(data[[#This Row],[Order Date]],"YYYY")</f>
        <v>2017</v>
      </c>
      <c r="D1342" s="2">
        <v>42980</v>
      </c>
      <c r="E1342" s="2" t="s">
        <v>21</v>
      </c>
      <c r="F1342" s="2" t="s">
        <v>1960</v>
      </c>
      <c r="G1342" s="2" t="s">
        <v>1961</v>
      </c>
      <c r="H1342" s="2" t="s">
        <v>90</v>
      </c>
      <c r="I1342" s="2" t="s">
        <v>25</v>
      </c>
      <c r="J1342" s="2" t="s">
        <v>1566</v>
      </c>
      <c r="K1342" s="2" t="s">
        <v>192</v>
      </c>
      <c r="L1342" s="2" t="s">
        <v>54</v>
      </c>
      <c r="M1342" s="2" t="s">
        <v>514</v>
      </c>
      <c r="N1342" s="2" t="s">
        <v>30</v>
      </c>
      <c r="O1342" s="2" t="s">
        <v>36</v>
      </c>
      <c r="P1342" s="2" t="s">
        <v>515</v>
      </c>
      <c r="Q1342" s="2">
        <v>569.56799999999998</v>
      </c>
      <c r="R1342" s="2">
        <v>2</v>
      </c>
      <c r="S1342" s="2">
        <v>7.1196000000000002</v>
      </c>
      <c r="T1342" s="2" t="s">
        <v>70</v>
      </c>
      <c r="U1342" s="2" t="s">
        <v>253</v>
      </c>
    </row>
    <row r="1343" spans="1:21" ht="14.25" customHeight="1" x14ac:dyDescent="0.3">
      <c r="A1343" s="2" t="s">
        <v>3464</v>
      </c>
      <c r="B1343" s="5">
        <v>42869</v>
      </c>
      <c r="C1343" s="2" t="str">
        <f>TEXT(data[[#This Row],[Order Date]],"YYYY")</f>
        <v>2017</v>
      </c>
      <c r="D1343" s="2">
        <v>42870</v>
      </c>
      <c r="E1343" s="2" t="s">
        <v>87</v>
      </c>
      <c r="F1343" s="2" t="s">
        <v>873</v>
      </c>
      <c r="G1343" s="2" t="s">
        <v>874</v>
      </c>
      <c r="H1343" s="2" t="s">
        <v>24</v>
      </c>
      <c r="I1343" s="2" t="s">
        <v>25</v>
      </c>
      <c r="J1343" s="2" t="s">
        <v>101</v>
      </c>
      <c r="K1343" s="2" t="s">
        <v>92</v>
      </c>
      <c r="L1343" s="2" t="s">
        <v>93</v>
      </c>
      <c r="M1343" s="2" t="s">
        <v>1600</v>
      </c>
      <c r="N1343" s="2" t="s">
        <v>30</v>
      </c>
      <c r="O1343" s="2" t="s">
        <v>36</v>
      </c>
      <c r="P1343" s="2" t="s">
        <v>1601</v>
      </c>
      <c r="Q1343" s="2">
        <v>899.43</v>
      </c>
      <c r="R1343" s="2">
        <v>5</v>
      </c>
      <c r="S1343" s="2">
        <v>-12.849</v>
      </c>
      <c r="T1343" s="2" t="s">
        <v>123</v>
      </c>
      <c r="U1343" s="2" t="s">
        <v>161</v>
      </c>
    </row>
    <row r="1344" spans="1:21" ht="14.25" customHeight="1" x14ac:dyDescent="0.3">
      <c r="A1344" s="2" t="s">
        <v>3465</v>
      </c>
      <c r="B1344" s="5">
        <v>42674</v>
      </c>
      <c r="C1344" s="2" t="str">
        <f>TEXT(data[[#This Row],[Order Date]],"YYYY")</f>
        <v>2016</v>
      </c>
      <c r="D1344" s="2">
        <v>42679</v>
      </c>
      <c r="E1344" s="2" t="s">
        <v>39</v>
      </c>
      <c r="F1344" s="2" t="s">
        <v>828</v>
      </c>
      <c r="G1344" s="2" t="s">
        <v>829</v>
      </c>
      <c r="H1344" s="2" t="s">
        <v>90</v>
      </c>
      <c r="I1344" s="2" t="s">
        <v>25</v>
      </c>
      <c r="J1344" s="2" t="s">
        <v>2021</v>
      </c>
      <c r="K1344" s="2" t="s">
        <v>1522</v>
      </c>
      <c r="L1344" s="2" t="s">
        <v>93</v>
      </c>
      <c r="M1344" s="2" t="s">
        <v>1747</v>
      </c>
      <c r="N1344" s="2" t="s">
        <v>30</v>
      </c>
      <c r="O1344" s="2" t="s">
        <v>36</v>
      </c>
      <c r="P1344" s="2" t="s">
        <v>1748</v>
      </c>
      <c r="Q1344" s="2">
        <v>368.97</v>
      </c>
      <c r="R1344" s="2">
        <v>3</v>
      </c>
      <c r="S1344" s="2">
        <v>81.173400000000001</v>
      </c>
      <c r="T1344" s="2" t="s">
        <v>58</v>
      </c>
      <c r="U1344" s="2" t="s">
        <v>48</v>
      </c>
    </row>
    <row r="1345" spans="1:21" ht="14.25" customHeight="1" x14ac:dyDescent="0.3">
      <c r="A1345" s="2" t="s">
        <v>3466</v>
      </c>
      <c r="B1345" s="5">
        <v>42301</v>
      </c>
      <c r="C1345" s="2" t="str">
        <f>TEXT(data[[#This Row],[Order Date]],"YYYY")</f>
        <v>2015</v>
      </c>
      <c r="D1345" s="2">
        <v>42304</v>
      </c>
      <c r="E1345" s="2" t="s">
        <v>87</v>
      </c>
      <c r="F1345" s="2" t="s">
        <v>993</v>
      </c>
      <c r="G1345" s="2" t="s">
        <v>994</v>
      </c>
      <c r="H1345" s="2" t="s">
        <v>100</v>
      </c>
      <c r="I1345" s="2" t="s">
        <v>25</v>
      </c>
      <c r="J1345" s="2" t="s">
        <v>1470</v>
      </c>
      <c r="K1345" s="2" t="s">
        <v>53</v>
      </c>
      <c r="L1345" s="2" t="s">
        <v>54</v>
      </c>
      <c r="M1345" s="2" t="s">
        <v>458</v>
      </c>
      <c r="N1345" s="2" t="s">
        <v>30</v>
      </c>
      <c r="O1345" s="2" t="s">
        <v>36</v>
      </c>
      <c r="P1345" s="2" t="s">
        <v>459</v>
      </c>
      <c r="Q1345" s="2">
        <v>454.27199999999999</v>
      </c>
      <c r="R1345" s="2">
        <v>8</v>
      </c>
      <c r="S1345" s="2">
        <v>-73.819199999999995</v>
      </c>
      <c r="T1345" s="2" t="s">
        <v>33</v>
      </c>
      <c r="U1345" s="2" t="s">
        <v>48</v>
      </c>
    </row>
    <row r="1346" spans="1:21" ht="14.25" customHeight="1" x14ac:dyDescent="0.3">
      <c r="A1346" s="2" t="s">
        <v>3467</v>
      </c>
      <c r="B1346" s="5">
        <v>41946</v>
      </c>
      <c r="C1346" s="2" t="str">
        <f>TEXT(data[[#This Row],[Order Date]],"YYYY")</f>
        <v>2014</v>
      </c>
      <c r="D1346" s="2">
        <v>41950</v>
      </c>
      <c r="E1346" s="2" t="s">
        <v>39</v>
      </c>
      <c r="F1346" s="2" t="s">
        <v>3468</v>
      </c>
      <c r="G1346" s="2" t="s">
        <v>3469</v>
      </c>
      <c r="H1346" s="2" t="s">
        <v>24</v>
      </c>
      <c r="I1346" s="2" t="s">
        <v>25</v>
      </c>
      <c r="J1346" s="2" t="s">
        <v>606</v>
      </c>
      <c r="K1346" s="2" t="s">
        <v>1036</v>
      </c>
      <c r="L1346" s="2" t="s">
        <v>28</v>
      </c>
      <c r="M1346" s="2" t="s">
        <v>193</v>
      </c>
      <c r="N1346" s="2" t="s">
        <v>30</v>
      </c>
      <c r="O1346" s="2" t="s">
        <v>45</v>
      </c>
      <c r="P1346" s="2" t="s">
        <v>194</v>
      </c>
      <c r="Q1346" s="2">
        <v>945.03599999999994</v>
      </c>
      <c r="R1346" s="2">
        <v>6</v>
      </c>
      <c r="S1346" s="2">
        <v>-299.26139999999998</v>
      </c>
      <c r="T1346" s="2" t="s">
        <v>83</v>
      </c>
      <c r="U1346" s="2" t="s">
        <v>34</v>
      </c>
    </row>
    <row r="1347" spans="1:21" ht="14.25" customHeight="1" x14ac:dyDescent="0.3">
      <c r="A1347" s="2" t="s">
        <v>3467</v>
      </c>
      <c r="B1347" s="5">
        <v>41946</v>
      </c>
      <c r="C1347" s="2" t="str">
        <f>TEXT(data[[#This Row],[Order Date]],"YYYY")</f>
        <v>2014</v>
      </c>
      <c r="D1347" s="2">
        <v>41950</v>
      </c>
      <c r="E1347" s="2" t="s">
        <v>39</v>
      </c>
      <c r="F1347" s="2" t="s">
        <v>3468</v>
      </c>
      <c r="G1347" s="2" t="s">
        <v>3469</v>
      </c>
      <c r="H1347" s="2" t="s">
        <v>24</v>
      </c>
      <c r="I1347" s="2" t="s">
        <v>25</v>
      </c>
      <c r="J1347" s="2" t="s">
        <v>606</v>
      </c>
      <c r="K1347" s="2" t="s">
        <v>1036</v>
      </c>
      <c r="L1347" s="2" t="s">
        <v>28</v>
      </c>
      <c r="M1347" s="2" t="s">
        <v>1831</v>
      </c>
      <c r="N1347" s="2" t="s">
        <v>30</v>
      </c>
      <c r="O1347" s="2" t="s">
        <v>56</v>
      </c>
      <c r="P1347" s="2" t="s">
        <v>1832</v>
      </c>
      <c r="Q1347" s="2">
        <v>410.35199999999998</v>
      </c>
      <c r="R1347" s="2">
        <v>3</v>
      </c>
      <c r="S1347" s="2">
        <v>-51.293999999999997</v>
      </c>
      <c r="T1347" s="2" t="s">
        <v>83</v>
      </c>
      <c r="U1347" s="2" t="s">
        <v>34</v>
      </c>
    </row>
    <row r="1348" spans="1:21" ht="14.25" customHeight="1" x14ac:dyDescent="0.3">
      <c r="A1348" s="2" t="s">
        <v>3470</v>
      </c>
      <c r="B1348" s="5">
        <v>42882</v>
      </c>
      <c r="C1348" s="2" t="str">
        <f>TEXT(data[[#This Row],[Order Date]],"YYYY")</f>
        <v>2017</v>
      </c>
      <c r="D1348" s="2">
        <v>42884</v>
      </c>
      <c r="E1348" s="2" t="s">
        <v>87</v>
      </c>
      <c r="F1348" s="2" t="s">
        <v>1571</v>
      </c>
      <c r="G1348" s="2" t="s">
        <v>1572</v>
      </c>
      <c r="H1348" s="2" t="s">
        <v>24</v>
      </c>
      <c r="I1348" s="2" t="s">
        <v>25</v>
      </c>
      <c r="J1348" s="2" t="s">
        <v>3238</v>
      </c>
      <c r="K1348" s="2" t="s">
        <v>2280</v>
      </c>
      <c r="L1348" s="2" t="s">
        <v>54</v>
      </c>
      <c r="M1348" s="2" t="s">
        <v>2189</v>
      </c>
      <c r="N1348" s="2" t="s">
        <v>30</v>
      </c>
      <c r="O1348" s="2" t="s">
        <v>56</v>
      </c>
      <c r="P1348" s="2" t="s">
        <v>2190</v>
      </c>
      <c r="Q1348" s="2">
        <v>35</v>
      </c>
      <c r="R1348" s="2">
        <v>4</v>
      </c>
      <c r="S1348" s="2">
        <v>14.7</v>
      </c>
      <c r="T1348" s="2" t="s">
        <v>70</v>
      </c>
      <c r="U1348" s="2" t="s">
        <v>161</v>
      </c>
    </row>
    <row r="1349" spans="1:21" ht="14.25" customHeight="1" x14ac:dyDescent="0.3">
      <c r="A1349" s="2" t="s">
        <v>3471</v>
      </c>
      <c r="B1349" s="5">
        <v>43083</v>
      </c>
      <c r="C1349" s="2" t="str">
        <f>TEXT(data[[#This Row],[Order Date]],"YYYY")</f>
        <v>2017</v>
      </c>
      <c r="D1349" s="2">
        <v>43088</v>
      </c>
      <c r="E1349" s="2" t="s">
        <v>39</v>
      </c>
      <c r="F1349" s="2" t="s">
        <v>221</v>
      </c>
      <c r="G1349" s="2" t="s">
        <v>222</v>
      </c>
      <c r="H1349" s="2" t="s">
        <v>24</v>
      </c>
      <c r="I1349" s="2" t="s">
        <v>25</v>
      </c>
      <c r="J1349" s="2" t="s">
        <v>2478</v>
      </c>
      <c r="K1349" s="2" t="s">
        <v>92</v>
      </c>
      <c r="L1349" s="2" t="s">
        <v>93</v>
      </c>
      <c r="M1349" s="2" t="s">
        <v>44</v>
      </c>
      <c r="N1349" s="2" t="s">
        <v>30</v>
      </c>
      <c r="O1349" s="2" t="s">
        <v>45</v>
      </c>
      <c r="P1349" s="2" t="s">
        <v>46</v>
      </c>
      <c r="Q1349" s="2">
        <v>974.98800000000006</v>
      </c>
      <c r="R1349" s="2">
        <v>4</v>
      </c>
      <c r="S1349" s="2">
        <v>-97.498800000000003</v>
      </c>
      <c r="T1349" s="2" t="s">
        <v>58</v>
      </c>
      <c r="U1349" s="2" t="s">
        <v>96</v>
      </c>
    </row>
    <row r="1350" spans="1:21" ht="14.25" customHeight="1" x14ac:dyDescent="0.3">
      <c r="A1350" s="2" t="s">
        <v>3472</v>
      </c>
      <c r="B1350" s="5">
        <v>41916</v>
      </c>
      <c r="C1350" s="2" t="str">
        <f>TEXT(data[[#This Row],[Order Date]],"YYYY")</f>
        <v>2014</v>
      </c>
      <c r="D1350" s="2">
        <v>41918</v>
      </c>
      <c r="E1350" s="2" t="s">
        <v>87</v>
      </c>
      <c r="F1350" s="2" t="s">
        <v>1152</v>
      </c>
      <c r="G1350" s="2" t="s">
        <v>1153</v>
      </c>
      <c r="H1350" s="2" t="s">
        <v>24</v>
      </c>
      <c r="I1350" s="2" t="s">
        <v>25</v>
      </c>
      <c r="J1350" s="2" t="s">
        <v>173</v>
      </c>
      <c r="K1350" s="2" t="s">
        <v>120</v>
      </c>
      <c r="L1350" s="2" t="s">
        <v>67</v>
      </c>
      <c r="M1350" s="2" t="s">
        <v>2578</v>
      </c>
      <c r="N1350" s="2" t="s">
        <v>30</v>
      </c>
      <c r="O1350" s="2" t="s">
        <v>36</v>
      </c>
      <c r="P1350" s="2" t="s">
        <v>2579</v>
      </c>
      <c r="Q1350" s="2">
        <v>589.41</v>
      </c>
      <c r="R1350" s="2">
        <v>5</v>
      </c>
      <c r="S1350" s="2">
        <v>-6.5490000000000004</v>
      </c>
      <c r="T1350" s="2" t="s">
        <v>70</v>
      </c>
      <c r="U1350" s="2" t="s">
        <v>48</v>
      </c>
    </row>
    <row r="1351" spans="1:21" ht="14.25" customHeight="1" x14ac:dyDescent="0.3">
      <c r="A1351" s="2" t="s">
        <v>3473</v>
      </c>
      <c r="B1351" s="5">
        <v>42656</v>
      </c>
      <c r="C1351" s="2" t="str">
        <f>TEXT(data[[#This Row],[Order Date]],"YYYY")</f>
        <v>2016</v>
      </c>
      <c r="D1351" s="2">
        <v>42663</v>
      </c>
      <c r="E1351" s="2" t="s">
        <v>39</v>
      </c>
      <c r="F1351" s="2" t="s">
        <v>1960</v>
      </c>
      <c r="G1351" s="2" t="s">
        <v>1961</v>
      </c>
      <c r="H1351" s="2" t="s">
        <v>90</v>
      </c>
      <c r="I1351" s="2" t="s">
        <v>25</v>
      </c>
      <c r="J1351" s="2" t="s">
        <v>173</v>
      </c>
      <c r="K1351" s="2" t="s">
        <v>120</v>
      </c>
      <c r="L1351" s="2" t="s">
        <v>67</v>
      </c>
      <c r="M1351" s="2" t="s">
        <v>1149</v>
      </c>
      <c r="N1351" s="2" t="s">
        <v>30</v>
      </c>
      <c r="O1351" s="2" t="s">
        <v>56</v>
      </c>
      <c r="P1351" s="2" t="s">
        <v>1150</v>
      </c>
      <c r="Q1351" s="2">
        <v>82.26</v>
      </c>
      <c r="R1351" s="2">
        <v>3</v>
      </c>
      <c r="S1351" s="2">
        <v>33.726599999999998</v>
      </c>
      <c r="T1351" s="2" t="s">
        <v>47</v>
      </c>
      <c r="U1351" s="2" t="s">
        <v>48</v>
      </c>
    </row>
    <row r="1352" spans="1:21" ht="14.25" customHeight="1" x14ac:dyDescent="0.3">
      <c r="A1352" s="2" t="s">
        <v>3474</v>
      </c>
      <c r="B1352" s="5">
        <v>42798</v>
      </c>
      <c r="C1352" s="2" t="str">
        <f>TEXT(data[[#This Row],[Order Date]],"YYYY")</f>
        <v>2017</v>
      </c>
      <c r="D1352" s="2">
        <v>42800</v>
      </c>
      <c r="E1352" s="2" t="s">
        <v>21</v>
      </c>
      <c r="F1352" s="2" t="s">
        <v>3475</v>
      </c>
      <c r="G1352" s="2" t="s">
        <v>3476</v>
      </c>
      <c r="H1352" s="2" t="s">
        <v>100</v>
      </c>
      <c r="I1352" s="2" t="s">
        <v>25</v>
      </c>
      <c r="J1352" s="2" t="s">
        <v>101</v>
      </c>
      <c r="K1352" s="2" t="s">
        <v>92</v>
      </c>
      <c r="L1352" s="2" t="s">
        <v>93</v>
      </c>
      <c r="M1352" s="2" t="s">
        <v>84</v>
      </c>
      <c r="N1352" s="2" t="s">
        <v>30</v>
      </c>
      <c r="O1352" s="2" t="s">
        <v>56</v>
      </c>
      <c r="P1352" s="2" t="s">
        <v>85</v>
      </c>
      <c r="Q1352" s="2">
        <v>103.5</v>
      </c>
      <c r="R1352" s="2">
        <v>5</v>
      </c>
      <c r="S1352" s="2">
        <v>-77.625</v>
      </c>
      <c r="T1352" s="2" t="s">
        <v>70</v>
      </c>
      <c r="U1352" s="2" t="s">
        <v>195</v>
      </c>
    </row>
    <row r="1353" spans="1:21" ht="14.25" customHeight="1" x14ac:dyDescent="0.3">
      <c r="A1353" s="2" t="s">
        <v>3477</v>
      </c>
      <c r="B1353" s="5">
        <v>42947</v>
      </c>
      <c r="C1353" s="2" t="str">
        <f>TEXT(data[[#This Row],[Order Date]],"YYYY")</f>
        <v>2017</v>
      </c>
      <c r="D1353" s="2">
        <v>42950</v>
      </c>
      <c r="E1353" s="2" t="s">
        <v>87</v>
      </c>
      <c r="F1353" s="2" t="s">
        <v>3478</v>
      </c>
      <c r="G1353" s="2" t="s">
        <v>3479</v>
      </c>
      <c r="H1353" s="2" t="s">
        <v>24</v>
      </c>
      <c r="I1353" s="2" t="s">
        <v>25</v>
      </c>
      <c r="J1353" s="2" t="s">
        <v>328</v>
      </c>
      <c r="K1353" s="2" t="s">
        <v>53</v>
      </c>
      <c r="L1353" s="2" t="s">
        <v>54</v>
      </c>
      <c r="M1353" s="2" t="s">
        <v>1658</v>
      </c>
      <c r="N1353" s="2" t="s">
        <v>30</v>
      </c>
      <c r="O1353" s="2" t="s">
        <v>56</v>
      </c>
      <c r="P1353" s="2" t="s">
        <v>1659</v>
      </c>
      <c r="Q1353" s="2">
        <v>36.96</v>
      </c>
      <c r="R1353" s="2">
        <v>7</v>
      </c>
      <c r="S1353" s="2">
        <v>11.457599999999999</v>
      </c>
      <c r="T1353" s="2" t="s">
        <v>33</v>
      </c>
      <c r="U1353" s="2" t="s">
        <v>71</v>
      </c>
    </row>
    <row r="1354" spans="1:21" ht="14.25" customHeight="1" x14ac:dyDescent="0.3">
      <c r="A1354" s="2" t="s">
        <v>3480</v>
      </c>
      <c r="B1354" s="5">
        <v>42869</v>
      </c>
      <c r="C1354" s="2" t="str">
        <f>TEXT(data[[#This Row],[Order Date]],"YYYY")</f>
        <v>2017</v>
      </c>
      <c r="D1354" s="2">
        <v>42872</v>
      </c>
      <c r="E1354" s="2" t="s">
        <v>87</v>
      </c>
      <c r="F1354" s="2" t="s">
        <v>876</v>
      </c>
      <c r="G1354" s="2" t="s">
        <v>877</v>
      </c>
      <c r="H1354" s="2" t="s">
        <v>90</v>
      </c>
      <c r="I1354" s="2" t="s">
        <v>25</v>
      </c>
      <c r="J1354" s="2" t="s">
        <v>2754</v>
      </c>
      <c r="K1354" s="2" t="s">
        <v>1089</v>
      </c>
      <c r="L1354" s="2" t="s">
        <v>67</v>
      </c>
      <c r="M1354" s="2" t="s">
        <v>2578</v>
      </c>
      <c r="N1354" s="2" t="s">
        <v>30</v>
      </c>
      <c r="O1354" s="2" t="s">
        <v>36</v>
      </c>
      <c r="P1354" s="2" t="s">
        <v>2579</v>
      </c>
      <c r="Q1354" s="2">
        <v>261.95999999999998</v>
      </c>
      <c r="R1354" s="2">
        <v>2</v>
      </c>
      <c r="S1354" s="2">
        <v>23.5764</v>
      </c>
      <c r="T1354" s="2" t="s">
        <v>33</v>
      </c>
      <c r="U1354" s="2" t="s">
        <v>161</v>
      </c>
    </row>
    <row r="1355" spans="1:21" ht="14.25" customHeight="1" x14ac:dyDescent="0.3">
      <c r="A1355" s="2" t="s">
        <v>3481</v>
      </c>
      <c r="B1355" s="5">
        <v>42635</v>
      </c>
      <c r="C1355" s="2" t="str">
        <f>TEXT(data[[#This Row],[Order Date]],"YYYY")</f>
        <v>2016</v>
      </c>
      <c r="D1355" s="2">
        <v>42641</v>
      </c>
      <c r="E1355" s="2" t="s">
        <v>39</v>
      </c>
      <c r="F1355" s="2" t="s">
        <v>2824</v>
      </c>
      <c r="G1355" s="2" t="s">
        <v>2825</v>
      </c>
      <c r="H1355" s="2" t="s">
        <v>100</v>
      </c>
      <c r="I1355" s="2" t="s">
        <v>25</v>
      </c>
      <c r="J1355" s="2" t="s">
        <v>865</v>
      </c>
      <c r="K1355" s="2" t="s">
        <v>27</v>
      </c>
      <c r="L1355" s="2" t="s">
        <v>28</v>
      </c>
      <c r="M1355" s="2" t="s">
        <v>2326</v>
      </c>
      <c r="N1355" s="2" t="s">
        <v>30</v>
      </c>
      <c r="O1355" s="2" t="s">
        <v>56</v>
      </c>
      <c r="P1355" s="2" t="s">
        <v>2327</v>
      </c>
      <c r="Q1355" s="2">
        <v>13.28</v>
      </c>
      <c r="R1355" s="2">
        <v>2</v>
      </c>
      <c r="S1355" s="2">
        <v>6.3743999999999996</v>
      </c>
      <c r="T1355" s="2" t="s">
        <v>129</v>
      </c>
      <c r="U1355" s="2" t="s">
        <v>77</v>
      </c>
    </row>
    <row r="1356" spans="1:21" ht="14.25" customHeight="1" x14ac:dyDescent="0.3">
      <c r="A1356" s="2" t="s">
        <v>3482</v>
      </c>
      <c r="B1356" s="5">
        <v>42706</v>
      </c>
      <c r="C1356" s="2" t="str">
        <f>TEXT(data[[#This Row],[Order Date]],"YYYY")</f>
        <v>2016</v>
      </c>
      <c r="D1356" s="2">
        <v>42712</v>
      </c>
      <c r="E1356" s="2" t="s">
        <v>39</v>
      </c>
      <c r="F1356" s="2" t="s">
        <v>3396</v>
      </c>
      <c r="G1356" s="2" t="s">
        <v>3397</v>
      </c>
      <c r="H1356" s="2" t="s">
        <v>100</v>
      </c>
      <c r="I1356" s="2" t="s">
        <v>25</v>
      </c>
      <c r="J1356" s="2" t="s">
        <v>1644</v>
      </c>
      <c r="K1356" s="2" t="s">
        <v>1645</v>
      </c>
      <c r="L1356" s="2" t="s">
        <v>67</v>
      </c>
      <c r="M1356" s="2" t="s">
        <v>551</v>
      </c>
      <c r="N1356" s="2" t="s">
        <v>30</v>
      </c>
      <c r="O1356" s="2" t="s">
        <v>56</v>
      </c>
      <c r="P1356" s="2" t="s">
        <v>3125</v>
      </c>
      <c r="Q1356" s="2">
        <v>72.42</v>
      </c>
      <c r="R1356" s="2">
        <v>6</v>
      </c>
      <c r="S1356" s="2">
        <v>23.898599999999998</v>
      </c>
      <c r="T1356" s="2" t="s">
        <v>129</v>
      </c>
      <c r="U1356" s="2" t="s">
        <v>96</v>
      </c>
    </row>
    <row r="1357" spans="1:21" ht="14.25" customHeight="1" x14ac:dyDescent="0.3">
      <c r="A1357" s="2" t="s">
        <v>3483</v>
      </c>
      <c r="B1357" s="5">
        <v>41653</v>
      </c>
      <c r="C1357" s="2" t="str">
        <f>TEXT(data[[#This Row],[Order Date]],"YYYY")</f>
        <v>2014</v>
      </c>
      <c r="D1357" s="2">
        <v>41654</v>
      </c>
      <c r="E1357" s="2" t="s">
        <v>87</v>
      </c>
      <c r="F1357" s="2" t="s">
        <v>3484</v>
      </c>
      <c r="G1357" s="2" t="s">
        <v>3485</v>
      </c>
      <c r="H1357" s="2" t="s">
        <v>90</v>
      </c>
      <c r="I1357" s="2" t="s">
        <v>25</v>
      </c>
      <c r="J1357" s="2" t="s">
        <v>65</v>
      </c>
      <c r="K1357" s="2" t="s">
        <v>66</v>
      </c>
      <c r="L1357" s="2" t="s">
        <v>67</v>
      </c>
      <c r="M1357" s="2" t="s">
        <v>1175</v>
      </c>
      <c r="N1357" s="2" t="s">
        <v>30</v>
      </c>
      <c r="O1357" s="2" t="s">
        <v>31</v>
      </c>
      <c r="P1357" s="2" t="s">
        <v>1176</v>
      </c>
      <c r="Q1357" s="2">
        <v>61.96</v>
      </c>
      <c r="R1357" s="2">
        <v>4</v>
      </c>
      <c r="S1357" s="2">
        <v>-53.285600000000002</v>
      </c>
      <c r="T1357" s="2" t="s">
        <v>123</v>
      </c>
      <c r="U1357" s="2" t="s">
        <v>169</v>
      </c>
    </row>
    <row r="1358" spans="1:21" ht="14.25" customHeight="1" x14ac:dyDescent="0.3">
      <c r="A1358" s="2" t="s">
        <v>3486</v>
      </c>
      <c r="B1358" s="5">
        <v>42889</v>
      </c>
      <c r="C1358" s="2" t="str">
        <f>TEXT(data[[#This Row],[Order Date]],"YYYY")</f>
        <v>2017</v>
      </c>
      <c r="D1358" s="2">
        <v>42896</v>
      </c>
      <c r="E1358" s="2" t="s">
        <v>39</v>
      </c>
      <c r="F1358" s="2" t="s">
        <v>2936</v>
      </c>
      <c r="G1358" s="2" t="s">
        <v>2937</v>
      </c>
      <c r="H1358" s="2" t="s">
        <v>24</v>
      </c>
      <c r="I1358" s="2" t="s">
        <v>25</v>
      </c>
      <c r="J1358" s="2" t="s">
        <v>440</v>
      </c>
      <c r="K1358" s="2" t="s">
        <v>43</v>
      </c>
      <c r="L1358" s="2" t="s">
        <v>28</v>
      </c>
      <c r="M1358" s="2" t="s">
        <v>529</v>
      </c>
      <c r="N1358" s="2" t="s">
        <v>30</v>
      </c>
      <c r="O1358" s="2" t="s">
        <v>31</v>
      </c>
      <c r="P1358" s="2" t="s">
        <v>530</v>
      </c>
      <c r="Q1358" s="2">
        <v>241.56800000000001</v>
      </c>
      <c r="R1358" s="2">
        <v>2</v>
      </c>
      <c r="S1358" s="2">
        <v>0</v>
      </c>
      <c r="T1358" s="2" t="s">
        <v>47</v>
      </c>
      <c r="U1358" s="2" t="s">
        <v>59</v>
      </c>
    </row>
    <row r="1359" spans="1:21" ht="14.25" customHeight="1" x14ac:dyDescent="0.3">
      <c r="A1359" s="2" t="s">
        <v>3487</v>
      </c>
      <c r="B1359" s="5">
        <v>42889</v>
      </c>
      <c r="C1359" s="2" t="str">
        <f>TEXT(data[[#This Row],[Order Date]],"YYYY")</f>
        <v>2017</v>
      </c>
      <c r="D1359" s="2">
        <v>42895</v>
      </c>
      <c r="E1359" s="2" t="s">
        <v>39</v>
      </c>
      <c r="F1359" s="2" t="s">
        <v>3488</v>
      </c>
      <c r="G1359" s="2" t="s">
        <v>3489</v>
      </c>
      <c r="H1359" s="2" t="s">
        <v>90</v>
      </c>
      <c r="I1359" s="2" t="s">
        <v>25</v>
      </c>
      <c r="J1359" s="2" t="s">
        <v>173</v>
      </c>
      <c r="K1359" s="2" t="s">
        <v>120</v>
      </c>
      <c r="L1359" s="2" t="s">
        <v>67</v>
      </c>
      <c r="M1359" s="2" t="s">
        <v>1077</v>
      </c>
      <c r="N1359" s="2" t="s">
        <v>30</v>
      </c>
      <c r="O1359" s="2" t="s">
        <v>45</v>
      </c>
      <c r="P1359" s="2" t="s">
        <v>1078</v>
      </c>
      <c r="Q1359" s="2">
        <v>384.76799999999997</v>
      </c>
      <c r="R1359" s="2">
        <v>2</v>
      </c>
      <c r="S1359" s="2">
        <v>-115.43040000000001</v>
      </c>
      <c r="T1359" s="2" t="s">
        <v>129</v>
      </c>
      <c r="U1359" s="2" t="s">
        <v>59</v>
      </c>
    </row>
    <row r="1360" spans="1:21" ht="14.25" customHeight="1" x14ac:dyDescent="0.3">
      <c r="A1360" s="2" t="s">
        <v>3490</v>
      </c>
      <c r="B1360" s="5">
        <v>41897</v>
      </c>
      <c r="C1360" s="2" t="str">
        <f>TEXT(data[[#This Row],[Order Date]],"YYYY")</f>
        <v>2014</v>
      </c>
      <c r="D1360" s="2">
        <v>41901</v>
      </c>
      <c r="E1360" s="2" t="s">
        <v>39</v>
      </c>
      <c r="F1360" s="2" t="s">
        <v>2958</v>
      </c>
      <c r="G1360" s="2" t="s">
        <v>2959</v>
      </c>
      <c r="H1360" s="2" t="s">
        <v>90</v>
      </c>
      <c r="I1360" s="2" t="s">
        <v>25</v>
      </c>
      <c r="J1360" s="2" t="s">
        <v>65</v>
      </c>
      <c r="K1360" s="2" t="s">
        <v>66</v>
      </c>
      <c r="L1360" s="2" t="s">
        <v>67</v>
      </c>
      <c r="M1360" s="2" t="s">
        <v>756</v>
      </c>
      <c r="N1360" s="2" t="s">
        <v>30</v>
      </c>
      <c r="O1360" s="2" t="s">
        <v>56</v>
      </c>
      <c r="P1360" s="2" t="s">
        <v>757</v>
      </c>
      <c r="Q1360" s="2">
        <v>103.93600000000001</v>
      </c>
      <c r="R1360" s="2">
        <v>4</v>
      </c>
      <c r="S1360" s="2">
        <v>16.889600000000002</v>
      </c>
      <c r="T1360" s="2" t="s">
        <v>83</v>
      </c>
      <c r="U1360" s="2" t="s">
        <v>77</v>
      </c>
    </row>
    <row r="1361" spans="1:21" ht="14.25" customHeight="1" x14ac:dyDescent="0.3">
      <c r="A1361" s="2" t="s">
        <v>3491</v>
      </c>
      <c r="B1361" s="5">
        <v>42694</v>
      </c>
      <c r="C1361" s="2" t="str">
        <f>TEXT(data[[#This Row],[Order Date]],"YYYY")</f>
        <v>2016</v>
      </c>
      <c r="D1361" s="2">
        <v>42699</v>
      </c>
      <c r="E1361" s="2" t="s">
        <v>39</v>
      </c>
      <c r="F1361" s="2" t="s">
        <v>1535</v>
      </c>
      <c r="G1361" s="2" t="s">
        <v>1536</v>
      </c>
      <c r="H1361" s="2" t="s">
        <v>90</v>
      </c>
      <c r="I1361" s="2" t="s">
        <v>25</v>
      </c>
      <c r="J1361" s="2" t="s">
        <v>3492</v>
      </c>
      <c r="K1361" s="2" t="s">
        <v>43</v>
      </c>
      <c r="L1361" s="2" t="s">
        <v>28</v>
      </c>
      <c r="M1361" s="2" t="s">
        <v>277</v>
      </c>
      <c r="N1361" s="2" t="s">
        <v>30</v>
      </c>
      <c r="O1361" s="2" t="s">
        <v>31</v>
      </c>
      <c r="P1361" s="2" t="s">
        <v>278</v>
      </c>
      <c r="Q1361" s="2">
        <v>289.56799999999998</v>
      </c>
      <c r="R1361" s="2">
        <v>2</v>
      </c>
      <c r="S1361" s="2">
        <v>10.8588</v>
      </c>
      <c r="T1361" s="2" t="s">
        <v>58</v>
      </c>
      <c r="U1361" s="2" t="s">
        <v>34</v>
      </c>
    </row>
    <row r="1362" spans="1:21" ht="14.25" customHeight="1" x14ac:dyDescent="0.3">
      <c r="A1362" s="2" t="s">
        <v>3493</v>
      </c>
      <c r="B1362" s="5">
        <v>42209</v>
      </c>
      <c r="C1362" s="2" t="str">
        <f>TEXT(data[[#This Row],[Order Date]],"YYYY")</f>
        <v>2015</v>
      </c>
      <c r="D1362" s="2">
        <v>42213</v>
      </c>
      <c r="E1362" s="2" t="s">
        <v>39</v>
      </c>
      <c r="F1362" s="2" t="s">
        <v>3494</v>
      </c>
      <c r="G1362" s="2" t="s">
        <v>3495</v>
      </c>
      <c r="H1362" s="2" t="s">
        <v>100</v>
      </c>
      <c r="I1362" s="2" t="s">
        <v>25</v>
      </c>
      <c r="J1362" s="2" t="s">
        <v>865</v>
      </c>
      <c r="K1362" s="2" t="s">
        <v>27</v>
      </c>
      <c r="L1362" s="2" t="s">
        <v>28</v>
      </c>
      <c r="M1362" s="2" t="s">
        <v>55</v>
      </c>
      <c r="N1362" s="2" t="s">
        <v>30</v>
      </c>
      <c r="O1362" s="2" t="s">
        <v>56</v>
      </c>
      <c r="P1362" s="2" t="s">
        <v>57</v>
      </c>
      <c r="Q1362" s="2">
        <v>20.94</v>
      </c>
      <c r="R1362" s="2">
        <v>3</v>
      </c>
      <c r="S1362" s="2">
        <v>6.0726000000000004</v>
      </c>
      <c r="T1362" s="2" t="s">
        <v>83</v>
      </c>
      <c r="U1362" s="2" t="s">
        <v>71</v>
      </c>
    </row>
    <row r="1363" spans="1:21" ht="14.25" customHeight="1" x14ac:dyDescent="0.3">
      <c r="A1363" s="2" t="s">
        <v>3496</v>
      </c>
      <c r="B1363" s="5">
        <v>42652</v>
      </c>
      <c r="C1363" s="2" t="str">
        <f>TEXT(data[[#This Row],[Order Date]],"YYYY")</f>
        <v>2016</v>
      </c>
      <c r="D1363" s="2">
        <v>42654</v>
      </c>
      <c r="E1363" s="2" t="s">
        <v>21</v>
      </c>
      <c r="F1363" s="2" t="s">
        <v>3497</v>
      </c>
      <c r="G1363" s="2" t="s">
        <v>3498</v>
      </c>
      <c r="H1363" s="2" t="s">
        <v>90</v>
      </c>
      <c r="I1363" s="2" t="s">
        <v>25</v>
      </c>
      <c r="J1363" s="2" t="s">
        <v>65</v>
      </c>
      <c r="K1363" s="2" t="s">
        <v>66</v>
      </c>
      <c r="L1363" s="2" t="s">
        <v>67</v>
      </c>
      <c r="M1363" s="2" t="s">
        <v>717</v>
      </c>
      <c r="N1363" s="2" t="s">
        <v>30</v>
      </c>
      <c r="O1363" s="2" t="s">
        <v>56</v>
      </c>
      <c r="P1363" s="2" t="s">
        <v>718</v>
      </c>
      <c r="Q1363" s="2">
        <v>332.83199999999999</v>
      </c>
      <c r="R1363" s="2">
        <v>4</v>
      </c>
      <c r="S1363" s="2">
        <v>-24.962399999999999</v>
      </c>
      <c r="T1363" s="2" t="s">
        <v>70</v>
      </c>
      <c r="U1363" s="2" t="s">
        <v>48</v>
      </c>
    </row>
    <row r="1364" spans="1:21" ht="14.25" customHeight="1" x14ac:dyDescent="0.3">
      <c r="A1364" s="2" t="s">
        <v>3499</v>
      </c>
      <c r="B1364" s="5">
        <v>42993</v>
      </c>
      <c r="C1364" s="2" t="str">
        <f>TEXT(data[[#This Row],[Order Date]],"YYYY")</f>
        <v>2017</v>
      </c>
      <c r="D1364" s="2">
        <v>42997</v>
      </c>
      <c r="E1364" s="2" t="s">
        <v>39</v>
      </c>
      <c r="F1364" s="2" t="s">
        <v>1661</v>
      </c>
      <c r="G1364" s="2" t="s">
        <v>1662</v>
      </c>
      <c r="H1364" s="2" t="s">
        <v>24</v>
      </c>
      <c r="I1364" s="2" t="s">
        <v>25</v>
      </c>
      <c r="J1364" s="2" t="s">
        <v>328</v>
      </c>
      <c r="K1364" s="2" t="s">
        <v>53</v>
      </c>
      <c r="L1364" s="2" t="s">
        <v>54</v>
      </c>
      <c r="M1364" s="2" t="s">
        <v>1217</v>
      </c>
      <c r="N1364" s="2" t="s">
        <v>30</v>
      </c>
      <c r="O1364" s="2" t="s">
        <v>36</v>
      </c>
      <c r="P1364" s="2" t="s">
        <v>1218</v>
      </c>
      <c r="Q1364" s="2">
        <v>218.352</v>
      </c>
      <c r="R1364" s="2">
        <v>3</v>
      </c>
      <c r="S1364" s="2">
        <v>0</v>
      </c>
      <c r="T1364" s="2" t="s">
        <v>83</v>
      </c>
      <c r="U1364" s="2" t="s">
        <v>77</v>
      </c>
    </row>
    <row r="1365" spans="1:21" ht="14.25" customHeight="1" x14ac:dyDescent="0.3">
      <c r="A1365" s="2" t="s">
        <v>3499</v>
      </c>
      <c r="B1365" s="5">
        <v>42993</v>
      </c>
      <c r="C1365" s="2" t="str">
        <f>TEXT(data[[#This Row],[Order Date]],"YYYY")</f>
        <v>2017</v>
      </c>
      <c r="D1365" s="2">
        <v>42997</v>
      </c>
      <c r="E1365" s="2" t="s">
        <v>39</v>
      </c>
      <c r="F1365" s="2" t="s">
        <v>1661</v>
      </c>
      <c r="G1365" s="2" t="s">
        <v>1662</v>
      </c>
      <c r="H1365" s="2" t="s">
        <v>24</v>
      </c>
      <c r="I1365" s="2" t="s">
        <v>25</v>
      </c>
      <c r="J1365" s="2" t="s">
        <v>328</v>
      </c>
      <c r="K1365" s="2" t="s">
        <v>53</v>
      </c>
      <c r="L1365" s="2" t="s">
        <v>54</v>
      </c>
      <c r="M1365" s="2" t="s">
        <v>1391</v>
      </c>
      <c r="N1365" s="2" t="s">
        <v>30</v>
      </c>
      <c r="O1365" s="2" t="s">
        <v>56</v>
      </c>
      <c r="P1365" s="2" t="s">
        <v>1392</v>
      </c>
      <c r="Q1365" s="2">
        <v>529.9</v>
      </c>
      <c r="R1365" s="2">
        <v>5</v>
      </c>
      <c r="S1365" s="2">
        <v>105.98</v>
      </c>
      <c r="T1365" s="2" t="s">
        <v>83</v>
      </c>
      <c r="U1365" s="2" t="s">
        <v>77</v>
      </c>
    </row>
    <row r="1366" spans="1:21" ht="14.25" customHeight="1" x14ac:dyDescent="0.3">
      <c r="A1366" s="2" t="s">
        <v>3500</v>
      </c>
      <c r="B1366" s="5">
        <v>42751</v>
      </c>
      <c r="C1366" s="2" t="str">
        <f>TEXT(data[[#This Row],[Order Date]],"YYYY")</f>
        <v>2017</v>
      </c>
      <c r="D1366" s="2">
        <v>42753</v>
      </c>
      <c r="E1366" s="2" t="s">
        <v>21</v>
      </c>
      <c r="F1366" s="2" t="s">
        <v>2675</v>
      </c>
      <c r="G1366" s="2" t="s">
        <v>2676</v>
      </c>
      <c r="H1366" s="2" t="s">
        <v>24</v>
      </c>
      <c r="I1366" s="2" t="s">
        <v>25</v>
      </c>
      <c r="J1366" s="2" t="s">
        <v>477</v>
      </c>
      <c r="K1366" s="2" t="s">
        <v>289</v>
      </c>
      <c r="L1366" s="2" t="s">
        <v>93</v>
      </c>
      <c r="M1366" s="2" t="s">
        <v>3017</v>
      </c>
      <c r="N1366" s="2" t="s">
        <v>30</v>
      </c>
      <c r="O1366" s="2" t="s">
        <v>36</v>
      </c>
      <c r="P1366" s="2" t="s">
        <v>3018</v>
      </c>
      <c r="Q1366" s="2">
        <v>302.67</v>
      </c>
      <c r="R1366" s="2">
        <v>3</v>
      </c>
      <c r="S1366" s="2">
        <v>72.640799999999999</v>
      </c>
      <c r="T1366" s="2" t="s">
        <v>70</v>
      </c>
      <c r="U1366" s="2" t="s">
        <v>169</v>
      </c>
    </row>
    <row r="1367" spans="1:21" ht="14.25" customHeight="1" x14ac:dyDescent="0.3">
      <c r="A1367" s="2" t="s">
        <v>3501</v>
      </c>
      <c r="B1367" s="5">
        <v>41960</v>
      </c>
      <c r="C1367" s="2" t="str">
        <f>TEXT(data[[#This Row],[Order Date]],"YYYY")</f>
        <v>2014</v>
      </c>
      <c r="D1367" s="2">
        <v>41965</v>
      </c>
      <c r="E1367" s="2" t="s">
        <v>39</v>
      </c>
      <c r="F1367" s="2" t="s">
        <v>873</v>
      </c>
      <c r="G1367" s="2" t="s">
        <v>874</v>
      </c>
      <c r="H1367" s="2" t="s">
        <v>24</v>
      </c>
      <c r="I1367" s="2" t="s">
        <v>25</v>
      </c>
      <c r="J1367" s="2" t="s">
        <v>2954</v>
      </c>
      <c r="K1367" s="2" t="s">
        <v>120</v>
      </c>
      <c r="L1367" s="2" t="s">
        <v>67</v>
      </c>
      <c r="M1367" s="2" t="s">
        <v>1695</v>
      </c>
      <c r="N1367" s="2" t="s">
        <v>30</v>
      </c>
      <c r="O1367" s="2" t="s">
        <v>31</v>
      </c>
      <c r="P1367" s="2" t="s">
        <v>1696</v>
      </c>
      <c r="Q1367" s="2">
        <v>4007.84</v>
      </c>
      <c r="R1367" s="2">
        <v>10</v>
      </c>
      <c r="S1367" s="2">
        <v>-50.097999999999999</v>
      </c>
      <c r="T1367" s="2" t="s">
        <v>58</v>
      </c>
      <c r="U1367" s="2" t="s">
        <v>34</v>
      </c>
    </row>
    <row r="1368" spans="1:21" ht="14.25" customHeight="1" x14ac:dyDescent="0.3">
      <c r="A1368" s="2" t="s">
        <v>3502</v>
      </c>
      <c r="B1368" s="5">
        <v>41932</v>
      </c>
      <c r="C1368" s="2" t="str">
        <f>TEXT(data[[#This Row],[Order Date]],"YYYY")</f>
        <v>2014</v>
      </c>
      <c r="D1368" s="2">
        <v>41935</v>
      </c>
      <c r="E1368" s="2" t="s">
        <v>87</v>
      </c>
      <c r="F1368" s="2" t="s">
        <v>3267</v>
      </c>
      <c r="G1368" s="2" t="s">
        <v>3268</v>
      </c>
      <c r="H1368" s="2" t="s">
        <v>90</v>
      </c>
      <c r="I1368" s="2" t="s">
        <v>25</v>
      </c>
      <c r="J1368" s="2" t="s">
        <v>3124</v>
      </c>
      <c r="K1368" s="2" t="s">
        <v>141</v>
      </c>
      <c r="L1368" s="2" t="s">
        <v>28</v>
      </c>
      <c r="M1368" s="2" t="s">
        <v>1234</v>
      </c>
      <c r="N1368" s="2" t="s">
        <v>30</v>
      </c>
      <c r="O1368" s="2" t="s">
        <v>45</v>
      </c>
      <c r="P1368" s="2" t="s">
        <v>1235</v>
      </c>
      <c r="Q1368" s="2">
        <v>328.59</v>
      </c>
      <c r="R1368" s="2">
        <v>3</v>
      </c>
      <c r="S1368" s="2">
        <v>-147.8655</v>
      </c>
      <c r="T1368" s="2" t="s">
        <v>33</v>
      </c>
      <c r="U1368" s="2" t="s">
        <v>48</v>
      </c>
    </row>
    <row r="1369" spans="1:21" ht="14.25" customHeight="1" x14ac:dyDescent="0.3">
      <c r="A1369" s="2" t="s">
        <v>3503</v>
      </c>
      <c r="B1369" s="5">
        <v>42302</v>
      </c>
      <c r="C1369" s="2" t="str">
        <f>TEXT(data[[#This Row],[Order Date]],"YYYY")</f>
        <v>2015</v>
      </c>
      <c r="D1369" s="2">
        <v>42307</v>
      </c>
      <c r="E1369" s="2" t="s">
        <v>39</v>
      </c>
      <c r="F1369" s="2" t="s">
        <v>269</v>
      </c>
      <c r="G1369" s="2" t="s">
        <v>270</v>
      </c>
      <c r="H1369" s="2" t="s">
        <v>90</v>
      </c>
      <c r="I1369" s="2" t="s">
        <v>25</v>
      </c>
      <c r="J1369" s="2" t="s">
        <v>230</v>
      </c>
      <c r="K1369" s="2" t="s">
        <v>200</v>
      </c>
      <c r="L1369" s="2" t="s">
        <v>67</v>
      </c>
      <c r="M1369" s="2" t="s">
        <v>1892</v>
      </c>
      <c r="N1369" s="2" t="s">
        <v>30</v>
      </c>
      <c r="O1369" s="2" t="s">
        <v>36</v>
      </c>
      <c r="P1369" s="2" t="s">
        <v>1893</v>
      </c>
      <c r="Q1369" s="2">
        <v>291.10000000000002</v>
      </c>
      <c r="R1369" s="2">
        <v>5</v>
      </c>
      <c r="S1369" s="2">
        <v>75.686000000000007</v>
      </c>
      <c r="T1369" s="2" t="s">
        <v>58</v>
      </c>
      <c r="U1369" s="2" t="s">
        <v>48</v>
      </c>
    </row>
    <row r="1370" spans="1:21" ht="14.25" customHeight="1" x14ac:dyDescent="0.3">
      <c r="A1370" s="2" t="s">
        <v>3504</v>
      </c>
      <c r="B1370" s="5">
        <v>43055</v>
      </c>
      <c r="C1370" s="2" t="str">
        <f>TEXT(data[[#This Row],[Order Date]],"YYYY")</f>
        <v>2017</v>
      </c>
      <c r="D1370" s="2">
        <v>43058</v>
      </c>
      <c r="E1370" s="2" t="s">
        <v>87</v>
      </c>
      <c r="F1370" s="2" t="s">
        <v>1152</v>
      </c>
      <c r="G1370" s="2" t="s">
        <v>1153</v>
      </c>
      <c r="H1370" s="2" t="s">
        <v>24</v>
      </c>
      <c r="I1370" s="2" t="s">
        <v>25</v>
      </c>
      <c r="J1370" s="2" t="s">
        <v>191</v>
      </c>
      <c r="K1370" s="2" t="s">
        <v>192</v>
      </c>
      <c r="L1370" s="2" t="s">
        <v>54</v>
      </c>
      <c r="M1370" s="2" t="s">
        <v>725</v>
      </c>
      <c r="N1370" s="2" t="s">
        <v>30</v>
      </c>
      <c r="O1370" s="2" t="s">
        <v>56</v>
      </c>
      <c r="P1370" s="2" t="s">
        <v>726</v>
      </c>
      <c r="Q1370" s="2">
        <v>139.91999999999999</v>
      </c>
      <c r="R1370" s="2">
        <v>2</v>
      </c>
      <c r="S1370" s="2">
        <v>23.7864</v>
      </c>
      <c r="T1370" s="2" t="s">
        <v>33</v>
      </c>
      <c r="U1370" s="2" t="s">
        <v>34</v>
      </c>
    </row>
    <row r="1371" spans="1:21" ht="14.25" customHeight="1" x14ac:dyDescent="0.3">
      <c r="A1371" s="2" t="s">
        <v>3505</v>
      </c>
      <c r="B1371" s="5">
        <v>41699</v>
      </c>
      <c r="C1371" s="2" t="str">
        <f>TEXT(data[[#This Row],[Order Date]],"YYYY")</f>
        <v>2014</v>
      </c>
      <c r="D1371" s="2">
        <v>41703</v>
      </c>
      <c r="E1371" s="2" t="s">
        <v>39</v>
      </c>
      <c r="F1371" s="2" t="s">
        <v>2861</v>
      </c>
      <c r="G1371" s="2" t="s">
        <v>2862</v>
      </c>
      <c r="H1371" s="2" t="s">
        <v>100</v>
      </c>
      <c r="I1371" s="2" t="s">
        <v>25</v>
      </c>
      <c r="J1371" s="2" t="s">
        <v>3506</v>
      </c>
      <c r="K1371" s="2" t="s">
        <v>134</v>
      </c>
      <c r="L1371" s="2" t="s">
        <v>93</v>
      </c>
      <c r="M1371" s="2" t="s">
        <v>159</v>
      </c>
      <c r="N1371" s="2" t="s">
        <v>30</v>
      </c>
      <c r="O1371" s="2" t="s">
        <v>36</v>
      </c>
      <c r="P1371" s="2" t="s">
        <v>160</v>
      </c>
      <c r="Q1371" s="2">
        <v>634.11599999999999</v>
      </c>
      <c r="R1371" s="2">
        <v>6</v>
      </c>
      <c r="S1371" s="2">
        <v>-172.1172</v>
      </c>
      <c r="T1371" s="2" t="s">
        <v>83</v>
      </c>
      <c r="U1371" s="2" t="s">
        <v>195</v>
      </c>
    </row>
    <row r="1372" spans="1:21" ht="14.25" customHeight="1" x14ac:dyDescent="0.3">
      <c r="A1372" s="2" t="s">
        <v>3507</v>
      </c>
      <c r="B1372" s="5">
        <v>42215</v>
      </c>
      <c r="C1372" s="2" t="str">
        <f>TEXT(data[[#This Row],[Order Date]],"YYYY")</f>
        <v>2015</v>
      </c>
      <c r="D1372" s="2">
        <v>42217</v>
      </c>
      <c r="E1372" s="2" t="s">
        <v>87</v>
      </c>
      <c r="F1372" s="2" t="s">
        <v>2599</v>
      </c>
      <c r="G1372" s="2" t="s">
        <v>2600</v>
      </c>
      <c r="H1372" s="2" t="s">
        <v>100</v>
      </c>
      <c r="I1372" s="2" t="s">
        <v>25</v>
      </c>
      <c r="J1372" s="2" t="s">
        <v>324</v>
      </c>
      <c r="K1372" s="2" t="s">
        <v>166</v>
      </c>
      <c r="L1372" s="2" t="s">
        <v>93</v>
      </c>
      <c r="M1372" s="2" t="s">
        <v>1003</v>
      </c>
      <c r="N1372" s="2" t="s">
        <v>30</v>
      </c>
      <c r="O1372" s="2" t="s">
        <v>36</v>
      </c>
      <c r="P1372" s="2" t="s">
        <v>1004</v>
      </c>
      <c r="Q1372" s="2">
        <v>155.88</v>
      </c>
      <c r="R1372" s="2">
        <v>6</v>
      </c>
      <c r="S1372" s="2">
        <v>38.97</v>
      </c>
      <c r="T1372" s="2" t="s">
        <v>70</v>
      </c>
      <c r="U1372" s="2" t="s">
        <v>71</v>
      </c>
    </row>
    <row r="1373" spans="1:21" ht="14.25" customHeight="1" x14ac:dyDescent="0.3">
      <c r="A1373" s="2" t="s">
        <v>3508</v>
      </c>
      <c r="B1373" s="5">
        <v>42309</v>
      </c>
      <c r="C1373" s="2" t="str">
        <f>TEXT(data[[#This Row],[Order Date]],"YYYY")</f>
        <v>2015</v>
      </c>
      <c r="D1373" s="2">
        <v>42311</v>
      </c>
      <c r="E1373" s="2" t="s">
        <v>21</v>
      </c>
      <c r="F1373" s="2" t="s">
        <v>2257</v>
      </c>
      <c r="G1373" s="2" t="s">
        <v>2258</v>
      </c>
      <c r="H1373" s="2" t="s">
        <v>24</v>
      </c>
      <c r="I1373" s="2" t="s">
        <v>25</v>
      </c>
      <c r="J1373" s="2" t="s">
        <v>173</v>
      </c>
      <c r="K1373" s="2" t="s">
        <v>120</v>
      </c>
      <c r="L1373" s="2" t="s">
        <v>67</v>
      </c>
      <c r="M1373" s="2" t="s">
        <v>2180</v>
      </c>
      <c r="N1373" s="2" t="s">
        <v>30</v>
      </c>
      <c r="O1373" s="2" t="s">
        <v>36</v>
      </c>
      <c r="P1373" s="2" t="s">
        <v>2181</v>
      </c>
      <c r="Q1373" s="2">
        <v>327.56400000000002</v>
      </c>
      <c r="R1373" s="2">
        <v>4</v>
      </c>
      <c r="S1373" s="2">
        <v>21.837599999999998</v>
      </c>
      <c r="T1373" s="2" t="s">
        <v>70</v>
      </c>
      <c r="U1373" s="2" t="s">
        <v>34</v>
      </c>
    </row>
    <row r="1374" spans="1:21" ht="14.25" customHeight="1" x14ac:dyDescent="0.3">
      <c r="A1374" s="2" t="s">
        <v>3509</v>
      </c>
      <c r="B1374" s="5">
        <v>42160</v>
      </c>
      <c r="C1374" s="2" t="str">
        <f>TEXT(data[[#This Row],[Order Date]],"YYYY")</f>
        <v>2015</v>
      </c>
      <c r="D1374" s="2">
        <v>42165</v>
      </c>
      <c r="E1374" s="2" t="s">
        <v>39</v>
      </c>
      <c r="F1374" s="2" t="s">
        <v>2381</v>
      </c>
      <c r="G1374" s="2" t="s">
        <v>2382</v>
      </c>
      <c r="H1374" s="2" t="s">
        <v>90</v>
      </c>
      <c r="I1374" s="2" t="s">
        <v>25</v>
      </c>
      <c r="J1374" s="2" t="s">
        <v>2954</v>
      </c>
      <c r="K1374" s="2" t="s">
        <v>120</v>
      </c>
      <c r="L1374" s="2" t="s">
        <v>67</v>
      </c>
      <c r="M1374" s="2" t="s">
        <v>625</v>
      </c>
      <c r="N1374" s="2" t="s">
        <v>30</v>
      </c>
      <c r="O1374" s="2" t="s">
        <v>36</v>
      </c>
      <c r="P1374" s="2" t="s">
        <v>626</v>
      </c>
      <c r="Q1374" s="2">
        <v>1522.6379999999999</v>
      </c>
      <c r="R1374" s="2">
        <v>9</v>
      </c>
      <c r="S1374" s="2">
        <v>169.18199999999999</v>
      </c>
      <c r="T1374" s="2" t="s">
        <v>58</v>
      </c>
      <c r="U1374" s="2" t="s">
        <v>59</v>
      </c>
    </row>
    <row r="1375" spans="1:21" ht="14.25" customHeight="1" x14ac:dyDescent="0.3">
      <c r="A1375" s="2" t="s">
        <v>3510</v>
      </c>
      <c r="B1375" s="5">
        <v>41766</v>
      </c>
      <c r="C1375" s="2" t="str">
        <f>TEXT(data[[#This Row],[Order Date]],"YYYY")</f>
        <v>2014</v>
      </c>
      <c r="D1375" s="2">
        <v>41771</v>
      </c>
      <c r="E1375" s="2" t="s">
        <v>39</v>
      </c>
      <c r="F1375" s="2" t="s">
        <v>1648</v>
      </c>
      <c r="G1375" s="2" t="s">
        <v>1649</v>
      </c>
      <c r="H1375" s="2" t="s">
        <v>24</v>
      </c>
      <c r="I1375" s="2" t="s">
        <v>25</v>
      </c>
      <c r="J1375" s="2" t="s">
        <v>471</v>
      </c>
      <c r="K1375" s="2" t="s">
        <v>434</v>
      </c>
      <c r="L1375" s="2" t="s">
        <v>67</v>
      </c>
      <c r="M1375" s="2" t="s">
        <v>2566</v>
      </c>
      <c r="N1375" s="2" t="s">
        <v>30</v>
      </c>
      <c r="O1375" s="2" t="s">
        <v>45</v>
      </c>
      <c r="P1375" s="2" t="s">
        <v>2567</v>
      </c>
      <c r="Q1375" s="2">
        <v>194.25</v>
      </c>
      <c r="R1375" s="2">
        <v>2</v>
      </c>
      <c r="S1375" s="2">
        <v>-38.85</v>
      </c>
      <c r="T1375" s="2" t="s">
        <v>58</v>
      </c>
      <c r="U1375" s="2" t="s">
        <v>161</v>
      </c>
    </row>
    <row r="1376" spans="1:21" ht="14.25" customHeight="1" x14ac:dyDescent="0.3">
      <c r="A1376" s="2" t="s">
        <v>3510</v>
      </c>
      <c r="B1376" s="5">
        <v>41766</v>
      </c>
      <c r="C1376" s="2" t="str">
        <f>TEXT(data[[#This Row],[Order Date]],"YYYY")</f>
        <v>2014</v>
      </c>
      <c r="D1376" s="2">
        <v>41771</v>
      </c>
      <c r="E1376" s="2" t="s">
        <v>39</v>
      </c>
      <c r="F1376" s="2" t="s">
        <v>1648</v>
      </c>
      <c r="G1376" s="2" t="s">
        <v>1649</v>
      </c>
      <c r="H1376" s="2" t="s">
        <v>24</v>
      </c>
      <c r="I1376" s="2" t="s">
        <v>25</v>
      </c>
      <c r="J1376" s="2" t="s">
        <v>471</v>
      </c>
      <c r="K1376" s="2" t="s">
        <v>434</v>
      </c>
      <c r="L1376" s="2" t="s">
        <v>67</v>
      </c>
      <c r="M1376" s="2" t="s">
        <v>816</v>
      </c>
      <c r="N1376" s="2" t="s">
        <v>30</v>
      </c>
      <c r="O1376" s="2" t="s">
        <v>36</v>
      </c>
      <c r="P1376" s="2" t="s">
        <v>817</v>
      </c>
      <c r="Q1376" s="2">
        <v>872.32</v>
      </c>
      <c r="R1376" s="2">
        <v>4</v>
      </c>
      <c r="S1376" s="2">
        <v>244.24959999999999</v>
      </c>
      <c r="T1376" s="2" t="s">
        <v>58</v>
      </c>
      <c r="U1376" s="2" t="s">
        <v>161</v>
      </c>
    </row>
    <row r="1377" spans="1:21" ht="14.25" customHeight="1" x14ac:dyDescent="0.3">
      <c r="A1377" s="2" t="s">
        <v>3511</v>
      </c>
      <c r="B1377" s="5">
        <v>41747</v>
      </c>
      <c r="C1377" s="2" t="str">
        <f>TEXT(data[[#This Row],[Order Date]],"YYYY")</f>
        <v>2014</v>
      </c>
      <c r="D1377" s="2">
        <v>41751</v>
      </c>
      <c r="E1377" s="2" t="s">
        <v>39</v>
      </c>
      <c r="F1377" s="2" t="s">
        <v>125</v>
      </c>
      <c r="G1377" s="2" t="s">
        <v>126</v>
      </c>
      <c r="H1377" s="2" t="s">
        <v>24</v>
      </c>
      <c r="I1377" s="2" t="s">
        <v>25</v>
      </c>
      <c r="J1377" s="2" t="s">
        <v>101</v>
      </c>
      <c r="K1377" s="2" t="s">
        <v>92</v>
      </c>
      <c r="L1377" s="2" t="s">
        <v>93</v>
      </c>
      <c r="M1377" s="2" t="s">
        <v>394</v>
      </c>
      <c r="N1377" s="2" t="s">
        <v>30</v>
      </c>
      <c r="O1377" s="2" t="s">
        <v>36</v>
      </c>
      <c r="P1377" s="2" t="s">
        <v>395</v>
      </c>
      <c r="Q1377" s="2">
        <v>317.05799999999999</v>
      </c>
      <c r="R1377" s="2">
        <v>3</v>
      </c>
      <c r="S1377" s="2">
        <v>-18.117599999999999</v>
      </c>
      <c r="T1377" s="2" t="s">
        <v>83</v>
      </c>
      <c r="U1377" s="2" t="s">
        <v>113</v>
      </c>
    </row>
    <row r="1378" spans="1:21" ht="14.25" customHeight="1" x14ac:dyDescent="0.3">
      <c r="A1378" s="2" t="s">
        <v>3512</v>
      </c>
      <c r="B1378" s="5">
        <v>42797</v>
      </c>
      <c r="C1378" s="2" t="str">
        <f>TEXT(data[[#This Row],[Order Date]],"YYYY")</f>
        <v>2017</v>
      </c>
      <c r="D1378" s="2">
        <v>42802</v>
      </c>
      <c r="E1378" s="2" t="s">
        <v>39</v>
      </c>
      <c r="F1378" s="2" t="s">
        <v>2564</v>
      </c>
      <c r="G1378" s="2" t="s">
        <v>2565</v>
      </c>
      <c r="H1378" s="2" t="s">
        <v>24</v>
      </c>
      <c r="I1378" s="2" t="s">
        <v>25</v>
      </c>
      <c r="J1378" s="2" t="s">
        <v>52</v>
      </c>
      <c r="K1378" s="2" t="s">
        <v>53</v>
      </c>
      <c r="L1378" s="2" t="s">
        <v>54</v>
      </c>
      <c r="M1378" s="2" t="s">
        <v>121</v>
      </c>
      <c r="N1378" s="2" t="s">
        <v>30</v>
      </c>
      <c r="O1378" s="2" t="s">
        <v>36</v>
      </c>
      <c r="P1378" s="2" t="s">
        <v>122</v>
      </c>
      <c r="Q1378" s="2">
        <v>170.352</v>
      </c>
      <c r="R1378" s="2">
        <v>3</v>
      </c>
      <c r="S1378" s="2">
        <v>-17.0352</v>
      </c>
      <c r="T1378" s="2" t="s">
        <v>58</v>
      </c>
      <c r="U1378" s="2" t="s">
        <v>195</v>
      </c>
    </row>
    <row r="1379" spans="1:21" ht="14.25" customHeight="1" x14ac:dyDescent="0.3">
      <c r="A1379" s="2" t="s">
        <v>3513</v>
      </c>
      <c r="B1379" s="5">
        <v>42665</v>
      </c>
      <c r="C1379" s="2" t="str">
        <f>TEXT(data[[#This Row],[Order Date]],"YYYY")</f>
        <v>2016</v>
      </c>
      <c r="D1379" s="2">
        <v>42665</v>
      </c>
      <c r="E1379" s="2" t="s">
        <v>425</v>
      </c>
      <c r="F1379" s="2" t="s">
        <v>2070</v>
      </c>
      <c r="G1379" s="2" t="s">
        <v>2071</v>
      </c>
      <c r="H1379" s="2" t="s">
        <v>24</v>
      </c>
      <c r="I1379" s="2" t="s">
        <v>25</v>
      </c>
      <c r="J1379" s="2" t="s">
        <v>191</v>
      </c>
      <c r="K1379" s="2" t="s">
        <v>192</v>
      </c>
      <c r="L1379" s="2" t="s">
        <v>54</v>
      </c>
      <c r="M1379" s="2" t="s">
        <v>3514</v>
      </c>
      <c r="N1379" s="2" t="s">
        <v>30</v>
      </c>
      <c r="O1379" s="2" t="s">
        <v>56</v>
      </c>
      <c r="P1379" s="2" t="s">
        <v>3515</v>
      </c>
      <c r="Q1379" s="2">
        <v>101.94</v>
      </c>
      <c r="R1379" s="2">
        <v>3</v>
      </c>
      <c r="S1379" s="2">
        <v>30.582000000000001</v>
      </c>
      <c r="T1379" s="2" t="s">
        <v>430</v>
      </c>
      <c r="U1379" s="2" t="s">
        <v>48</v>
      </c>
    </row>
    <row r="1380" spans="1:21" ht="14.25" customHeight="1" x14ac:dyDescent="0.3">
      <c r="A1380" s="2" t="s">
        <v>3516</v>
      </c>
      <c r="B1380" s="5">
        <v>42937</v>
      </c>
      <c r="C1380" s="2" t="str">
        <f>TEXT(data[[#This Row],[Order Date]],"YYYY")</f>
        <v>2017</v>
      </c>
      <c r="D1380" s="2">
        <v>42943</v>
      </c>
      <c r="E1380" s="2" t="s">
        <v>39</v>
      </c>
      <c r="F1380" s="2" t="s">
        <v>1639</v>
      </c>
      <c r="G1380" s="2" t="s">
        <v>1640</v>
      </c>
      <c r="H1380" s="2" t="s">
        <v>24</v>
      </c>
      <c r="I1380" s="2" t="s">
        <v>25</v>
      </c>
      <c r="J1380" s="2" t="s">
        <v>3233</v>
      </c>
      <c r="K1380" s="2" t="s">
        <v>716</v>
      </c>
      <c r="L1380" s="2" t="s">
        <v>28</v>
      </c>
      <c r="M1380" s="2" t="s">
        <v>337</v>
      </c>
      <c r="N1380" s="2" t="s">
        <v>30</v>
      </c>
      <c r="O1380" s="2" t="s">
        <v>56</v>
      </c>
      <c r="P1380" s="2" t="s">
        <v>338</v>
      </c>
      <c r="Q1380" s="2">
        <v>8.8000000000000007</v>
      </c>
      <c r="R1380" s="2">
        <v>5</v>
      </c>
      <c r="S1380" s="2">
        <v>3.8719999999999999</v>
      </c>
      <c r="T1380" s="2" t="s">
        <v>129</v>
      </c>
      <c r="U1380" s="2" t="s">
        <v>71</v>
      </c>
    </row>
    <row r="1381" spans="1:21" ht="14.25" customHeight="1" x14ac:dyDescent="0.3">
      <c r="A1381" s="2" t="s">
        <v>3516</v>
      </c>
      <c r="B1381" s="5">
        <v>42937</v>
      </c>
      <c r="C1381" s="2" t="str">
        <f>TEXT(data[[#This Row],[Order Date]],"YYYY")</f>
        <v>2017</v>
      </c>
      <c r="D1381" s="2">
        <v>42943</v>
      </c>
      <c r="E1381" s="2" t="s">
        <v>39</v>
      </c>
      <c r="F1381" s="2" t="s">
        <v>1639</v>
      </c>
      <c r="G1381" s="2" t="s">
        <v>1640</v>
      </c>
      <c r="H1381" s="2" t="s">
        <v>24</v>
      </c>
      <c r="I1381" s="2" t="s">
        <v>25</v>
      </c>
      <c r="J1381" s="2" t="s">
        <v>3233</v>
      </c>
      <c r="K1381" s="2" t="s">
        <v>716</v>
      </c>
      <c r="L1381" s="2" t="s">
        <v>28</v>
      </c>
      <c r="M1381" s="2" t="s">
        <v>898</v>
      </c>
      <c r="N1381" s="2" t="s">
        <v>30</v>
      </c>
      <c r="O1381" s="2" t="s">
        <v>31</v>
      </c>
      <c r="P1381" s="2" t="s">
        <v>899</v>
      </c>
      <c r="Q1381" s="2">
        <v>302.94</v>
      </c>
      <c r="R1381" s="2">
        <v>3</v>
      </c>
      <c r="S1381" s="2">
        <v>69.676199999999994</v>
      </c>
      <c r="T1381" s="2" t="s">
        <v>129</v>
      </c>
      <c r="U1381" s="2" t="s">
        <v>71</v>
      </c>
    </row>
    <row r="1382" spans="1:21" ht="14.25" customHeight="1" x14ac:dyDescent="0.3">
      <c r="A1382" s="2" t="s">
        <v>3517</v>
      </c>
      <c r="B1382" s="5">
        <v>41975</v>
      </c>
      <c r="C1382" s="2" t="str">
        <f>TEXT(data[[#This Row],[Order Date]],"YYYY")</f>
        <v>2014</v>
      </c>
      <c r="D1382" s="2">
        <v>41980</v>
      </c>
      <c r="E1382" s="2" t="s">
        <v>39</v>
      </c>
      <c r="F1382" s="2" t="s">
        <v>3518</v>
      </c>
      <c r="G1382" s="2" t="s">
        <v>3519</v>
      </c>
      <c r="H1382" s="2" t="s">
        <v>90</v>
      </c>
      <c r="I1382" s="2" t="s">
        <v>25</v>
      </c>
      <c r="J1382" s="2" t="s">
        <v>2522</v>
      </c>
      <c r="K1382" s="2" t="s">
        <v>1089</v>
      </c>
      <c r="L1382" s="2" t="s">
        <v>67</v>
      </c>
      <c r="M1382" s="2" t="s">
        <v>648</v>
      </c>
      <c r="N1382" s="2" t="s">
        <v>30</v>
      </c>
      <c r="O1382" s="2" t="s">
        <v>56</v>
      </c>
      <c r="P1382" s="2" t="s">
        <v>649</v>
      </c>
      <c r="Q1382" s="2">
        <v>60.72</v>
      </c>
      <c r="R1382" s="2">
        <v>3</v>
      </c>
      <c r="S1382" s="2">
        <v>23.680800000000001</v>
      </c>
      <c r="T1382" s="2" t="s">
        <v>58</v>
      </c>
      <c r="U1382" s="2" t="s">
        <v>96</v>
      </c>
    </row>
    <row r="1383" spans="1:21" ht="14.25" customHeight="1" x14ac:dyDescent="0.3">
      <c r="A1383" s="2" t="s">
        <v>3517</v>
      </c>
      <c r="B1383" s="5">
        <v>41975</v>
      </c>
      <c r="C1383" s="2" t="str">
        <f>TEXT(data[[#This Row],[Order Date]],"YYYY")</f>
        <v>2014</v>
      </c>
      <c r="D1383" s="2">
        <v>41980</v>
      </c>
      <c r="E1383" s="2" t="s">
        <v>39</v>
      </c>
      <c r="F1383" s="2" t="s">
        <v>3518</v>
      </c>
      <c r="G1383" s="2" t="s">
        <v>3519</v>
      </c>
      <c r="H1383" s="2" t="s">
        <v>90</v>
      </c>
      <c r="I1383" s="2" t="s">
        <v>25</v>
      </c>
      <c r="J1383" s="2" t="s">
        <v>2522</v>
      </c>
      <c r="K1383" s="2" t="s">
        <v>1089</v>
      </c>
      <c r="L1383" s="2" t="s">
        <v>67</v>
      </c>
      <c r="M1383" s="2" t="s">
        <v>1513</v>
      </c>
      <c r="N1383" s="2" t="s">
        <v>30</v>
      </c>
      <c r="O1383" s="2" t="s">
        <v>36</v>
      </c>
      <c r="P1383" s="2" t="s">
        <v>1514</v>
      </c>
      <c r="Q1383" s="2">
        <v>239.84</v>
      </c>
      <c r="R1383" s="2">
        <v>8</v>
      </c>
      <c r="S1383" s="2">
        <v>64.756799999999998</v>
      </c>
      <c r="T1383" s="2" t="s">
        <v>58</v>
      </c>
      <c r="U1383" s="2" t="s">
        <v>96</v>
      </c>
    </row>
    <row r="1384" spans="1:21" ht="14.25" customHeight="1" x14ac:dyDescent="0.3">
      <c r="A1384" s="2" t="s">
        <v>3520</v>
      </c>
      <c r="B1384" s="5">
        <v>42516</v>
      </c>
      <c r="C1384" s="2" t="str">
        <f>TEXT(data[[#This Row],[Order Date]],"YYYY")</f>
        <v>2016</v>
      </c>
      <c r="D1384" s="2">
        <v>42521</v>
      </c>
      <c r="E1384" s="2" t="s">
        <v>39</v>
      </c>
      <c r="F1384" s="2" t="s">
        <v>2917</v>
      </c>
      <c r="G1384" s="2" t="s">
        <v>2918</v>
      </c>
      <c r="H1384" s="2" t="s">
        <v>24</v>
      </c>
      <c r="I1384" s="2" t="s">
        <v>25</v>
      </c>
      <c r="J1384" s="2" t="s">
        <v>849</v>
      </c>
      <c r="K1384" s="2" t="s">
        <v>53</v>
      </c>
      <c r="L1384" s="2" t="s">
        <v>54</v>
      </c>
      <c r="M1384" s="2" t="s">
        <v>295</v>
      </c>
      <c r="N1384" s="2" t="s">
        <v>30</v>
      </c>
      <c r="O1384" s="2" t="s">
        <v>36</v>
      </c>
      <c r="P1384" s="2" t="s">
        <v>296</v>
      </c>
      <c r="Q1384" s="2">
        <v>484.70400000000001</v>
      </c>
      <c r="R1384" s="2">
        <v>6</v>
      </c>
      <c r="S1384" s="2">
        <v>-84.8232</v>
      </c>
      <c r="T1384" s="2" t="s">
        <v>58</v>
      </c>
      <c r="U1384" s="2" t="s">
        <v>161</v>
      </c>
    </row>
    <row r="1385" spans="1:21" ht="14.25" customHeight="1" x14ac:dyDescent="0.3">
      <c r="A1385" s="2" t="s">
        <v>3521</v>
      </c>
      <c r="B1385" s="5">
        <v>42115</v>
      </c>
      <c r="C1385" s="2" t="str">
        <f>TEXT(data[[#This Row],[Order Date]],"YYYY")</f>
        <v>2015</v>
      </c>
      <c r="D1385" s="2">
        <v>42122</v>
      </c>
      <c r="E1385" s="2" t="s">
        <v>39</v>
      </c>
      <c r="F1385" s="2" t="s">
        <v>3275</v>
      </c>
      <c r="G1385" s="2" t="s">
        <v>3276</v>
      </c>
      <c r="H1385" s="2" t="s">
        <v>24</v>
      </c>
      <c r="I1385" s="2" t="s">
        <v>25</v>
      </c>
      <c r="J1385" s="2" t="s">
        <v>865</v>
      </c>
      <c r="K1385" s="2" t="s">
        <v>27</v>
      </c>
      <c r="L1385" s="2" t="s">
        <v>28</v>
      </c>
      <c r="M1385" s="2" t="s">
        <v>356</v>
      </c>
      <c r="N1385" s="2" t="s">
        <v>30</v>
      </c>
      <c r="O1385" s="2" t="s">
        <v>36</v>
      </c>
      <c r="P1385" s="2" t="s">
        <v>357</v>
      </c>
      <c r="Q1385" s="2">
        <v>191.96</v>
      </c>
      <c r="R1385" s="2">
        <v>2</v>
      </c>
      <c r="S1385" s="2">
        <v>51.8292</v>
      </c>
      <c r="T1385" s="2" t="s">
        <v>47</v>
      </c>
      <c r="U1385" s="2" t="s">
        <v>113</v>
      </c>
    </row>
    <row r="1386" spans="1:21" ht="14.25" customHeight="1" x14ac:dyDescent="0.3">
      <c r="A1386" s="2" t="s">
        <v>3521</v>
      </c>
      <c r="B1386" s="5">
        <v>42115</v>
      </c>
      <c r="C1386" s="2" t="str">
        <f>TEXT(data[[#This Row],[Order Date]],"YYYY")</f>
        <v>2015</v>
      </c>
      <c r="D1386" s="2">
        <v>42122</v>
      </c>
      <c r="E1386" s="2" t="s">
        <v>39</v>
      </c>
      <c r="F1386" s="2" t="s">
        <v>3275</v>
      </c>
      <c r="G1386" s="2" t="s">
        <v>3276</v>
      </c>
      <c r="H1386" s="2" t="s">
        <v>24</v>
      </c>
      <c r="I1386" s="2" t="s">
        <v>25</v>
      </c>
      <c r="J1386" s="2" t="s">
        <v>865</v>
      </c>
      <c r="K1386" s="2" t="s">
        <v>27</v>
      </c>
      <c r="L1386" s="2" t="s">
        <v>28</v>
      </c>
      <c r="M1386" s="2" t="s">
        <v>725</v>
      </c>
      <c r="N1386" s="2" t="s">
        <v>30</v>
      </c>
      <c r="O1386" s="2" t="s">
        <v>56</v>
      </c>
      <c r="P1386" s="2" t="s">
        <v>726</v>
      </c>
      <c r="Q1386" s="2">
        <v>209.88</v>
      </c>
      <c r="R1386" s="2">
        <v>3</v>
      </c>
      <c r="S1386" s="2">
        <v>35.679600000000001</v>
      </c>
      <c r="T1386" s="2" t="s">
        <v>47</v>
      </c>
      <c r="U1386" s="2" t="s">
        <v>113</v>
      </c>
    </row>
    <row r="1387" spans="1:21" ht="14.25" customHeight="1" x14ac:dyDescent="0.3">
      <c r="A1387" s="2" t="s">
        <v>3522</v>
      </c>
      <c r="B1387" s="5">
        <v>42538</v>
      </c>
      <c r="C1387" s="2" t="str">
        <f>TEXT(data[[#This Row],[Order Date]],"YYYY")</f>
        <v>2016</v>
      </c>
      <c r="D1387" s="2">
        <v>42540</v>
      </c>
      <c r="E1387" s="2" t="s">
        <v>87</v>
      </c>
      <c r="F1387" s="2" t="s">
        <v>3523</v>
      </c>
      <c r="G1387" s="2" t="s">
        <v>3524</v>
      </c>
      <c r="H1387" s="2" t="s">
        <v>24</v>
      </c>
      <c r="I1387" s="2" t="s">
        <v>25</v>
      </c>
      <c r="J1387" s="2" t="s">
        <v>52</v>
      </c>
      <c r="K1387" s="2" t="s">
        <v>53</v>
      </c>
      <c r="L1387" s="2" t="s">
        <v>54</v>
      </c>
      <c r="M1387" s="2" t="s">
        <v>2622</v>
      </c>
      <c r="N1387" s="2" t="s">
        <v>30</v>
      </c>
      <c r="O1387" s="2" t="s">
        <v>31</v>
      </c>
      <c r="P1387" s="2" t="s">
        <v>2623</v>
      </c>
      <c r="Q1387" s="2">
        <v>239.666</v>
      </c>
      <c r="R1387" s="2">
        <v>2</v>
      </c>
      <c r="S1387" s="2">
        <v>14.098000000000001</v>
      </c>
      <c r="T1387" s="2" t="s">
        <v>70</v>
      </c>
      <c r="U1387" s="2" t="s">
        <v>59</v>
      </c>
    </row>
    <row r="1388" spans="1:21" ht="14.25" customHeight="1" x14ac:dyDescent="0.3">
      <c r="A1388" s="2" t="s">
        <v>3525</v>
      </c>
      <c r="B1388" s="5">
        <v>42748</v>
      </c>
      <c r="C1388" s="2" t="str">
        <f>TEXT(data[[#This Row],[Order Date]],"YYYY")</f>
        <v>2017</v>
      </c>
      <c r="D1388" s="2">
        <v>42753</v>
      </c>
      <c r="E1388" s="2" t="s">
        <v>21</v>
      </c>
      <c r="F1388" s="2" t="s">
        <v>2058</v>
      </c>
      <c r="G1388" s="2" t="s">
        <v>2059</v>
      </c>
      <c r="H1388" s="2" t="s">
        <v>90</v>
      </c>
      <c r="I1388" s="2" t="s">
        <v>25</v>
      </c>
      <c r="J1388" s="2" t="s">
        <v>878</v>
      </c>
      <c r="K1388" s="2" t="s">
        <v>565</v>
      </c>
      <c r="L1388" s="2" t="s">
        <v>93</v>
      </c>
      <c r="M1388" s="2" t="s">
        <v>2479</v>
      </c>
      <c r="N1388" s="2" t="s">
        <v>30</v>
      </c>
      <c r="O1388" s="2" t="s">
        <v>31</v>
      </c>
      <c r="P1388" s="2" t="s">
        <v>2480</v>
      </c>
      <c r="Q1388" s="2">
        <v>212.94</v>
      </c>
      <c r="R1388" s="2">
        <v>3</v>
      </c>
      <c r="S1388" s="2">
        <v>53.234999999999999</v>
      </c>
      <c r="T1388" s="2" t="s">
        <v>58</v>
      </c>
      <c r="U1388" s="2" t="s">
        <v>169</v>
      </c>
    </row>
    <row r="1389" spans="1:21" ht="14.25" customHeight="1" x14ac:dyDescent="0.3">
      <c r="A1389" s="2" t="s">
        <v>3526</v>
      </c>
      <c r="B1389" s="5">
        <v>41888</v>
      </c>
      <c r="C1389" s="2" t="str">
        <f>TEXT(data[[#This Row],[Order Date]],"YYYY")</f>
        <v>2014</v>
      </c>
      <c r="D1389" s="2">
        <v>41891</v>
      </c>
      <c r="E1389" s="2" t="s">
        <v>87</v>
      </c>
      <c r="F1389" s="2" t="s">
        <v>3527</v>
      </c>
      <c r="G1389" s="2" t="s">
        <v>3528</v>
      </c>
      <c r="H1389" s="2" t="s">
        <v>90</v>
      </c>
      <c r="I1389" s="2" t="s">
        <v>25</v>
      </c>
      <c r="J1389" s="2" t="s">
        <v>328</v>
      </c>
      <c r="K1389" s="2" t="s">
        <v>53</v>
      </c>
      <c r="L1389" s="2" t="s">
        <v>54</v>
      </c>
      <c r="M1389" s="2" t="s">
        <v>55</v>
      </c>
      <c r="N1389" s="2" t="s">
        <v>30</v>
      </c>
      <c r="O1389" s="2" t="s">
        <v>56</v>
      </c>
      <c r="P1389" s="2" t="s">
        <v>57</v>
      </c>
      <c r="Q1389" s="2">
        <v>41.88</v>
      </c>
      <c r="R1389" s="2">
        <v>6</v>
      </c>
      <c r="S1389" s="2">
        <v>12.145200000000001</v>
      </c>
      <c r="T1389" s="2" t="s">
        <v>33</v>
      </c>
      <c r="U1389" s="2" t="s">
        <v>77</v>
      </c>
    </row>
    <row r="1390" spans="1:21" ht="14.25" customHeight="1" x14ac:dyDescent="0.3">
      <c r="A1390" s="2" t="s">
        <v>3529</v>
      </c>
      <c r="B1390" s="5">
        <v>42023</v>
      </c>
      <c r="C1390" s="2" t="str">
        <f>TEXT(data[[#This Row],[Order Date]],"YYYY")</f>
        <v>2015</v>
      </c>
      <c r="D1390" s="2">
        <v>42027</v>
      </c>
      <c r="E1390" s="2" t="s">
        <v>39</v>
      </c>
      <c r="F1390" s="2" t="s">
        <v>3530</v>
      </c>
      <c r="G1390" s="2" t="s">
        <v>3531</v>
      </c>
      <c r="H1390" s="2" t="s">
        <v>24</v>
      </c>
      <c r="I1390" s="2" t="s">
        <v>25</v>
      </c>
      <c r="J1390" s="2" t="s">
        <v>3532</v>
      </c>
      <c r="K1390" s="2" t="s">
        <v>92</v>
      </c>
      <c r="L1390" s="2" t="s">
        <v>93</v>
      </c>
      <c r="M1390" s="2" t="s">
        <v>1627</v>
      </c>
      <c r="N1390" s="2" t="s">
        <v>30</v>
      </c>
      <c r="O1390" s="2" t="s">
        <v>45</v>
      </c>
      <c r="P1390" s="2" t="s">
        <v>1628</v>
      </c>
      <c r="Q1390" s="2">
        <v>102.438</v>
      </c>
      <c r="R1390" s="2">
        <v>1</v>
      </c>
      <c r="S1390" s="2">
        <v>-13.1706</v>
      </c>
      <c r="T1390" s="2" t="s">
        <v>83</v>
      </c>
      <c r="U1390" s="2" t="s">
        <v>169</v>
      </c>
    </row>
    <row r="1391" spans="1:21" ht="14.25" customHeight="1" x14ac:dyDescent="0.3">
      <c r="A1391" s="2" t="s">
        <v>3529</v>
      </c>
      <c r="B1391" s="5">
        <v>42023</v>
      </c>
      <c r="C1391" s="2" t="str">
        <f>TEXT(data[[#This Row],[Order Date]],"YYYY")</f>
        <v>2015</v>
      </c>
      <c r="D1391" s="2">
        <v>42027</v>
      </c>
      <c r="E1391" s="2" t="s">
        <v>39</v>
      </c>
      <c r="F1391" s="2" t="s">
        <v>3530</v>
      </c>
      <c r="G1391" s="2" t="s">
        <v>3531</v>
      </c>
      <c r="H1391" s="2" t="s">
        <v>24</v>
      </c>
      <c r="I1391" s="2" t="s">
        <v>25</v>
      </c>
      <c r="J1391" s="2" t="s">
        <v>3532</v>
      </c>
      <c r="K1391" s="2" t="s">
        <v>92</v>
      </c>
      <c r="L1391" s="2" t="s">
        <v>93</v>
      </c>
      <c r="M1391" s="2" t="s">
        <v>2194</v>
      </c>
      <c r="N1391" s="2" t="s">
        <v>30</v>
      </c>
      <c r="O1391" s="2" t="s">
        <v>36</v>
      </c>
      <c r="P1391" s="2" t="s">
        <v>2195</v>
      </c>
      <c r="Q1391" s="2">
        <v>199.304</v>
      </c>
      <c r="R1391" s="2">
        <v>4</v>
      </c>
      <c r="S1391" s="2">
        <v>-8.5416000000000007</v>
      </c>
      <c r="T1391" s="2" t="s">
        <v>83</v>
      </c>
      <c r="U1391" s="2" t="s">
        <v>169</v>
      </c>
    </row>
    <row r="1392" spans="1:21" ht="14.25" customHeight="1" x14ac:dyDescent="0.3">
      <c r="A1392" s="2" t="s">
        <v>3533</v>
      </c>
      <c r="B1392" s="5">
        <v>42729</v>
      </c>
      <c r="C1392" s="2" t="str">
        <f>TEXT(data[[#This Row],[Order Date]],"YYYY")</f>
        <v>2016</v>
      </c>
      <c r="D1392" s="2">
        <v>42734</v>
      </c>
      <c r="E1392" s="2" t="s">
        <v>39</v>
      </c>
      <c r="F1392" s="2" t="s">
        <v>1609</v>
      </c>
      <c r="G1392" s="2" t="s">
        <v>1610</v>
      </c>
      <c r="H1392" s="2" t="s">
        <v>24</v>
      </c>
      <c r="I1392" s="2" t="s">
        <v>25</v>
      </c>
      <c r="J1392" s="2" t="s">
        <v>191</v>
      </c>
      <c r="K1392" s="2" t="s">
        <v>192</v>
      </c>
      <c r="L1392" s="2" t="s">
        <v>54</v>
      </c>
      <c r="M1392" s="2" t="s">
        <v>1306</v>
      </c>
      <c r="N1392" s="2" t="s">
        <v>30</v>
      </c>
      <c r="O1392" s="2" t="s">
        <v>36</v>
      </c>
      <c r="P1392" s="2" t="s">
        <v>1307</v>
      </c>
      <c r="Q1392" s="2">
        <v>698.35199999999998</v>
      </c>
      <c r="R1392" s="2">
        <v>3</v>
      </c>
      <c r="S1392" s="2">
        <v>52.376399999999997</v>
      </c>
      <c r="T1392" s="2" t="s">
        <v>58</v>
      </c>
      <c r="U1392" s="2" t="s">
        <v>96</v>
      </c>
    </row>
    <row r="1393" spans="1:21" ht="14.25" customHeight="1" x14ac:dyDescent="0.3">
      <c r="A1393" s="2" t="s">
        <v>3533</v>
      </c>
      <c r="B1393" s="5">
        <v>42729</v>
      </c>
      <c r="C1393" s="2" t="str">
        <f>TEXT(data[[#This Row],[Order Date]],"YYYY")</f>
        <v>2016</v>
      </c>
      <c r="D1393" s="2">
        <v>42734</v>
      </c>
      <c r="E1393" s="2" t="s">
        <v>39</v>
      </c>
      <c r="F1393" s="2" t="s">
        <v>1609</v>
      </c>
      <c r="G1393" s="2" t="s">
        <v>1610</v>
      </c>
      <c r="H1393" s="2" t="s">
        <v>24</v>
      </c>
      <c r="I1393" s="2" t="s">
        <v>25</v>
      </c>
      <c r="J1393" s="2" t="s">
        <v>191</v>
      </c>
      <c r="K1393" s="2" t="s">
        <v>192</v>
      </c>
      <c r="L1393" s="2" t="s">
        <v>54</v>
      </c>
      <c r="M1393" s="2" t="s">
        <v>1461</v>
      </c>
      <c r="N1393" s="2" t="s">
        <v>30</v>
      </c>
      <c r="O1393" s="2" t="s">
        <v>45</v>
      </c>
      <c r="P1393" s="2" t="s">
        <v>1462</v>
      </c>
      <c r="Q1393" s="2">
        <v>1747.25</v>
      </c>
      <c r="R1393" s="2">
        <v>5</v>
      </c>
      <c r="S1393" s="2">
        <v>629.01</v>
      </c>
      <c r="T1393" s="2" t="s">
        <v>58</v>
      </c>
      <c r="U1393" s="2" t="s">
        <v>96</v>
      </c>
    </row>
    <row r="1394" spans="1:21" ht="14.25" customHeight="1" x14ac:dyDescent="0.3">
      <c r="A1394" s="2" t="s">
        <v>3534</v>
      </c>
      <c r="B1394" s="5">
        <v>41943</v>
      </c>
      <c r="C1394" s="2" t="str">
        <f>TEXT(data[[#This Row],[Order Date]],"YYYY")</f>
        <v>2014</v>
      </c>
      <c r="D1394" s="2">
        <v>41945</v>
      </c>
      <c r="E1394" s="2" t="s">
        <v>21</v>
      </c>
      <c r="F1394" s="2" t="s">
        <v>876</v>
      </c>
      <c r="G1394" s="2" t="s">
        <v>877</v>
      </c>
      <c r="H1394" s="2" t="s">
        <v>90</v>
      </c>
      <c r="I1394" s="2" t="s">
        <v>25</v>
      </c>
      <c r="J1394" s="2" t="s">
        <v>869</v>
      </c>
      <c r="K1394" s="2" t="s">
        <v>231</v>
      </c>
      <c r="L1394" s="2" t="s">
        <v>67</v>
      </c>
      <c r="M1394" s="2" t="s">
        <v>1671</v>
      </c>
      <c r="N1394" s="2" t="s">
        <v>30</v>
      </c>
      <c r="O1394" s="2" t="s">
        <v>45</v>
      </c>
      <c r="P1394" s="2" t="s">
        <v>1672</v>
      </c>
      <c r="Q1394" s="2">
        <v>1421.664</v>
      </c>
      <c r="R1394" s="2">
        <v>8</v>
      </c>
      <c r="S1394" s="2">
        <v>-734.52639999999997</v>
      </c>
      <c r="T1394" s="2" t="s">
        <v>70</v>
      </c>
      <c r="U1394" s="2" t="s">
        <v>48</v>
      </c>
    </row>
    <row r="1395" spans="1:21" ht="14.25" customHeight="1" x14ac:dyDescent="0.3">
      <c r="A1395" s="2" t="s">
        <v>3535</v>
      </c>
      <c r="B1395" s="5">
        <v>42719</v>
      </c>
      <c r="C1395" s="2" t="str">
        <f>TEXT(data[[#This Row],[Order Date]],"YYYY")</f>
        <v>2016</v>
      </c>
      <c r="D1395" s="2">
        <v>42725</v>
      </c>
      <c r="E1395" s="2" t="s">
        <v>39</v>
      </c>
      <c r="F1395" s="2" t="s">
        <v>1351</v>
      </c>
      <c r="G1395" s="2" t="s">
        <v>1352</v>
      </c>
      <c r="H1395" s="2" t="s">
        <v>100</v>
      </c>
      <c r="I1395" s="2" t="s">
        <v>25</v>
      </c>
      <c r="J1395" s="2" t="s">
        <v>878</v>
      </c>
      <c r="K1395" s="2" t="s">
        <v>1517</v>
      </c>
      <c r="L1395" s="2" t="s">
        <v>54</v>
      </c>
      <c r="M1395" s="2" t="s">
        <v>306</v>
      </c>
      <c r="N1395" s="2" t="s">
        <v>30</v>
      </c>
      <c r="O1395" s="2" t="s">
        <v>45</v>
      </c>
      <c r="P1395" s="2" t="s">
        <v>307</v>
      </c>
      <c r="Q1395" s="2">
        <v>564.19500000000005</v>
      </c>
      <c r="R1395" s="2">
        <v>3</v>
      </c>
      <c r="S1395" s="2">
        <v>-304.6653</v>
      </c>
      <c r="T1395" s="2" t="s">
        <v>129</v>
      </c>
      <c r="U1395" s="2" t="s">
        <v>96</v>
      </c>
    </row>
    <row r="1396" spans="1:21" ht="14.25" customHeight="1" x14ac:dyDescent="0.3">
      <c r="A1396" s="2" t="s">
        <v>3536</v>
      </c>
      <c r="B1396" s="5">
        <v>42986</v>
      </c>
      <c r="C1396" s="2" t="str">
        <f>TEXT(data[[#This Row],[Order Date]],"YYYY")</f>
        <v>2017</v>
      </c>
      <c r="D1396" s="2">
        <v>42989</v>
      </c>
      <c r="E1396" s="2" t="s">
        <v>87</v>
      </c>
      <c r="F1396" s="2" t="s">
        <v>1856</v>
      </c>
      <c r="G1396" s="2" t="s">
        <v>1857</v>
      </c>
      <c r="H1396" s="2" t="s">
        <v>90</v>
      </c>
      <c r="I1396" s="2" t="s">
        <v>25</v>
      </c>
      <c r="J1396" s="2" t="s">
        <v>689</v>
      </c>
      <c r="K1396" s="2" t="s">
        <v>92</v>
      </c>
      <c r="L1396" s="2" t="s">
        <v>93</v>
      </c>
      <c r="M1396" s="2" t="s">
        <v>943</v>
      </c>
      <c r="N1396" s="2" t="s">
        <v>30</v>
      </c>
      <c r="O1396" s="2" t="s">
        <v>56</v>
      </c>
      <c r="P1396" s="2" t="s">
        <v>944</v>
      </c>
      <c r="Q1396" s="2">
        <v>21.184000000000001</v>
      </c>
      <c r="R1396" s="2">
        <v>2</v>
      </c>
      <c r="S1396" s="2">
        <v>-11.651199999999999</v>
      </c>
      <c r="T1396" s="2" t="s">
        <v>33</v>
      </c>
      <c r="U1396" s="2" t="s">
        <v>77</v>
      </c>
    </row>
    <row r="1397" spans="1:21" ht="14.25" customHeight="1" x14ac:dyDescent="0.3">
      <c r="A1397" s="2" t="s">
        <v>3536</v>
      </c>
      <c r="B1397" s="5">
        <v>42986</v>
      </c>
      <c r="C1397" s="2" t="str">
        <f>TEXT(data[[#This Row],[Order Date]],"YYYY")</f>
        <v>2017</v>
      </c>
      <c r="D1397" s="2">
        <v>42989</v>
      </c>
      <c r="E1397" s="2" t="s">
        <v>87</v>
      </c>
      <c r="F1397" s="2" t="s">
        <v>1856</v>
      </c>
      <c r="G1397" s="2" t="s">
        <v>1857</v>
      </c>
      <c r="H1397" s="2" t="s">
        <v>90</v>
      </c>
      <c r="I1397" s="2" t="s">
        <v>25</v>
      </c>
      <c r="J1397" s="2" t="s">
        <v>689</v>
      </c>
      <c r="K1397" s="2" t="s">
        <v>92</v>
      </c>
      <c r="L1397" s="2" t="s">
        <v>93</v>
      </c>
      <c r="M1397" s="2" t="s">
        <v>2428</v>
      </c>
      <c r="N1397" s="2" t="s">
        <v>30</v>
      </c>
      <c r="O1397" s="2" t="s">
        <v>36</v>
      </c>
      <c r="P1397" s="2" t="s">
        <v>2429</v>
      </c>
      <c r="Q1397" s="2">
        <v>213.43</v>
      </c>
      <c r="R1397" s="2">
        <v>5</v>
      </c>
      <c r="S1397" s="2">
        <v>-39.637</v>
      </c>
      <c r="T1397" s="2" t="s">
        <v>33</v>
      </c>
      <c r="U1397" s="2" t="s">
        <v>77</v>
      </c>
    </row>
    <row r="1398" spans="1:21" ht="14.25" customHeight="1" x14ac:dyDescent="0.3">
      <c r="A1398" s="2" t="s">
        <v>3537</v>
      </c>
      <c r="B1398" s="5">
        <v>42786</v>
      </c>
      <c r="C1398" s="2" t="str">
        <f>TEXT(data[[#This Row],[Order Date]],"YYYY")</f>
        <v>2017</v>
      </c>
      <c r="D1398" s="2">
        <v>42793</v>
      </c>
      <c r="E1398" s="2" t="s">
        <v>39</v>
      </c>
      <c r="F1398" s="2" t="s">
        <v>2295</v>
      </c>
      <c r="G1398" s="2" t="s">
        <v>2296</v>
      </c>
      <c r="H1398" s="2" t="s">
        <v>100</v>
      </c>
      <c r="I1398" s="2" t="s">
        <v>25</v>
      </c>
      <c r="J1398" s="2" t="s">
        <v>2033</v>
      </c>
      <c r="K1398" s="2" t="s">
        <v>520</v>
      </c>
      <c r="L1398" s="2" t="s">
        <v>54</v>
      </c>
      <c r="M1398" s="2" t="s">
        <v>745</v>
      </c>
      <c r="N1398" s="2" t="s">
        <v>30</v>
      </c>
      <c r="O1398" s="2" t="s">
        <v>56</v>
      </c>
      <c r="P1398" s="2" t="s">
        <v>746</v>
      </c>
      <c r="Q1398" s="2">
        <v>68.703999999999994</v>
      </c>
      <c r="R1398" s="2">
        <v>2</v>
      </c>
      <c r="S1398" s="2">
        <v>16.3172</v>
      </c>
      <c r="T1398" s="2" t="s">
        <v>47</v>
      </c>
      <c r="U1398" s="2" t="s">
        <v>297</v>
      </c>
    </row>
    <row r="1399" spans="1:21" ht="14.25" customHeight="1" x14ac:dyDescent="0.3">
      <c r="A1399" s="2" t="s">
        <v>3537</v>
      </c>
      <c r="B1399" s="5">
        <v>42786</v>
      </c>
      <c r="C1399" s="2" t="str">
        <f>TEXT(data[[#This Row],[Order Date]],"YYYY")</f>
        <v>2017</v>
      </c>
      <c r="D1399" s="2">
        <v>42793</v>
      </c>
      <c r="E1399" s="2" t="s">
        <v>39</v>
      </c>
      <c r="F1399" s="2" t="s">
        <v>2295</v>
      </c>
      <c r="G1399" s="2" t="s">
        <v>2296</v>
      </c>
      <c r="H1399" s="2" t="s">
        <v>100</v>
      </c>
      <c r="I1399" s="2" t="s">
        <v>25</v>
      </c>
      <c r="J1399" s="2" t="s">
        <v>2033</v>
      </c>
      <c r="K1399" s="2" t="s">
        <v>520</v>
      </c>
      <c r="L1399" s="2" t="s">
        <v>54</v>
      </c>
      <c r="M1399" s="2" t="s">
        <v>1259</v>
      </c>
      <c r="N1399" s="2" t="s">
        <v>30</v>
      </c>
      <c r="O1399" s="2" t="s">
        <v>45</v>
      </c>
      <c r="P1399" s="2" t="s">
        <v>1063</v>
      </c>
      <c r="Q1399" s="2">
        <v>386.91</v>
      </c>
      <c r="R1399" s="2">
        <v>9</v>
      </c>
      <c r="S1399" s="2">
        <v>-185.71680000000001</v>
      </c>
      <c r="T1399" s="2" t="s">
        <v>47</v>
      </c>
      <c r="U1399" s="2" t="s">
        <v>297</v>
      </c>
    </row>
    <row r="1400" spans="1:21" ht="14.25" customHeight="1" x14ac:dyDescent="0.3">
      <c r="A1400" s="2" t="s">
        <v>3538</v>
      </c>
      <c r="B1400" s="5">
        <v>43034</v>
      </c>
      <c r="C1400" s="2" t="str">
        <f>TEXT(data[[#This Row],[Order Date]],"YYYY")</f>
        <v>2017</v>
      </c>
      <c r="D1400" s="2">
        <v>43040</v>
      </c>
      <c r="E1400" s="2" t="s">
        <v>39</v>
      </c>
      <c r="F1400" s="2" t="s">
        <v>610</v>
      </c>
      <c r="G1400" s="2" t="s">
        <v>611</v>
      </c>
      <c r="H1400" s="2" t="s">
        <v>24</v>
      </c>
      <c r="I1400" s="2" t="s">
        <v>25</v>
      </c>
      <c r="J1400" s="2" t="s">
        <v>3539</v>
      </c>
      <c r="K1400" s="2" t="s">
        <v>716</v>
      </c>
      <c r="L1400" s="2" t="s">
        <v>28</v>
      </c>
      <c r="M1400" s="2" t="s">
        <v>907</v>
      </c>
      <c r="N1400" s="2" t="s">
        <v>30</v>
      </c>
      <c r="O1400" s="2" t="s">
        <v>45</v>
      </c>
      <c r="P1400" s="2" t="s">
        <v>908</v>
      </c>
      <c r="Q1400" s="2">
        <v>356.85</v>
      </c>
      <c r="R1400" s="2">
        <v>5</v>
      </c>
      <c r="S1400" s="2">
        <v>60.664499999999997</v>
      </c>
      <c r="T1400" s="2" t="s">
        <v>129</v>
      </c>
      <c r="U1400" s="2" t="s">
        <v>48</v>
      </c>
    </row>
    <row r="1401" spans="1:21" ht="14.25" customHeight="1" x14ac:dyDescent="0.3">
      <c r="A1401" s="2" t="s">
        <v>3540</v>
      </c>
      <c r="B1401" s="5">
        <v>42867</v>
      </c>
      <c r="C1401" s="2" t="str">
        <f>TEXT(data[[#This Row],[Order Date]],"YYYY")</f>
        <v>2017</v>
      </c>
      <c r="D1401" s="2">
        <v>42869</v>
      </c>
      <c r="E1401" s="2" t="s">
        <v>21</v>
      </c>
      <c r="F1401" s="2" t="s">
        <v>618</v>
      </c>
      <c r="G1401" s="2" t="s">
        <v>619</v>
      </c>
      <c r="H1401" s="2" t="s">
        <v>24</v>
      </c>
      <c r="I1401" s="2" t="s">
        <v>25</v>
      </c>
      <c r="J1401" s="2" t="s">
        <v>1295</v>
      </c>
      <c r="K1401" s="2" t="s">
        <v>362</v>
      </c>
      <c r="L1401" s="2" t="s">
        <v>67</v>
      </c>
      <c r="M1401" s="2" t="s">
        <v>2901</v>
      </c>
      <c r="N1401" s="2" t="s">
        <v>30</v>
      </c>
      <c r="O1401" s="2" t="s">
        <v>56</v>
      </c>
      <c r="P1401" s="2" t="s">
        <v>2902</v>
      </c>
      <c r="Q1401" s="2">
        <v>42.85</v>
      </c>
      <c r="R1401" s="2">
        <v>5</v>
      </c>
      <c r="S1401" s="2">
        <v>15.426</v>
      </c>
      <c r="T1401" s="2" t="s">
        <v>70</v>
      </c>
      <c r="U1401" s="2" t="s">
        <v>161</v>
      </c>
    </row>
    <row r="1402" spans="1:21" ht="14.25" customHeight="1" x14ac:dyDescent="0.3">
      <c r="A1402" s="2" t="s">
        <v>3541</v>
      </c>
      <c r="B1402" s="5">
        <v>42252</v>
      </c>
      <c r="C1402" s="2" t="str">
        <f>TEXT(data[[#This Row],[Order Date]],"YYYY")</f>
        <v>2015</v>
      </c>
      <c r="D1402" s="2">
        <v>42259</v>
      </c>
      <c r="E1402" s="2" t="s">
        <v>39</v>
      </c>
      <c r="F1402" s="2" t="s">
        <v>3542</v>
      </c>
      <c r="G1402" s="2" t="s">
        <v>3543</v>
      </c>
      <c r="H1402" s="2" t="s">
        <v>100</v>
      </c>
      <c r="I1402" s="2" t="s">
        <v>25</v>
      </c>
      <c r="J1402" s="2" t="s">
        <v>3544</v>
      </c>
      <c r="K1402" s="2" t="s">
        <v>716</v>
      </c>
      <c r="L1402" s="2" t="s">
        <v>28</v>
      </c>
      <c r="M1402" s="2" t="s">
        <v>3545</v>
      </c>
      <c r="N1402" s="2" t="s">
        <v>30</v>
      </c>
      <c r="O1402" s="2" t="s">
        <v>56</v>
      </c>
      <c r="P1402" s="2" t="s">
        <v>3546</v>
      </c>
      <c r="Q1402" s="2">
        <v>67.959999999999994</v>
      </c>
      <c r="R1402" s="2">
        <v>4</v>
      </c>
      <c r="S1402" s="2">
        <v>12.232799999999999</v>
      </c>
      <c r="T1402" s="2" t="s">
        <v>47</v>
      </c>
      <c r="U1402" s="2" t="s">
        <v>77</v>
      </c>
    </row>
    <row r="1403" spans="1:21" ht="14.25" customHeight="1" x14ac:dyDescent="0.3">
      <c r="A1403" s="2" t="s">
        <v>3547</v>
      </c>
      <c r="B1403" s="5">
        <v>41922</v>
      </c>
      <c r="C1403" s="2" t="str">
        <f>TEXT(data[[#This Row],[Order Date]],"YYYY")</f>
        <v>2014</v>
      </c>
      <c r="D1403" s="2">
        <v>41926</v>
      </c>
      <c r="E1403" s="2" t="s">
        <v>39</v>
      </c>
      <c r="F1403" s="2" t="s">
        <v>1257</v>
      </c>
      <c r="G1403" s="2" t="s">
        <v>1258</v>
      </c>
      <c r="H1403" s="2" t="s">
        <v>100</v>
      </c>
      <c r="I1403" s="2" t="s">
        <v>25</v>
      </c>
      <c r="J1403" s="2" t="s">
        <v>519</v>
      </c>
      <c r="K1403" s="2" t="s">
        <v>520</v>
      </c>
      <c r="L1403" s="2" t="s">
        <v>54</v>
      </c>
      <c r="M1403" s="2" t="s">
        <v>1147</v>
      </c>
      <c r="N1403" s="2" t="s">
        <v>30</v>
      </c>
      <c r="O1403" s="2" t="s">
        <v>56</v>
      </c>
      <c r="P1403" s="2" t="s">
        <v>1148</v>
      </c>
      <c r="Q1403" s="2">
        <v>46.872</v>
      </c>
      <c r="R1403" s="2">
        <v>7</v>
      </c>
      <c r="S1403" s="2">
        <v>3.5154000000000001</v>
      </c>
      <c r="T1403" s="2" t="s">
        <v>83</v>
      </c>
      <c r="U1403" s="2" t="s">
        <v>48</v>
      </c>
    </row>
    <row r="1404" spans="1:21" ht="14.25" customHeight="1" x14ac:dyDescent="0.3">
      <c r="A1404" s="2" t="s">
        <v>3548</v>
      </c>
      <c r="B1404" s="5">
        <v>41948</v>
      </c>
      <c r="C1404" s="2" t="str">
        <f>TEXT(data[[#This Row],[Order Date]],"YYYY")</f>
        <v>2014</v>
      </c>
      <c r="D1404" s="2">
        <v>41953</v>
      </c>
      <c r="E1404" s="2" t="s">
        <v>39</v>
      </c>
      <c r="F1404" s="2" t="s">
        <v>2443</v>
      </c>
      <c r="G1404" s="2" t="s">
        <v>2444</v>
      </c>
      <c r="H1404" s="2" t="s">
        <v>100</v>
      </c>
      <c r="I1404" s="2" t="s">
        <v>25</v>
      </c>
      <c r="J1404" s="2" t="s">
        <v>52</v>
      </c>
      <c r="K1404" s="2" t="s">
        <v>53</v>
      </c>
      <c r="L1404" s="2" t="s">
        <v>54</v>
      </c>
      <c r="M1404" s="2" t="s">
        <v>2425</v>
      </c>
      <c r="N1404" s="2" t="s">
        <v>30</v>
      </c>
      <c r="O1404" s="2" t="s">
        <v>56</v>
      </c>
      <c r="P1404" s="2" t="s">
        <v>2426</v>
      </c>
      <c r="Q1404" s="2">
        <v>20.04</v>
      </c>
      <c r="R1404" s="2">
        <v>6</v>
      </c>
      <c r="S1404" s="2">
        <v>8.8176000000000005</v>
      </c>
      <c r="T1404" s="2" t="s">
        <v>58</v>
      </c>
      <c r="U1404" s="2" t="s">
        <v>34</v>
      </c>
    </row>
    <row r="1405" spans="1:21" ht="14.25" customHeight="1" x14ac:dyDescent="0.3">
      <c r="A1405" s="2" t="s">
        <v>3549</v>
      </c>
      <c r="B1405" s="5">
        <v>42355</v>
      </c>
      <c r="C1405" s="2" t="str">
        <f>TEXT(data[[#This Row],[Order Date]],"YYYY")</f>
        <v>2015</v>
      </c>
      <c r="D1405" s="2">
        <v>42360</v>
      </c>
      <c r="E1405" s="2" t="s">
        <v>39</v>
      </c>
      <c r="F1405" s="2" t="s">
        <v>1372</v>
      </c>
      <c r="G1405" s="2" t="s">
        <v>1373</v>
      </c>
      <c r="H1405" s="2" t="s">
        <v>24</v>
      </c>
      <c r="I1405" s="2" t="s">
        <v>25</v>
      </c>
      <c r="J1405" s="2" t="s">
        <v>211</v>
      </c>
      <c r="K1405" s="2" t="s">
        <v>134</v>
      </c>
      <c r="L1405" s="2" t="s">
        <v>93</v>
      </c>
      <c r="M1405" s="2" t="s">
        <v>879</v>
      </c>
      <c r="N1405" s="2" t="s">
        <v>30</v>
      </c>
      <c r="O1405" s="2" t="s">
        <v>56</v>
      </c>
      <c r="P1405" s="2" t="s">
        <v>880</v>
      </c>
      <c r="Q1405" s="2">
        <v>41.552</v>
      </c>
      <c r="R1405" s="2">
        <v>2</v>
      </c>
      <c r="S1405" s="2">
        <v>-19.737200000000001</v>
      </c>
      <c r="T1405" s="2" t="s">
        <v>58</v>
      </c>
      <c r="U1405" s="2" t="s">
        <v>96</v>
      </c>
    </row>
    <row r="1406" spans="1:21" ht="14.25" customHeight="1" x14ac:dyDescent="0.3">
      <c r="A1406" s="2" t="s">
        <v>3550</v>
      </c>
      <c r="B1406" s="5">
        <v>42937</v>
      </c>
      <c r="C1406" s="2" t="str">
        <f>TEXT(data[[#This Row],[Order Date]],"YYYY")</f>
        <v>2017</v>
      </c>
      <c r="D1406" s="2">
        <v>42941</v>
      </c>
      <c r="E1406" s="2" t="s">
        <v>39</v>
      </c>
      <c r="F1406" s="2" t="s">
        <v>1903</v>
      </c>
      <c r="G1406" s="2" t="s">
        <v>1904</v>
      </c>
      <c r="H1406" s="2" t="s">
        <v>24</v>
      </c>
      <c r="I1406" s="2" t="s">
        <v>25</v>
      </c>
      <c r="J1406" s="2" t="s">
        <v>639</v>
      </c>
      <c r="K1406" s="2" t="s">
        <v>53</v>
      </c>
      <c r="L1406" s="2" t="s">
        <v>54</v>
      </c>
      <c r="M1406" s="2" t="s">
        <v>1532</v>
      </c>
      <c r="N1406" s="2" t="s">
        <v>30</v>
      </c>
      <c r="O1406" s="2" t="s">
        <v>36</v>
      </c>
      <c r="P1406" s="2" t="s">
        <v>1533</v>
      </c>
      <c r="Q1406" s="2">
        <v>225.29599999999999</v>
      </c>
      <c r="R1406" s="2">
        <v>2</v>
      </c>
      <c r="S1406" s="2">
        <v>22.529599999999999</v>
      </c>
      <c r="T1406" s="2" t="s">
        <v>83</v>
      </c>
      <c r="U1406" s="2" t="s">
        <v>71</v>
      </c>
    </row>
    <row r="1407" spans="1:21" ht="14.25" customHeight="1" x14ac:dyDescent="0.3">
      <c r="A1407" s="2" t="s">
        <v>3551</v>
      </c>
      <c r="B1407" s="5">
        <v>42144</v>
      </c>
      <c r="C1407" s="2" t="str">
        <f>TEXT(data[[#This Row],[Order Date]],"YYYY")</f>
        <v>2015</v>
      </c>
      <c r="D1407" s="2">
        <v>42148</v>
      </c>
      <c r="E1407" s="2" t="s">
        <v>39</v>
      </c>
      <c r="F1407" s="2" t="s">
        <v>1368</v>
      </c>
      <c r="G1407" s="2" t="s">
        <v>1369</v>
      </c>
      <c r="H1407" s="2" t="s">
        <v>24</v>
      </c>
      <c r="I1407" s="2" t="s">
        <v>25</v>
      </c>
      <c r="J1407" s="2" t="s">
        <v>3552</v>
      </c>
      <c r="K1407" s="2" t="s">
        <v>1036</v>
      </c>
      <c r="L1407" s="2" t="s">
        <v>28</v>
      </c>
      <c r="M1407" s="2" t="s">
        <v>1537</v>
      </c>
      <c r="N1407" s="2" t="s">
        <v>30</v>
      </c>
      <c r="O1407" s="2" t="s">
        <v>56</v>
      </c>
      <c r="P1407" s="2" t="s">
        <v>1538</v>
      </c>
      <c r="Q1407" s="2">
        <v>163.136</v>
      </c>
      <c r="R1407" s="2">
        <v>4</v>
      </c>
      <c r="S1407" s="2">
        <v>20.391999999999999</v>
      </c>
      <c r="T1407" s="2" t="s">
        <v>83</v>
      </c>
      <c r="U1407" s="2" t="s">
        <v>161</v>
      </c>
    </row>
    <row r="1408" spans="1:21" ht="14.25" customHeight="1" x14ac:dyDescent="0.3">
      <c r="A1408" s="2" t="s">
        <v>3553</v>
      </c>
      <c r="B1408" s="5">
        <v>42322</v>
      </c>
      <c r="C1408" s="2" t="str">
        <f>TEXT(data[[#This Row],[Order Date]],"YYYY")</f>
        <v>2015</v>
      </c>
      <c r="D1408" s="2">
        <v>42327</v>
      </c>
      <c r="E1408" s="2" t="s">
        <v>39</v>
      </c>
      <c r="F1408" s="2" t="s">
        <v>2790</v>
      </c>
      <c r="G1408" s="2" t="s">
        <v>2791</v>
      </c>
      <c r="H1408" s="2" t="s">
        <v>24</v>
      </c>
      <c r="I1408" s="2" t="s">
        <v>25</v>
      </c>
      <c r="J1408" s="2" t="s">
        <v>3554</v>
      </c>
      <c r="K1408" s="2" t="s">
        <v>1896</v>
      </c>
      <c r="L1408" s="2" t="s">
        <v>54</v>
      </c>
      <c r="M1408" s="2" t="s">
        <v>246</v>
      </c>
      <c r="N1408" s="2" t="s">
        <v>30</v>
      </c>
      <c r="O1408" s="2" t="s">
        <v>36</v>
      </c>
      <c r="P1408" s="2" t="s">
        <v>247</v>
      </c>
      <c r="Q1408" s="2">
        <v>883.84</v>
      </c>
      <c r="R1408" s="2">
        <v>4</v>
      </c>
      <c r="S1408" s="2">
        <v>99.432000000000002</v>
      </c>
      <c r="T1408" s="2" t="s">
        <v>58</v>
      </c>
      <c r="U1408" s="2" t="s">
        <v>34</v>
      </c>
    </row>
    <row r="1409" spans="1:21" ht="14.25" customHeight="1" x14ac:dyDescent="0.3">
      <c r="A1409" s="2" t="s">
        <v>3553</v>
      </c>
      <c r="B1409" s="5">
        <v>42322</v>
      </c>
      <c r="C1409" s="2" t="str">
        <f>TEXT(data[[#This Row],[Order Date]],"YYYY")</f>
        <v>2015</v>
      </c>
      <c r="D1409" s="2">
        <v>42327</v>
      </c>
      <c r="E1409" s="2" t="s">
        <v>39</v>
      </c>
      <c r="F1409" s="2" t="s">
        <v>2790</v>
      </c>
      <c r="G1409" s="2" t="s">
        <v>2791</v>
      </c>
      <c r="H1409" s="2" t="s">
        <v>24</v>
      </c>
      <c r="I1409" s="2" t="s">
        <v>25</v>
      </c>
      <c r="J1409" s="2" t="s">
        <v>3554</v>
      </c>
      <c r="K1409" s="2" t="s">
        <v>1896</v>
      </c>
      <c r="L1409" s="2" t="s">
        <v>54</v>
      </c>
      <c r="M1409" s="2" t="s">
        <v>356</v>
      </c>
      <c r="N1409" s="2" t="s">
        <v>30</v>
      </c>
      <c r="O1409" s="2" t="s">
        <v>36</v>
      </c>
      <c r="P1409" s="2" t="s">
        <v>357</v>
      </c>
      <c r="Q1409" s="2">
        <v>230.352</v>
      </c>
      <c r="R1409" s="2">
        <v>3</v>
      </c>
      <c r="S1409" s="2">
        <v>20.155799999999999</v>
      </c>
      <c r="T1409" s="2" t="s">
        <v>58</v>
      </c>
      <c r="U1409" s="2" t="s">
        <v>34</v>
      </c>
    </row>
    <row r="1410" spans="1:21" ht="14.25" customHeight="1" x14ac:dyDescent="0.3">
      <c r="A1410" s="2" t="s">
        <v>3555</v>
      </c>
      <c r="B1410" s="5">
        <v>43083</v>
      </c>
      <c r="C1410" s="2" t="str">
        <f>TEXT(data[[#This Row],[Order Date]],"YYYY")</f>
        <v>2017</v>
      </c>
      <c r="D1410" s="2">
        <v>43083</v>
      </c>
      <c r="E1410" s="2" t="s">
        <v>425</v>
      </c>
      <c r="F1410" s="2" t="s">
        <v>240</v>
      </c>
      <c r="G1410" s="2" t="s">
        <v>241</v>
      </c>
      <c r="H1410" s="2" t="s">
        <v>24</v>
      </c>
      <c r="I1410" s="2" t="s">
        <v>25</v>
      </c>
      <c r="J1410" s="2" t="s">
        <v>2209</v>
      </c>
      <c r="K1410" s="2" t="s">
        <v>134</v>
      </c>
      <c r="L1410" s="2" t="s">
        <v>93</v>
      </c>
      <c r="M1410" s="2" t="s">
        <v>1853</v>
      </c>
      <c r="N1410" s="2" t="s">
        <v>30</v>
      </c>
      <c r="O1410" s="2" t="s">
        <v>56</v>
      </c>
      <c r="P1410" s="2" t="s">
        <v>1854</v>
      </c>
      <c r="Q1410" s="2">
        <v>266.35199999999998</v>
      </c>
      <c r="R1410" s="2">
        <v>6</v>
      </c>
      <c r="S1410" s="2">
        <v>-292.98719999999997</v>
      </c>
      <c r="T1410" s="2" t="s">
        <v>430</v>
      </c>
      <c r="U1410" s="2" t="s">
        <v>96</v>
      </c>
    </row>
    <row r="1411" spans="1:21" ht="14.25" customHeight="1" x14ac:dyDescent="0.3">
      <c r="A1411" s="2" t="s">
        <v>3555</v>
      </c>
      <c r="B1411" s="5">
        <v>43083</v>
      </c>
      <c r="C1411" s="2" t="str">
        <f>TEXT(data[[#This Row],[Order Date]],"YYYY")</f>
        <v>2017</v>
      </c>
      <c r="D1411" s="2">
        <v>43083</v>
      </c>
      <c r="E1411" s="2" t="s">
        <v>425</v>
      </c>
      <c r="F1411" s="2" t="s">
        <v>240</v>
      </c>
      <c r="G1411" s="2" t="s">
        <v>241</v>
      </c>
      <c r="H1411" s="2" t="s">
        <v>24</v>
      </c>
      <c r="I1411" s="2" t="s">
        <v>25</v>
      </c>
      <c r="J1411" s="2" t="s">
        <v>2209</v>
      </c>
      <c r="K1411" s="2" t="s">
        <v>134</v>
      </c>
      <c r="L1411" s="2" t="s">
        <v>93</v>
      </c>
      <c r="M1411" s="2" t="s">
        <v>354</v>
      </c>
      <c r="N1411" s="2" t="s">
        <v>30</v>
      </c>
      <c r="O1411" s="2" t="s">
        <v>56</v>
      </c>
      <c r="P1411" s="2" t="s">
        <v>355</v>
      </c>
      <c r="Q1411" s="2">
        <v>56.328000000000003</v>
      </c>
      <c r="R1411" s="2">
        <v>3</v>
      </c>
      <c r="S1411" s="2">
        <v>-26.755800000000001</v>
      </c>
      <c r="T1411" s="2" t="s">
        <v>430</v>
      </c>
      <c r="U1411" s="2" t="s">
        <v>96</v>
      </c>
    </row>
    <row r="1412" spans="1:21" ht="14.25" customHeight="1" x14ac:dyDescent="0.3">
      <c r="A1412" s="2" t="s">
        <v>3556</v>
      </c>
      <c r="B1412" s="5">
        <v>42468</v>
      </c>
      <c r="C1412" s="2" t="str">
        <f>TEXT(data[[#This Row],[Order Date]],"YYYY")</f>
        <v>2016</v>
      </c>
      <c r="D1412" s="2">
        <v>42475</v>
      </c>
      <c r="E1412" s="2" t="s">
        <v>39</v>
      </c>
      <c r="F1412" s="2" t="s">
        <v>748</v>
      </c>
      <c r="G1412" s="2" t="s">
        <v>749</v>
      </c>
      <c r="H1412" s="2" t="s">
        <v>100</v>
      </c>
      <c r="I1412" s="2" t="s">
        <v>25</v>
      </c>
      <c r="J1412" s="2" t="s">
        <v>3557</v>
      </c>
      <c r="K1412" s="2" t="s">
        <v>1058</v>
      </c>
      <c r="L1412" s="2" t="s">
        <v>28</v>
      </c>
      <c r="M1412" s="2" t="s">
        <v>1123</v>
      </c>
      <c r="N1412" s="2" t="s">
        <v>30</v>
      </c>
      <c r="O1412" s="2" t="s">
        <v>56</v>
      </c>
      <c r="P1412" s="2" t="s">
        <v>1124</v>
      </c>
      <c r="Q1412" s="2">
        <v>159.91999999999999</v>
      </c>
      <c r="R1412" s="2">
        <v>4</v>
      </c>
      <c r="S1412" s="2">
        <v>31.984000000000002</v>
      </c>
      <c r="T1412" s="2" t="s">
        <v>47</v>
      </c>
      <c r="U1412" s="2" t="s">
        <v>113</v>
      </c>
    </row>
    <row r="1413" spans="1:21" ht="14.25" customHeight="1" x14ac:dyDescent="0.3">
      <c r="A1413" s="2" t="s">
        <v>3558</v>
      </c>
      <c r="B1413" s="5">
        <v>42678</v>
      </c>
      <c r="C1413" s="2" t="str">
        <f>TEXT(data[[#This Row],[Order Date]],"YYYY")</f>
        <v>2016</v>
      </c>
      <c r="D1413" s="2">
        <v>42683</v>
      </c>
      <c r="E1413" s="2" t="s">
        <v>39</v>
      </c>
      <c r="F1413" s="2" t="s">
        <v>2529</v>
      </c>
      <c r="G1413" s="2" t="s">
        <v>2530</v>
      </c>
      <c r="H1413" s="2" t="s">
        <v>90</v>
      </c>
      <c r="I1413" s="2" t="s">
        <v>25</v>
      </c>
      <c r="J1413" s="2" t="s">
        <v>1006</v>
      </c>
      <c r="K1413" s="2" t="s">
        <v>43</v>
      </c>
      <c r="L1413" s="2" t="s">
        <v>28</v>
      </c>
      <c r="M1413" s="2" t="s">
        <v>1577</v>
      </c>
      <c r="N1413" s="2" t="s">
        <v>30</v>
      </c>
      <c r="O1413" s="2" t="s">
        <v>56</v>
      </c>
      <c r="P1413" s="2" t="s">
        <v>1578</v>
      </c>
      <c r="Q1413" s="2">
        <v>50.496000000000002</v>
      </c>
      <c r="R1413" s="2">
        <v>6</v>
      </c>
      <c r="S1413" s="2">
        <v>8.2056000000000004</v>
      </c>
      <c r="T1413" s="2" t="s">
        <v>58</v>
      </c>
      <c r="U1413" s="2" t="s">
        <v>34</v>
      </c>
    </row>
    <row r="1414" spans="1:21" ht="14.25" customHeight="1" x14ac:dyDescent="0.3">
      <c r="A1414" s="2" t="s">
        <v>3559</v>
      </c>
      <c r="B1414" s="5">
        <v>42173</v>
      </c>
      <c r="C1414" s="2" t="str">
        <f>TEXT(data[[#This Row],[Order Date]],"YYYY")</f>
        <v>2015</v>
      </c>
      <c r="D1414" s="2">
        <v>42175</v>
      </c>
      <c r="E1414" s="2" t="s">
        <v>87</v>
      </c>
      <c r="F1414" s="2" t="s">
        <v>798</v>
      </c>
      <c r="G1414" s="2" t="s">
        <v>799</v>
      </c>
      <c r="H1414" s="2" t="s">
        <v>90</v>
      </c>
      <c r="I1414" s="2" t="s">
        <v>25</v>
      </c>
      <c r="J1414" s="2" t="s">
        <v>1242</v>
      </c>
      <c r="K1414" s="2" t="s">
        <v>141</v>
      </c>
      <c r="L1414" s="2" t="s">
        <v>28</v>
      </c>
      <c r="M1414" s="2" t="s">
        <v>329</v>
      </c>
      <c r="N1414" s="2" t="s">
        <v>30</v>
      </c>
      <c r="O1414" s="2" t="s">
        <v>36</v>
      </c>
      <c r="P1414" s="2" t="s">
        <v>330</v>
      </c>
      <c r="Q1414" s="2">
        <v>643.13599999999997</v>
      </c>
      <c r="R1414" s="2">
        <v>4</v>
      </c>
      <c r="S1414" s="2">
        <v>56.2744</v>
      </c>
      <c r="T1414" s="2" t="s">
        <v>70</v>
      </c>
      <c r="U1414" s="2" t="s">
        <v>59</v>
      </c>
    </row>
    <row r="1415" spans="1:21" ht="14.25" customHeight="1" x14ac:dyDescent="0.3">
      <c r="A1415" s="2" t="s">
        <v>3560</v>
      </c>
      <c r="B1415" s="5">
        <v>41785</v>
      </c>
      <c r="C1415" s="2" t="str">
        <f>TEXT(data[[#This Row],[Order Date]],"YYYY")</f>
        <v>2014</v>
      </c>
      <c r="D1415" s="2">
        <v>41790</v>
      </c>
      <c r="E1415" s="2" t="s">
        <v>39</v>
      </c>
      <c r="F1415" s="2" t="s">
        <v>1441</v>
      </c>
      <c r="G1415" s="2" t="s">
        <v>1442</v>
      </c>
      <c r="H1415" s="2" t="s">
        <v>24</v>
      </c>
      <c r="I1415" s="2" t="s">
        <v>25</v>
      </c>
      <c r="J1415" s="2" t="s">
        <v>133</v>
      </c>
      <c r="K1415" s="2" t="s">
        <v>134</v>
      </c>
      <c r="L1415" s="2" t="s">
        <v>93</v>
      </c>
      <c r="M1415" s="2" t="s">
        <v>1600</v>
      </c>
      <c r="N1415" s="2" t="s">
        <v>30</v>
      </c>
      <c r="O1415" s="2" t="s">
        <v>36</v>
      </c>
      <c r="P1415" s="2" t="s">
        <v>1601</v>
      </c>
      <c r="Q1415" s="2">
        <v>359.77199999999999</v>
      </c>
      <c r="R1415" s="2">
        <v>2</v>
      </c>
      <c r="S1415" s="2">
        <v>-5.1395999999999997</v>
      </c>
      <c r="T1415" s="2" t="s">
        <v>58</v>
      </c>
      <c r="U1415" s="2" t="s">
        <v>161</v>
      </c>
    </row>
    <row r="1416" spans="1:21" ht="14.25" customHeight="1" x14ac:dyDescent="0.3">
      <c r="A1416" s="2" t="s">
        <v>3561</v>
      </c>
      <c r="B1416" s="5">
        <v>42922</v>
      </c>
      <c r="C1416" s="2" t="str">
        <f>TEXT(data[[#This Row],[Order Date]],"YYYY")</f>
        <v>2017</v>
      </c>
      <c r="D1416" s="2">
        <v>42927</v>
      </c>
      <c r="E1416" s="2" t="s">
        <v>39</v>
      </c>
      <c r="F1416" s="2" t="s">
        <v>403</v>
      </c>
      <c r="G1416" s="2" t="s">
        <v>404</v>
      </c>
      <c r="H1416" s="2" t="s">
        <v>24</v>
      </c>
      <c r="I1416" s="2" t="s">
        <v>25</v>
      </c>
      <c r="J1416" s="2" t="s">
        <v>52</v>
      </c>
      <c r="K1416" s="2" t="s">
        <v>53</v>
      </c>
      <c r="L1416" s="2" t="s">
        <v>54</v>
      </c>
      <c r="M1416" s="2" t="s">
        <v>135</v>
      </c>
      <c r="N1416" s="2" t="s">
        <v>30</v>
      </c>
      <c r="O1416" s="2" t="s">
        <v>36</v>
      </c>
      <c r="P1416" s="2" t="s">
        <v>217</v>
      </c>
      <c r="Q1416" s="2">
        <v>122.136</v>
      </c>
      <c r="R1416" s="2">
        <v>3</v>
      </c>
      <c r="S1416" s="2">
        <v>-13.7403</v>
      </c>
      <c r="T1416" s="2" t="s">
        <v>58</v>
      </c>
      <c r="U1416" s="2" t="s">
        <v>71</v>
      </c>
    </row>
    <row r="1417" spans="1:21" ht="14.25" customHeight="1" x14ac:dyDescent="0.3">
      <c r="A1417" s="2" t="s">
        <v>3562</v>
      </c>
      <c r="B1417" s="5">
        <v>42549</v>
      </c>
      <c r="C1417" s="2" t="str">
        <f>TEXT(data[[#This Row],[Order Date]],"YYYY")</f>
        <v>2016</v>
      </c>
      <c r="D1417" s="2">
        <v>42551</v>
      </c>
      <c r="E1417" s="2" t="s">
        <v>21</v>
      </c>
      <c r="F1417" s="2" t="s">
        <v>2172</v>
      </c>
      <c r="G1417" s="2" t="s">
        <v>2173</v>
      </c>
      <c r="H1417" s="2" t="s">
        <v>24</v>
      </c>
      <c r="I1417" s="2" t="s">
        <v>25</v>
      </c>
      <c r="J1417" s="2" t="s">
        <v>3563</v>
      </c>
      <c r="K1417" s="2" t="s">
        <v>362</v>
      </c>
      <c r="L1417" s="2" t="s">
        <v>67</v>
      </c>
      <c r="M1417" s="2" t="s">
        <v>2428</v>
      </c>
      <c r="N1417" s="2" t="s">
        <v>30</v>
      </c>
      <c r="O1417" s="2" t="s">
        <v>36</v>
      </c>
      <c r="P1417" s="2" t="s">
        <v>2429</v>
      </c>
      <c r="Q1417" s="2">
        <v>121.96</v>
      </c>
      <c r="R1417" s="2">
        <v>2</v>
      </c>
      <c r="S1417" s="2">
        <v>20.7332</v>
      </c>
      <c r="T1417" s="2" t="s">
        <v>70</v>
      </c>
      <c r="U1417" s="2" t="s">
        <v>59</v>
      </c>
    </row>
    <row r="1418" spans="1:21" ht="14.25" customHeight="1" x14ac:dyDescent="0.3">
      <c r="A1418" s="2" t="s">
        <v>3564</v>
      </c>
      <c r="B1418" s="5">
        <v>42993</v>
      </c>
      <c r="C1418" s="2" t="str">
        <f>TEXT(data[[#This Row],[Order Date]],"YYYY")</f>
        <v>2017</v>
      </c>
      <c r="D1418" s="2">
        <v>42997</v>
      </c>
      <c r="E1418" s="2" t="s">
        <v>39</v>
      </c>
      <c r="F1418" s="2" t="s">
        <v>3565</v>
      </c>
      <c r="G1418" s="2" t="s">
        <v>3566</v>
      </c>
      <c r="H1418" s="2" t="s">
        <v>90</v>
      </c>
      <c r="I1418" s="2" t="s">
        <v>25</v>
      </c>
      <c r="J1418" s="2" t="s">
        <v>2060</v>
      </c>
      <c r="K1418" s="2" t="s">
        <v>362</v>
      </c>
      <c r="L1418" s="2" t="s">
        <v>67</v>
      </c>
      <c r="M1418" s="2" t="s">
        <v>2204</v>
      </c>
      <c r="N1418" s="2" t="s">
        <v>30</v>
      </c>
      <c r="O1418" s="2" t="s">
        <v>56</v>
      </c>
      <c r="P1418" s="2" t="s">
        <v>2205</v>
      </c>
      <c r="Q1418" s="2">
        <v>47.4</v>
      </c>
      <c r="R1418" s="2">
        <v>5</v>
      </c>
      <c r="S1418" s="2">
        <v>18.96</v>
      </c>
      <c r="T1418" s="2" t="s">
        <v>83</v>
      </c>
      <c r="U1418" s="2" t="s">
        <v>77</v>
      </c>
    </row>
    <row r="1419" spans="1:21" ht="14.25" customHeight="1" x14ac:dyDescent="0.3">
      <c r="A1419" s="2" t="s">
        <v>3564</v>
      </c>
      <c r="B1419" s="5">
        <v>42993</v>
      </c>
      <c r="C1419" s="2" t="str">
        <f>TEXT(data[[#This Row],[Order Date]],"YYYY")</f>
        <v>2017</v>
      </c>
      <c r="D1419" s="2">
        <v>42997</v>
      </c>
      <c r="E1419" s="2" t="s">
        <v>39</v>
      </c>
      <c r="F1419" s="2" t="s">
        <v>3565</v>
      </c>
      <c r="G1419" s="2" t="s">
        <v>3566</v>
      </c>
      <c r="H1419" s="2" t="s">
        <v>90</v>
      </c>
      <c r="I1419" s="2" t="s">
        <v>25</v>
      </c>
      <c r="J1419" s="2" t="s">
        <v>2060</v>
      </c>
      <c r="K1419" s="2" t="s">
        <v>362</v>
      </c>
      <c r="L1419" s="2" t="s">
        <v>67</v>
      </c>
      <c r="M1419" s="2" t="s">
        <v>2573</v>
      </c>
      <c r="N1419" s="2" t="s">
        <v>30</v>
      </c>
      <c r="O1419" s="2" t="s">
        <v>36</v>
      </c>
      <c r="P1419" s="2" t="s">
        <v>2574</v>
      </c>
      <c r="Q1419" s="2">
        <v>512.96</v>
      </c>
      <c r="R1419" s="2">
        <v>4</v>
      </c>
      <c r="S1419" s="2">
        <v>143.62880000000001</v>
      </c>
      <c r="T1419" s="2" t="s">
        <v>83</v>
      </c>
      <c r="U1419" s="2" t="s">
        <v>77</v>
      </c>
    </row>
    <row r="1420" spans="1:21" ht="14.25" customHeight="1" x14ac:dyDescent="0.3">
      <c r="A1420" s="2" t="s">
        <v>3567</v>
      </c>
      <c r="B1420" s="5">
        <v>42575</v>
      </c>
      <c r="C1420" s="2" t="str">
        <f>TEXT(data[[#This Row],[Order Date]],"YYYY")</f>
        <v>2016</v>
      </c>
      <c r="D1420" s="2">
        <v>42577</v>
      </c>
      <c r="E1420" s="2" t="s">
        <v>21</v>
      </c>
      <c r="F1420" s="2" t="s">
        <v>3194</v>
      </c>
      <c r="G1420" s="2" t="s">
        <v>3195</v>
      </c>
      <c r="H1420" s="2" t="s">
        <v>90</v>
      </c>
      <c r="I1420" s="2" t="s">
        <v>25</v>
      </c>
      <c r="J1420" s="2" t="s">
        <v>173</v>
      </c>
      <c r="K1420" s="2" t="s">
        <v>120</v>
      </c>
      <c r="L1420" s="2" t="s">
        <v>67</v>
      </c>
      <c r="M1420" s="2" t="s">
        <v>1141</v>
      </c>
      <c r="N1420" s="2" t="s">
        <v>30</v>
      </c>
      <c r="O1420" s="2" t="s">
        <v>36</v>
      </c>
      <c r="P1420" s="2" t="s">
        <v>1142</v>
      </c>
      <c r="Q1420" s="2">
        <v>253.76400000000001</v>
      </c>
      <c r="R1420" s="2">
        <v>2</v>
      </c>
      <c r="S1420" s="2">
        <v>31.015599999999999</v>
      </c>
      <c r="T1420" s="2" t="s">
        <v>70</v>
      </c>
      <c r="U1420" s="2" t="s">
        <v>71</v>
      </c>
    </row>
    <row r="1421" spans="1:21" ht="14.25" customHeight="1" x14ac:dyDescent="0.3">
      <c r="A1421" s="2" t="s">
        <v>3568</v>
      </c>
      <c r="B1421" s="5">
        <v>42845</v>
      </c>
      <c r="C1421" s="2" t="str">
        <f>TEXT(data[[#This Row],[Order Date]],"YYYY")</f>
        <v>2017</v>
      </c>
      <c r="D1421" s="2">
        <v>42849</v>
      </c>
      <c r="E1421" s="2" t="s">
        <v>39</v>
      </c>
      <c r="F1421" s="2" t="s">
        <v>2359</v>
      </c>
      <c r="G1421" s="2" t="s">
        <v>2360</v>
      </c>
      <c r="H1421" s="2" t="s">
        <v>24</v>
      </c>
      <c r="I1421" s="2" t="s">
        <v>25</v>
      </c>
      <c r="J1421" s="2" t="s">
        <v>133</v>
      </c>
      <c r="K1421" s="2" t="s">
        <v>134</v>
      </c>
      <c r="L1421" s="2" t="s">
        <v>93</v>
      </c>
      <c r="M1421" s="2" t="s">
        <v>394</v>
      </c>
      <c r="N1421" s="2" t="s">
        <v>30</v>
      </c>
      <c r="O1421" s="2" t="s">
        <v>36</v>
      </c>
      <c r="P1421" s="2" t="s">
        <v>395</v>
      </c>
      <c r="Q1421" s="2">
        <v>317.05799999999999</v>
      </c>
      <c r="R1421" s="2">
        <v>3</v>
      </c>
      <c r="S1421" s="2">
        <v>-18.117599999999999</v>
      </c>
      <c r="T1421" s="2" t="s">
        <v>83</v>
      </c>
      <c r="U1421" s="2" t="s">
        <v>113</v>
      </c>
    </row>
    <row r="1422" spans="1:21" ht="14.25" customHeight="1" x14ac:dyDescent="0.3">
      <c r="A1422" s="2" t="s">
        <v>3568</v>
      </c>
      <c r="B1422" s="5">
        <v>42845</v>
      </c>
      <c r="C1422" s="2" t="str">
        <f>TEXT(data[[#This Row],[Order Date]],"YYYY")</f>
        <v>2017</v>
      </c>
      <c r="D1422" s="2">
        <v>42849</v>
      </c>
      <c r="E1422" s="2" t="s">
        <v>39</v>
      </c>
      <c r="F1422" s="2" t="s">
        <v>2359</v>
      </c>
      <c r="G1422" s="2" t="s">
        <v>2360</v>
      </c>
      <c r="H1422" s="2" t="s">
        <v>24</v>
      </c>
      <c r="I1422" s="2" t="s">
        <v>25</v>
      </c>
      <c r="J1422" s="2" t="s">
        <v>133</v>
      </c>
      <c r="K1422" s="2" t="s">
        <v>134</v>
      </c>
      <c r="L1422" s="2" t="s">
        <v>93</v>
      </c>
      <c r="M1422" s="2" t="s">
        <v>1348</v>
      </c>
      <c r="N1422" s="2" t="s">
        <v>30</v>
      </c>
      <c r="O1422" s="2" t="s">
        <v>56</v>
      </c>
      <c r="P1422" s="2" t="s">
        <v>1349</v>
      </c>
      <c r="Q1422" s="2">
        <v>14.56</v>
      </c>
      <c r="R1422" s="2">
        <v>5</v>
      </c>
      <c r="S1422" s="2">
        <v>-6.1879999999999997</v>
      </c>
      <c r="T1422" s="2" t="s">
        <v>83</v>
      </c>
      <c r="U1422" s="2" t="s">
        <v>113</v>
      </c>
    </row>
    <row r="1423" spans="1:21" ht="14.25" customHeight="1" x14ac:dyDescent="0.3">
      <c r="A1423" s="2" t="s">
        <v>3569</v>
      </c>
      <c r="B1423" s="5">
        <v>42616</v>
      </c>
      <c r="C1423" s="2" t="str">
        <f>TEXT(data[[#This Row],[Order Date]],"YYYY")</f>
        <v>2016</v>
      </c>
      <c r="D1423" s="2">
        <v>42621</v>
      </c>
      <c r="E1423" s="2" t="s">
        <v>21</v>
      </c>
      <c r="F1423" s="2" t="s">
        <v>2035</v>
      </c>
      <c r="G1423" s="2" t="s">
        <v>2036</v>
      </c>
      <c r="H1423" s="2" t="s">
        <v>24</v>
      </c>
      <c r="I1423" s="2" t="s">
        <v>25</v>
      </c>
      <c r="J1423" s="2" t="s">
        <v>2754</v>
      </c>
      <c r="K1423" s="2" t="s">
        <v>1089</v>
      </c>
      <c r="L1423" s="2" t="s">
        <v>67</v>
      </c>
      <c r="M1423" s="2" t="s">
        <v>1476</v>
      </c>
      <c r="N1423" s="2" t="s">
        <v>30</v>
      </c>
      <c r="O1423" s="2" t="s">
        <v>31</v>
      </c>
      <c r="P1423" s="2" t="s">
        <v>1477</v>
      </c>
      <c r="Q1423" s="2">
        <v>344.94</v>
      </c>
      <c r="R1423" s="2">
        <v>3</v>
      </c>
      <c r="S1423" s="2">
        <v>31.044599999999999</v>
      </c>
      <c r="T1423" s="2" t="s">
        <v>58</v>
      </c>
      <c r="U1423" s="2" t="s">
        <v>77</v>
      </c>
    </row>
    <row r="1424" spans="1:21" ht="14.25" customHeight="1" x14ac:dyDescent="0.3">
      <c r="A1424" s="2" t="s">
        <v>3569</v>
      </c>
      <c r="B1424" s="5">
        <v>42616</v>
      </c>
      <c r="C1424" s="2" t="str">
        <f>TEXT(data[[#This Row],[Order Date]],"YYYY")</f>
        <v>2016</v>
      </c>
      <c r="D1424" s="2">
        <v>42621</v>
      </c>
      <c r="E1424" s="2" t="s">
        <v>21</v>
      </c>
      <c r="F1424" s="2" t="s">
        <v>2035</v>
      </c>
      <c r="G1424" s="2" t="s">
        <v>2036</v>
      </c>
      <c r="H1424" s="2" t="s">
        <v>24</v>
      </c>
      <c r="I1424" s="2" t="s">
        <v>25</v>
      </c>
      <c r="J1424" s="2" t="s">
        <v>2754</v>
      </c>
      <c r="K1424" s="2" t="s">
        <v>1089</v>
      </c>
      <c r="L1424" s="2" t="s">
        <v>67</v>
      </c>
      <c r="M1424" s="2" t="s">
        <v>1718</v>
      </c>
      <c r="N1424" s="2" t="s">
        <v>30</v>
      </c>
      <c r="O1424" s="2" t="s">
        <v>56</v>
      </c>
      <c r="P1424" s="2" t="s">
        <v>1719</v>
      </c>
      <c r="Q1424" s="2">
        <v>14.76</v>
      </c>
      <c r="R1424" s="2">
        <v>2</v>
      </c>
      <c r="S1424" s="2">
        <v>4.2804000000000002</v>
      </c>
      <c r="T1424" s="2" t="s">
        <v>58</v>
      </c>
      <c r="U1424" s="2" t="s">
        <v>77</v>
      </c>
    </row>
    <row r="1425" spans="1:21" ht="14.25" customHeight="1" x14ac:dyDescent="0.3">
      <c r="A1425" s="2" t="s">
        <v>3570</v>
      </c>
      <c r="B1425" s="5">
        <v>42941</v>
      </c>
      <c r="C1425" s="2" t="str">
        <f>TEXT(data[[#This Row],[Order Date]],"YYYY")</f>
        <v>2017</v>
      </c>
      <c r="D1425" s="2">
        <v>42944</v>
      </c>
      <c r="E1425" s="2" t="s">
        <v>21</v>
      </c>
      <c r="F1425" s="2" t="s">
        <v>2506</v>
      </c>
      <c r="G1425" s="2" t="s">
        <v>2507</v>
      </c>
      <c r="H1425" s="2" t="s">
        <v>24</v>
      </c>
      <c r="I1425" s="2" t="s">
        <v>25</v>
      </c>
      <c r="J1425" s="2" t="s">
        <v>65</v>
      </c>
      <c r="K1425" s="2" t="s">
        <v>66</v>
      </c>
      <c r="L1425" s="2" t="s">
        <v>67</v>
      </c>
      <c r="M1425" s="2" t="s">
        <v>677</v>
      </c>
      <c r="N1425" s="2" t="s">
        <v>30</v>
      </c>
      <c r="O1425" s="2" t="s">
        <v>56</v>
      </c>
      <c r="P1425" s="2" t="s">
        <v>678</v>
      </c>
      <c r="Q1425" s="2">
        <v>20.096</v>
      </c>
      <c r="R1425" s="2">
        <v>4</v>
      </c>
      <c r="S1425" s="2">
        <v>3.0144000000000002</v>
      </c>
      <c r="T1425" s="2" t="s">
        <v>33</v>
      </c>
      <c r="U1425" s="2" t="s">
        <v>71</v>
      </c>
    </row>
    <row r="1426" spans="1:21" ht="14.25" customHeight="1" x14ac:dyDescent="0.3">
      <c r="A1426" s="2" t="s">
        <v>3570</v>
      </c>
      <c r="B1426" s="5">
        <v>42941</v>
      </c>
      <c r="C1426" s="2" t="str">
        <f>TEXT(data[[#This Row],[Order Date]],"YYYY")</f>
        <v>2017</v>
      </c>
      <c r="D1426" s="2">
        <v>42944</v>
      </c>
      <c r="E1426" s="2" t="s">
        <v>21</v>
      </c>
      <c r="F1426" s="2" t="s">
        <v>2506</v>
      </c>
      <c r="G1426" s="2" t="s">
        <v>2507</v>
      </c>
      <c r="H1426" s="2" t="s">
        <v>24</v>
      </c>
      <c r="I1426" s="2" t="s">
        <v>25</v>
      </c>
      <c r="J1426" s="2" t="s">
        <v>65</v>
      </c>
      <c r="K1426" s="2" t="s">
        <v>66</v>
      </c>
      <c r="L1426" s="2" t="s">
        <v>67</v>
      </c>
      <c r="M1426" s="2" t="s">
        <v>3165</v>
      </c>
      <c r="N1426" s="2" t="s">
        <v>30</v>
      </c>
      <c r="O1426" s="2" t="s">
        <v>45</v>
      </c>
      <c r="P1426" s="2" t="s">
        <v>3166</v>
      </c>
      <c r="Q1426" s="2">
        <v>138.58799999999999</v>
      </c>
      <c r="R1426" s="2">
        <v>1</v>
      </c>
      <c r="S1426" s="2">
        <v>-34.646999999999998</v>
      </c>
      <c r="T1426" s="2" t="s">
        <v>33</v>
      </c>
      <c r="U1426" s="2" t="s">
        <v>71</v>
      </c>
    </row>
    <row r="1427" spans="1:21" ht="14.25" customHeight="1" x14ac:dyDescent="0.3">
      <c r="A1427" s="2" t="s">
        <v>3571</v>
      </c>
      <c r="B1427" s="5">
        <v>42260</v>
      </c>
      <c r="C1427" s="2" t="str">
        <f>TEXT(data[[#This Row],[Order Date]],"YYYY")</f>
        <v>2015</v>
      </c>
      <c r="D1427" s="2">
        <v>42267</v>
      </c>
      <c r="E1427" s="2" t="s">
        <v>39</v>
      </c>
      <c r="F1427" s="2" t="s">
        <v>366</v>
      </c>
      <c r="G1427" s="2" t="s">
        <v>367</v>
      </c>
      <c r="H1427" s="2" t="s">
        <v>24</v>
      </c>
      <c r="I1427" s="2" t="s">
        <v>25</v>
      </c>
      <c r="J1427" s="2" t="s">
        <v>2138</v>
      </c>
      <c r="K1427" s="2" t="s">
        <v>667</v>
      </c>
      <c r="L1427" s="2" t="s">
        <v>28</v>
      </c>
      <c r="M1427" s="2" t="s">
        <v>990</v>
      </c>
      <c r="N1427" s="2" t="s">
        <v>30</v>
      </c>
      <c r="O1427" s="2" t="s">
        <v>56</v>
      </c>
      <c r="P1427" s="2" t="s">
        <v>991</v>
      </c>
      <c r="Q1427" s="2">
        <v>129.93</v>
      </c>
      <c r="R1427" s="2">
        <v>3</v>
      </c>
      <c r="S1427" s="2">
        <v>12.993</v>
      </c>
      <c r="T1427" s="2" t="s">
        <v>47</v>
      </c>
      <c r="U1427" s="2" t="s">
        <v>77</v>
      </c>
    </row>
    <row r="1428" spans="1:21" ht="14.25" customHeight="1" x14ac:dyDescent="0.3">
      <c r="A1428" s="2" t="s">
        <v>3572</v>
      </c>
      <c r="B1428" s="5">
        <v>42684</v>
      </c>
      <c r="C1428" s="2" t="str">
        <f>TEXT(data[[#This Row],[Order Date]],"YYYY")</f>
        <v>2016</v>
      </c>
      <c r="D1428" s="2">
        <v>42689</v>
      </c>
      <c r="E1428" s="2" t="s">
        <v>39</v>
      </c>
      <c r="F1428" s="2" t="s">
        <v>1737</v>
      </c>
      <c r="G1428" s="2" t="s">
        <v>1738</v>
      </c>
      <c r="H1428" s="2" t="s">
        <v>100</v>
      </c>
      <c r="I1428" s="2" t="s">
        <v>25</v>
      </c>
      <c r="J1428" s="2" t="s">
        <v>1849</v>
      </c>
      <c r="K1428" s="2" t="s">
        <v>53</v>
      </c>
      <c r="L1428" s="2" t="s">
        <v>54</v>
      </c>
      <c r="M1428" s="2" t="s">
        <v>2659</v>
      </c>
      <c r="N1428" s="2" t="s">
        <v>30</v>
      </c>
      <c r="O1428" s="2" t="s">
        <v>56</v>
      </c>
      <c r="P1428" s="2" t="s">
        <v>2660</v>
      </c>
      <c r="Q1428" s="2">
        <v>9.98</v>
      </c>
      <c r="R1428" s="2">
        <v>1</v>
      </c>
      <c r="S1428" s="2">
        <v>2.7944</v>
      </c>
      <c r="T1428" s="2" t="s">
        <v>58</v>
      </c>
      <c r="U1428" s="2" t="s">
        <v>34</v>
      </c>
    </row>
    <row r="1429" spans="1:21" ht="14.25" customHeight="1" x14ac:dyDescent="0.3">
      <c r="A1429" s="2" t="s">
        <v>3573</v>
      </c>
      <c r="B1429" s="5">
        <v>42324</v>
      </c>
      <c r="C1429" s="2" t="str">
        <f>TEXT(data[[#This Row],[Order Date]],"YYYY")</f>
        <v>2015</v>
      </c>
      <c r="D1429" s="2">
        <v>42328</v>
      </c>
      <c r="E1429" s="2" t="s">
        <v>39</v>
      </c>
      <c r="F1429" s="2" t="s">
        <v>569</v>
      </c>
      <c r="G1429" s="2" t="s">
        <v>570</v>
      </c>
      <c r="H1429" s="2" t="s">
        <v>90</v>
      </c>
      <c r="I1429" s="2" t="s">
        <v>25</v>
      </c>
      <c r="J1429" s="2" t="s">
        <v>133</v>
      </c>
      <c r="K1429" s="2" t="s">
        <v>134</v>
      </c>
      <c r="L1429" s="2" t="s">
        <v>93</v>
      </c>
      <c r="M1429" s="2" t="s">
        <v>2690</v>
      </c>
      <c r="N1429" s="2" t="s">
        <v>30</v>
      </c>
      <c r="O1429" s="2" t="s">
        <v>56</v>
      </c>
      <c r="P1429" s="2" t="s">
        <v>2691</v>
      </c>
      <c r="Q1429" s="2">
        <v>34.503999999999998</v>
      </c>
      <c r="R1429" s="2">
        <v>2</v>
      </c>
      <c r="S1429" s="2">
        <v>-15.5268</v>
      </c>
      <c r="T1429" s="2" t="s">
        <v>83</v>
      </c>
      <c r="U1429" s="2" t="s">
        <v>34</v>
      </c>
    </row>
    <row r="1430" spans="1:21" ht="14.25" customHeight="1" x14ac:dyDescent="0.3">
      <c r="A1430" s="2" t="s">
        <v>3574</v>
      </c>
      <c r="B1430" s="5">
        <v>42241</v>
      </c>
      <c r="C1430" s="2" t="str">
        <f>TEXT(data[[#This Row],[Order Date]],"YYYY")</f>
        <v>2015</v>
      </c>
      <c r="D1430" s="2">
        <v>42241</v>
      </c>
      <c r="E1430" s="2" t="s">
        <v>425</v>
      </c>
      <c r="F1430" s="2" t="s">
        <v>1372</v>
      </c>
      <c r="G1430" s="2" t="s">
        <v>1373</v>
      </c>
      <c r="H1430" s="2" t="s">
        <v>24</v>
      </c>
      <c r="I1430" s="2" t="s">
        <v>25</v>
      </c>
      <c r="J1430" s="2" t="s">
        <v>101</v>
      </c>
      <c r="K1430" s="2" t="s">
        <v>92</v>
      </c>
      <c r="L1430" s="2" t="s">
        <v>93</v>
      </c>
      <c r="M1430" s="2" t="s">
        <v>1290</v>
      </c>
      <c r="N1430" s="2" t="s">
        <v>30</v>
      </c>
      <c r="O1430" s="2" t="s">
        <v>56</v>
      </c>
      <c r="P1430" s="2" t="s">
        <v>1758</v>
      </c>
      <c r="Q1430" s="2">
        <v>20.103999999999999</v>
      </c>
      <c r="R1430" s="2">
        <v>2</v>
      </c>
      <c r="S1430" s="2">
        <v>-16.585799999999999</v>
      </c>
      <c r="T1430" s="2" t="s">
        <v>430</v>
      </c>
      <c r="U1430" s="2" t="s">
        <v>253</v>
      </c>
    </row>
    <row r="1431" spans="1:21" ht="14.25" customHeight="1" x14ac:dyDescent="0.3">
      <c r="A1431" s="2" t="s">
        <v>3574</v>
      </c>
      <c r="B1431" s="5">
        <v>42241</v>
      </c>
      <c r="C1431" s="2" t="str">
        <f>TEXT(data[[#This Row],[Order Date]],"YYYY")</f>
        <v>2015</v>
      </c>
      <c r="D1431" s="2">
        <v>42241</v>
      </c>
      <c r="E1431" s="2" t="s">
        <v>425</v>
      </c>
      <c r="F1431" s="2" t="s">
        <v>1372</v>
      </c>
      <c r="G1431" s="2" t="s">
        <v>1373</v>
      </c>
      <c r="H1431" s="2" t="s">
        <v>24</v>
      </c>
      <c r="I1431" s="2" t="s">
        <v>25</v>
      </c>
      <c r="J1431" s="2" t="s">
        <v>101</v>
      </c>
      <c r="K1431" s="2" t="s">
        <v>92</v>
      </c>
      <c r="L1431" s="2" t="s">
        <v>93</v>
      </c>
      <c r="M1431" s="2" t="s">
        <v>3575</v>
      </c>
      <c r="N1431" s="2" t="s">
        <v>30</v>
      </c>
      <c r="O1431" s="2" t="s">
        <v>56</v>
      </c>
      <c r="P1431" s="2" t="s">
        <v>3576</v>
      </c>
      <c r="Q1431" s="2">
        <v>7.88</v>
      </c>
      <c r="R1431" s="2">
        <v>5</v>
      </c>
      <c r="S1431" s="2">
        <v>-3.94</v>
      </c>
      <c r="T1431" s="2" t="s">
        <v>430</v>
      </c>
      <c r="U1431" s="2" t="s">
        <v>253</v>
      </c>
    </row>
    <row r="1432" spans="1:21" ht="14.25" customHeight="1" x14ac:dyDescent="0.3">
      <c r="A1432" s="2" t="s">
        <v>3577</v>
      </c>
      <c r="B1432" s="5">
        <v>42729</v>
      </c>
      <c r="C1432" s="2" t="str">
        <f>TEXT(data[[#This Row],[Order Date]],"YYYY")</f>
        <v>2016</v>
      </c>
      <c r="D1432" s="2">
        <v>42736</v>
      </c>
      <c r="E1432" s="2" t="s">
        <v>39</v>
      </c>
      <c r="F1432" s="2" t="s">
        <v>1621</v>
      </c>
      <c r="G1432" s="2" t="s">
        <v>1622</v>
      </c>
      <c r="H1432" s="2" t="s">
        <v>90</v>
      </c>
      <c r="I1432" s="2" t="s">
        <v>25</v>
      </c>
      <c r="J1432" s="2" t="s">
        <v>519</v>
      </c>
      <c r="K1432" s="2" t="s">
        <v>520</v>
      </c>
      <c r="L1432" s="2" t="s">
        <v>54</v>
      </c>
      <c r="M1432" s="2" t="s">
        <v>317</v>
      </c>
      <c r="N1432" s="2" t="s">
        <v>30</v>
      </c>
      <c r="O1432" s="2" t="s">
        <v>45</v>
      </c>
      <c r="P1432" s="2" t="s">
        <v>318</v>
      </c>
      <c r="Q1432" s="2">
        <v>35.445</v>
      </c>
      <c r="R1432" s="2">
        <v>1</v>
      </c>
      <c r="S1432" s="2">
        <v>-24.102599999999999</v>
      </c>
      <c r="T1432" s="2" t="s">
        <v>47</v>
      </c>
      <c r="U1432" s="2" t="s">
        <v>96</v>
      </c>
    </row>
    <row r="1433" spans="1:21" ht="14.25" customHeight="1" x14ac:dyDescent="0.3">
      <c r="A1433" s="2" t="s">
        <v>3577</v>
      </c>
      <c r="B1433" s="5">
        <v>42729</v>
      </c>
      <c r="C1433" s="2" t="str">
        <f>TEXT(data[[#This Row],[Order Date]],"YYYY")</f>
        <v>2016</v>
      </c>
      <c r="D1433" s="2">
        <v>42736</v>
      </c>
      <c r="E1433" s="2" t="s">
        <v>39</v>
      </c>
      <c r="F1433" s="2" t="s">
        <v>1621</v>
      </c>
      <c r="G1433" s="2" t="s">
        <v>1622</v>
      </c>
      <c r="H1433" s="2" t="s">
        <v>90</v>
      </c>
      <c r="I1433" s="2" t="s">
        <v>25</v>
      </c>
      <c r="J1433" s="2" t="s">
        <v>519</v>
      </c>
      <c r="K1433" s="2" t="s">
        <v>520</v>
      </c>
      <c r="L1433" s="2" t="s">
        <v>54</v>
      </c>
      <c r="M1433" s="2" t="s">
        <v>1513</v>
      </c>
      <c r="N1433" s="2" t="s">
        <v>30</v>
      </c>
      <c r="O1433" s="2" t="s">
        <v>36</v>
      </c>
      <c r="P1433" s="2" t="s">
        <v>1514</v>
      </c>
      <c r="Q1433" s="2">
        <v>47.968000000000004</v>
      </c>
      <c r="R1433" s="2">
        <v>2</v>
      </c>
      <c r="S1433" s="2">
        <v>4.1971999999999996</v>
      </c>
      <c r="T1433" s="2" t="s">
        <v>47</v>
      </c>
      <c r="U1433" s="2" t="s">
        <v>96</v>
      </c>
    </row>
    <row r="1434" spans="1:21" ht="14.25" customHeight="1" x14ac:dyDescent="0.3">
      <c r="A1434" s="2" t="s">
        <v>3578</v>
      </c>
      <c r="B1434" s="5">
        <v>42094</v>
      </c>
      <c r="C1434" s="2" t="str">
        <f>TEXT(data[[#This Row],[Order Date]],"YYYY")</f>
        <v>2015</v>
      </c>
      <c r="D1434" s="2">
        <v>42099</v>
      </c>
      <c r="E1434" s="2" t="s">
        <v>39</v>
      </c>
      <c r="F1434" s="2" t="s">
        <v>503</v>
      </c>
      <c r="G1434" s="2" t="s">
        <v>504</v>
      </c>
      <c r="H1434" s="2" t="s">
        <v>90</v>
      </c>
      <c r="I1434" s="2" t="s">
        <v>25</v>
      </c>
      <c r="J1434" s="2" t="s">
        <v>101</v>
      </c>
      <c r="K1434" s="2" t="s">
        <v>92</v>
      </c>
      <c r="L1434" s="2" t="s">
        <v>93</v>
      </c>
      <c r="M1434" s="2" t="s">
        <v>2648</v>
      </c>
      <c r="N1434" s="2" t="s">
        <v>30</v>
      </c>
      <c r="O1434" s="2" t="s">
        <v>56</v>
      </c>
      <c r="P1434" s="2" t="s">
        <v>2649</v>
      </c>
      <c r="Q1434" s="2">
        <v>22.38</v>
      </c>
      <c r="R1434" s="2">
        <v>3</v>
      </c>
      <c r="S1434" s="2">
        <v>-7.8330000000000002</v>
      </c>
      <c r="T1434" s="2" t="s">
        <v>58</v>
      </c>
      <c r="U1434" s="2" t="s">
        <v>195</v>
      </c>
    </row>
    <row r="1435" spans="1:21" ht="14.25" customHeight="1" x14ac:dyDescent="0.3">
      <c r="A1435" s="2" t="s">
        <v>3579</v>
      </c>
      <c r="B1435" s="5">
        <v>42992</v>
      </c>
      <c r="C1435" s="2" t="str">
        <f>TEXT(data[[#This Row],[Order Date]],"YYYY")</f>
        <v>2017</v>
      </c>
      <c r="D1435" s="2">
        <v>42993</v>
      </c>
      <c r="E1435" s="2" t="s">
        <v>87</v>
      </c>
      <c r="F1435" s="2" t="s">
        <v>3580</v>
      </c>
      <c r="G1435" s="2" t="s">
        <v>3581</v>
      </c>
      <c r="H1435" s="2" t="s">
        <v>24</v>
      </c>
      <c r="I1435" s="2" t="s">
        <v>25</v>
      </c>
      <c r="J1435" s="2" t="s">
        <v>65</v>
      </c>
      <c r="K1435" s="2" t="s">
        <v>66</v>
      </c>
      <c r="L1435" s="2" t="s">
        <v>67</v>
      </c>
      <c r="M1435" s="2" t="s">
        <v>495</v>
      </c>
      <c r="N1435" s="2" t="s">
        <v>30</v>
      </c>
      <c r="O1435" s="2" t="s">
        <v>36</v>
      </c>
      <c r="P1435" s="2" t="s">
        <v>496</v>
      </c>
      <c r="Q1435" s="2">
        <v>113.372</v>
      </c>
      <c r="R1435" s="2">
        <v>2</v>
      </c>
      <c r="S1435" s="2">
        <v>-29.152799999999999</v>
      </c>
      <c r="T1435" s="2" t="s">
        <v>123</v>
      </c>
      <c r="U1435" s="2" t="s">
        <v>77</v>
      </c>
    </row>
    <row r="1436" spans="1:21" ht="14.25" customHeight="1" x14ac:dyDescent="0.3">
      <c r="A1436" s="2" t="s">
        <v>3579</v>
      </c>
      <c r="B1436" s="5">
        <v>42992</v>
      </c>
      <c r="C1436" s="2" t="str">
        <f>TEXT(data[[#This Row],[Order Date]],"YYYY")</f>
        <v>2017</v>
      </c>
      <c r="D1436" s="2">
        <v>42993</v>
      </c>
      <c r="E1436" s="2" t="s">
        <v>87</v>
      </c>
      <c r="F1436" s="2" t="s">
        <v>3580</v>
      </c>
      <c r="G1436" s="2" t="s">
        <v>3581</v>
      </c>
      <c r="H1436" s="2" t="s">
        <v>24</v>
      </c>
      <c r="I1436" s="2" t="s">
        <v>25</v>
      </c>
      <c r="J1436" s="2" t="s">
        <v>65</v>
      </c>
      <c r="K1436" s="2" t="s">
        <v>66</v>
      </c>
      <c r="L1436" s="2" t="s">
        <v>67</v>
      </c>
      <c r="M1436" s="2" t="s">
        <v>3582</v>
      </c>
      <c r="N1436" s="2" t="s">
        <v>30</v>
      </c>
      <c r="O1436" s="2" t="s">
        <v>56</v>
      </c>
      <c r="P1436" s="2" t="s">
        <v>3583</v>
      </c>
      <c r="Q1436" s="2">
        <v>127.93600000000001</v>
      </c>
      <c r="R1436" s="2">
        <v>8</v>
      </c>
      <c r="S1436" s="2">
        <v>4.7976000000000001</v>
      </c>
      <c r="T1436" s="2" t="s">
        <v>123</v>
      </c>
      <c r="U1436" s="2" t="s">
        <v>77</v>
      </c>
    </row>
    <row r="1437" spans="1:21" ht="14.25" customHeight="1" x14ac:dyDescent="0.3">
      <c r="A1437" s="2" t="s">
        <v>3584</v>
      </c>
      <c r="B1437" s="5">
        <v>41807</v>
      </c>
      <c r="C1437" s="2" t="str">
        <f>TEXT(data[[#This Row],[Order Date]],"YYYY")</f>
        <v>2014</v>
      </c>
      <c r="D1437" s="2">
        <v>41811</v>
      </c>
      <c r="E1437" s="2" t="s">
        <v>39</v>
      </c>
      <c r="F1437" s="2" t="s">
        <v>1342</v>
      </c>
      <c r="G1437" s="2" t="s">
        <v>1343</v>
      </c>
      <c r="H1437" s="2" t="s">
        <v>24</v>
      </c>
      <c r="I1437" s="2" t="s">
        <v>25</v>
      </c>
      <c r="J1437" s="2" t="s">
        <v>191</v>
      </c>
      <c r="K1437" s="2" t="s">
        <v>192</v>
      </c>
      <c r="L1437" s="2" t="s">
        <v>54</v>
      </c>
      <c r="M1437" s="2" t="s">
        <v>1361</v>
      </c>
      <c r="N1437" s="2" t="s">
        <v>30</v>
      </c>
      <c r="O1437" s="2" t="s">
        <v>56</v>
      </c>
      <c r="P1437" s="2" t="s">
        <v>423</v>
      </c>
      <c r="Q1437" s="2">
        <v>6.24</v>
      </c>
      <c r="R1437" s="2">
        <v>3</v>
      </c>
      <c r="S1437" s="2">
        <v>2.6208</v>
      </c>
      <c r="T1437" s="2" t="s">
        <v>83</v>
      </c>
      <c r="U1437" s="2" t="s">
        <v>59</v>
      </c>
    </row>
    <row r="1438" spans="1:21" ht="14.25" customHeight="1" x14ac:dyDescent="0.3">
      <c r="A1438" s="2" t="s">
        <v>3585</v>
      </c>
      <c r="B1438" s="5">
        <v>43097</v>
      </c>
      <c r="C1438" s="2" t="str">
        <f>TEXT(data[[#This Row],[Order Date]],"YYYY")</f>
        <v>2017</v>
      </c>
      <c r="D1438" s="2">
        <v>43101</v>
      </c>
      <c r="E1438" s="2" t="s">
        <v>39</v>
      </c>
      <c r="F1438" s="2" t="s">
        <v>3417</v>
      </c>
      <c r="G1438" s="2" t="s">
        <v>3418</v>
      </c>
      <c r="H1438" s="2" t="s">
        <v>90</v>
      </c>
      <c r="I1438" s="2" t="s">
        <v>25</v>
      </c>
      <c r="J1438" s="2" t="s">
        <v>1379</v>
      </c>
      <c r="K1438" s="2" t="s">
        <v>134</v>
      </c>
      <c r="L1438" s="2" t="s">
        <v>93</v>
      </c>
      <c r="M1438" s="2" t="s">
        <v>2326</v>
      </c>
      <c r="N1438" s="2" t="s">
        <v>30</v>
      </c>
      <c r="O1438" s="2" t="s">
        <v>56</v>
      </c>
      <c r="P1438" s="2" t="s">
        <v>2327</v>
      </c>
      <c r="Q1438" s="2">
        <v>7.968</v>
      </c>
      <c r="R1438" s="2">
        <v>3</v>
      </c>
      <c r="S1438" s="2">
        <v>-2.3904000000000001</v>
      </c>
      <c r="T1438" s="2" t="s">
        <v>83</v>
      </c>
      <c r="U1438" s="2" t="s">
        <v>96</v>
      </c>
    </row>
    <row r="1439" spans="1:21" ht="14.25" customHeight="1" x14ac:dyDescent="0.3">
      <c r="A1439" s="2" t="s">
        <v>3585</v>
      </c>
      <c r="B1439" s="5">
        <v>43097</v>
      </c>
      <c r="C1439" s="2" t="str">
        <f>TEXT(data[[#This Row],[Order Date]],"YYYY")</f>
        <v>2017</v>
      </c>
      <c r="D1439" s="2">
        <v>43101</v>
      </c>
      <c r="E1439" s="2" t="s">
        <v>39</v>
      </c>
      <c r="F1439" s="2" t="s">
        <v>3417</v>
      </c>
      <c r="G1439" s="2" t="s">
        <v>3418</v>
      </c>
      <c r="H1439" s="2" t="s">
        <v>90</v>
      </c>
      <c r="I1439" s="2" t="s">
        <v>25</v>
      </c>
      <c r="J1439" s="2" t="s">
        <v>1379</v>
      </c>
      <c r="K1439" s="2" t="s">
        <v>134</v>
      </c>
      <c r="L1439" s="2" t="s">
        <v>93</v>
      </c>
      <c r="M1439" s="2" t="s">
        <v>255</v>
      </c>
      <c r="N1439" s="2" t="s">
        <v>30</v>
      </c>
      <c r="O1439" s="2" t="s">
        <v>36</v>
      </c>
      <c r="P1439" s="2" t="s">
        <v>256</v>
      </c>
      <c r="Q1439" s="2">
        <v>113.372</v>
      </c>
      <c r="R1439" s="2">
        <v>2</v>
      </c>
      <c r="S1439" s="2">
        <v>-3.2391999999999999</v>
      </c>
      <c r="T1439" s="2" t="s">
        <v>83</v>
      </c>
      <c r="U1439" s="2" t="s">
        <v>96</v>
      </c>
    </row>
    <row r="1440" spans="1:21" ht="14.25" customHeight="1" x14ac:dyDescent="0.3">
      <c r="A1440" s="2" t="s">
        <v>3585</v>
      </c>
      <c r="B1440" s="5">
        <v>43097</v>
      </c>
      <c r="C1440" s="2" t="str">
        <f>TEXT(data[[#This Row],[Order Date]],"YYYY")</f>
        <v>2017</v>
      </c>
      <c r="D1440" s="2">
        <v>43101</v>
      </c>
      <c r="E1440" s="2" t="s">
        <v>39</v>
      </c>
      <c r="F1440" s="2" t="s">
        <v>3417</v>
      </c>
      <c r="G1440" s="2" t="s">
        <v>3418</v>
      </c>
      <c r="H1440" s="2" t="s">
        <v>90</v>
      </c>
      <c r="I1440" s="2" t="s">
        <v>25</v>
      </c>
      <c r="J1440" s="2" t="s">
        <v>1379</v>
      </c>
      <c r="K1440" s="2" t="s">
        <v>134</v>
      </c>
      <c r="L1440" s="2" t="s">
        <v>93</v>
      </c>
      <c r="M1440" s="2" t="s">
        <v>446</v>
      </c>
      <c r="N1440" s="2" t="s">
        <v>30</v>
      </c>
      <c r="O1440" s="2" t="s">
        <v>56</v>
      </c>
      <c r="P1440" s="2" t="s">
        <v>447</v>
      </c>
      <c r="Q1440" s="2">
        <v>2.96</v>
      </c>
      <c r="R1440" s="2">
        <v>2</v>
      </c>
      <c r="S1440" s="2">
        <v>-1.4059999999999999</v>
      </c>
      <c r="T1440" s="2" t="s">
        <v>83</v>
      </c>
      <c r="U1440" s="2" t="s">
        <v>96</v>
      </c>
    </row>
    <row r="1441" spans="1:21" ht="14.25" customHeight="1" x14ac:dyDescent="0.3">
      <c r="A1441" s="2" t="s">
        <v>3586</v>
      </c>
      <c r="B1441" s="5">
        <v>42210</v>
      </c>
      <c r="C1441" s="2" t="str">
        <f>TEXT(data[[#This Row],[Order Date]],"YYYY")</f>
        <v>2015</v>
      </c>
      <c r="D1441" s="2">
        <v>42214</v>
      </c>
      <c r="E1441" s="2" t="s">
        <v>39</v>
      </c>
      <c r="F1441" s="2" t="s">
        <v>3406</v>
      </c>
      <c r="G1441" s="2" t="s">
        <v>3407</v>
      </c>
      <c r="H1441" s="2" t="s">
        <v>90</v>
      </c>
      <c r="I1441" s="2" t="s">
        <v>25</v>
      </c>
      <c r="J1441" s="2" t="s">
        <v>1616</v>
      </c>
      <c r="K1441" s="2" t="s">
        <v>1276</v>
      </c>
      <c r="L1441" s="2" t="s">
        <v>28</v>
      </c>
      <c r="M1441" s="2" t="s">
        <v>454</v>
      </c>
      <c r="N1441" s="2" t="s">
        <v>30</v>
      </c>
      <c r="O1441" s="2" t="s">
        <v>45</v>
      </c>
      <c r="P1441" s="2" t="s">
        <v>455</v>
      </c>
      <c r="Q1441" s="2">
        <v>358.58</v>
      </c>
      <c r="R1441" s="2">
        <v>2</v>
      </c>
      <c r="S1441" s="2">
        <v>39.443800000000003</v>
      </c>
      <c r="T1441" s="2" t="s">
        <v>83</v>
      </c>
      <c r="U1441" s="2" t="s">
        <v>71</v>
      </c>
    </row>
    <row r="1442" spans="1:21" ht="14.25" customHeight="1" x14ac:dyDescent="0.3">
      <c r="A1442" s="2" t="s">
        <v>3587</v>
      </c>
      <c r="B1442" s="5">
        <v>42621</v>
      </c>
      <c r="C1442" s="2" t="str">
        <f>TEXT(data[[#This Row],[Order Date]],"YYYY")</f>
        <v>2016</v>
      </c>
      <c r="D1442" s="2">
        <v>42621</v>
      </c>
      <c r="E1442" s="2" t="s">
        <v>425</v>
      </c>
      <c r="F1442" s="2" t="s">
        <v>847</v>
      </c>
      <c r="G1442" s="2" t="s">
        <v>848</v>
      </c>
      <c r="H1442" s="2" t="s">
        <v>24</v>
      </c>
      <c r="I1442" s="2" t="s">
        <v>25</v>
      </c>
      <c r="J1442" s="2" t="s">
        <v>849</v>
      </c>
      <c r="K1442" s="2" t="s">
        <v>53</v>
      </c>
      <c r="L1442" s="2" t="s">
        <v>54</v>
      </c>
      <c r="M1442" s="2" t="s">
        <v>1234</v>
      </c>
      <c r="N1442" s="2" t="s">
        <v>30</v>
      </c>
      <c r="O1442" s="2" t="s">
        <v>45</v>
      </c>
      <c r="P1442" s="2" t="s">
        <v>1235</v>
      </c>
      <c r="Q1442" s="2">
        <v>146.04</v>
      </c>
      <c r="R1442" s="2">
        <v>1</v>
      </c>
      <c r="S1442" s="2">
        <v>-12.778499999999999</v>
      </c>
      <c r="T1442" s="2" t="s">
        <v>430</v>
      </c>
      <c r="U1442" s="2" t="s">
        <v>77</v>
      </c>
    </row>
    <row r="1443" spans="1:21" ht="14.25" customHeight="1" x14ac:dyDescent="0.3">
      <c r="A1443" s="2" t="s">
        <v>3588</v>
      </c>
      <c r="B1443" s="5">
        <v>43023</v>
      </c>
      <c r="C1443" s="2" t="str">
        <f>TEXT(data[[#This Row],[Order Date]],"YYYY")</f>
        <v>2017</v>
      </c>
      <c r="D1443" s="2">
        <v>43028</v>
      </c>
      <c r="E1443" s="2" t="s">
        <v>39</v>
      </c>
      <c r="F1443" s="2" t="s">
        <v>2718</v>
      </c>
      <c r="G1443" s="2" t="s">
        <v>2719</v>
      </c>
      <c r="H1443" s="2" t="s">
        <v>90</v>
      </c>
      <c r="I1443" s="2" t="s">
        <v>25</v>
      </c>
      <c r="J1443" s="2" t="s">
        <v>3589</v>
      </c>
      <c r="K1443" s="2" t="s">
        <v>53</v>
      </c>
      <c r="L1443" s="2" t="s">
        <v>54</v>
      </c>
      <c r="M1443" s="2" t="s">
        <v>283</v>
      </c>
      <c r="N1443" s="2" t="s">
        <v>30</v>
      </c>
      <c r="O1443" s="2" t="s">
        <v>56</v>
      </c>
      <c r="P1443" s="2" t="s">
        <v>284</v>
      </c>
      <c r="Q1443" s="2">
        <v>22.72</v>
      </c>
      <c r="R1443" s="2">
        <v>1</v>
      </c>
      <c r="S1443" s="2">
        <v>9.3152000000000008</v>
      </c>
      <c r="T1443" s="2" t="s">
        <v>58</v>
      </c>
      <c r="U1443" s="2" t="s">
        <v>48</v>
      </c>
    </row>
    <row r="1444" spans="1:21" ht="14.25" customHeight="1" x14ac:dyDescent="0.3">
      <c r="A1444" s="2" t="s">
        <v>3590</v>
      </c>
      <c r="B1444" s="5">
        <v>42625</v>
      </c>
      <c r="C1444" s="2" t="str">
        <f>TEXT(data[[#This Row],[Order Date]],"YYYY")</f>
        <v>2016</v>
      </c>
      <c r="D1444" s="2">
        <v>42630</v>
      </c>
      <c r="E1444" s="2" t="s">
        <v>39</v>
      </c>
      <c r="F1444" s="2" t="s">
        <v>787</v>
      </c>
      <c r="G1444" s="2" t="s">
        <v>788</v>
      </c>
      <c r="H1444" s="2" t="s">
        <v>90</v>
      </c>
      <c r="I1444" s="2" t="s">
        <v>25</v>
      </c>
      <c r="J1444" s="2" t="s">
        <v>878</v>
      </c>
      <c r="K1444" s="2" t="s">
        <v>716</v>
      </c>
      <c r="L1444" s="2" t="s">
        <v>28</v>
      </c>
      <c r="M1444" s="2" t="s">
        <v>3591</v>
      </c>
      <c r="N1444" s="2" t="s">
        <v>30</v>
      </c>
      <c r="O1444" s="2" t="s">
        <v>36</v>
      </c>
      <c r="P1444" s="2" t="s">
        <v>3592</v>
      </c>
      <c r="Q1444" s="2">
        <v>1059.1199999999999</v>
      </c>
      <c r="R1444" s="2">
        <v>4</v>
      </c>
      <c r="S1444" s="2">
        <v>307.14479999999998</v>
      </c>
      <c r="T1444" s="2" t="s">
        <v>58</v>
      </c>
      <c r="U1444" s="2" t="s">
        <v>77</v>
      </c>
    </row>
    <row r="1445" spans="1:21" ht="14.25" customHeight="1" x14ac:dyDescent="0.3">
      <c r="A1445" s="2" t="s">
        <v>3593</v>
      </c>
      <c r="B1445" s="5">
        <v>41826</v>
      </c>
      <c r="C1445" s="2" t="str">
        <f>TEXT(data[[#This Row],[Order Date]],"YYYY")</f>
        <v>2014</v>
      </c>
      <c r="D1445" s="2">
        <v>41832</v>
      </c>
      <c r="E1445" s="2" t="s">
        <v>39</v>
      </c>
      <c r="F1445" s="2" t="s">
        <v>1820</v>
      </c>
      <c r="G1445" s="2" t="s">
        <v>1821</v>
      </c>
      <c r="H1445" s="2" t="s">
        <v>100</v>
      </c>
      <c r="I1445" s="2" t="s">
        <v>25</v>
      </c>
      <c r="J1445" s="2" t="s">
        <v>3594</v>
      </c>
      <c r="K1445" s="2" t="s">
        <v>53</v>
      </c>
      <c r="L1445" s="2" t="s">
        <v>54</v>
      </c>
      <c r="M1445" s="2" t="s">
        <v>1585</v>
      </c>
      <c r="N1445" s="2" t="s">
        <v>30</v>
      </c>
      <c r="O1445" s="2" t="s">
        <v>36</v>
      </c>
      <c r="P1445" s="2" t="s">
        <v>1586</v>
      </c>
      <c r="Q1445" s="2">
        <v>478.48</v>
      </c>
      <c r="R1445" s="2">
        <v>2</v>
      </c>
      <c r="S1445" s="2">
        <v>47.847999999999999</v>
      </c>
      <c r="T1445" s="2" t="s">
        <v>129</v>
      </c>
      <c r="U1445" s="2" t="s">
        <v>71</v>
      </c>
    </row>
    <row r="1446" spans="1:21" ht="14.25" customHeight="1" x14ac:dyDescent="0.3">
      <c r="A1446" s="2" t="s">
        <v>3595</v>
      </c>
      <c r="B1446" s="5">
        <v>41749</v>
      </c>
      <c r="C1446" s="2" t="str">
        <f>TEXT(data[[#This Row],[Order Date]],"YYYY")</f>
        <v>2014</v>
      </c>
      <c r="D1446" s="2">
        <v>41754</v>
      </c>
      <c r="E1446" s="2" t="s">
        <v>39</v>
      </c>
      <c r="F1446" s="2" t="s">
        <v>1564</v>
      </c>
      <c r="G1446" s="2" t="s">
        <v>1565</v>
      </c>
      <c r="H1446" s="2" t="s">
        <v>24</v>
      </c>
      <c r="I1446" s="2" t="s">
        <v>25</v>
      </c>
      <c r="J1446" s="2" t="s">
        <v>52</v>
      </c>
      <c r="K1446" s="2" t="s">
        <v>53</v>
      </c>
      <c r="L1446" s="2" t="s">
        <v>54</v>
      </c>
      <c r="M1446" s="2" t="s">
        <v>2129</v>
      </c>
      <c r="N1446" s="2" t="s">
        <v>30</v>
      </c>
      <c r="O1446" s="2" t="s">
        <v>56</v>
      </c>
      <c r="P1446" s="2" t="s">
        <v>2130</v>
      </c>
      <c r="Q1446" s="2">
        <v>59.92</v>
      </c>
      <c r="R1446" s="2">
        <v>4</v>
      </c>
      <c r="S1446" s="2">
        <v>27.563199999999998</v>
      </c>
      <c r="T1446" s="2" t="s">
        <v>58</v>
      </c>
      <c r="U1446" s="2" t="s">
        <v>113</v>
      </c>
    </row>
    <row r="1447" spans="1:21" ht="14.25" customHeight="1" x14ac:dyDescent="0.3">
      <c r="A1447" s="2" t="s">
        <v>3596</v>
      </c>
      <c r="B1447" s="5">
        <v>42377</v>
      </c>
      <c r="C1447" s="2" t="str">
        <f>TEXT(data[[#This Row],[Order Date]],"YYYY")</f>
        <v>2016</v>
      </c>
      <c r="D1447" s="2">
        <v>42381</v>
      </c>
      <c r="E1447" s="2" t="s">
        <v>39</v>
      </c>
      <c r="F1447" s="2" t="s">
        <v>2696</v>
      </c>
      <c r="G1447" s="2" t="s">
        <v>2697</v>
      </c>
      <c r="H1447" s="2" t="s">
        <v>90</v>
      </c>
      <c r="I1447" s="2" t="s">
        <v>25</v>
      </c>
      <c r="J1447" s="2" t="s">
        <v>237</v>
      </c>
      <c r="K1447" s="2" t="s">
        <v>238</v>
      </c>
      <c r="L1447" s="2" t="s">
        <v>93</v>
      </c>
      <c r="M1447" s="2" t="s">
        <v>102</v>
      </c>
      <c r="N1447" s="2" t="s">
        <v>30</v>
      </c>
      <c r="O1447" s="2" t="s">
        <v>31</v>
      </c>
      <c r="P1447" s="2" t="s">
        <v>103</v>
      </c>
      <c r="Q1447" s="2">
        <v>1565.88</v>
      </c>
      <c r="R1447" s="2">
        <v>6</v>
      </c>
      <c r="S1447" s="2">
        <v>407.12880000000001</v>
      </c>
      <c r="T1447" s="2" t="s">
        <v>83</v>
      </c>
      <c r="U1447" s="2" t="s">
        <v>169</v>
      </c>
    </row>
    <row r="1448" spans="1:21" ht="14.25" customHeight="1" x14ac:dyDescent="0.3">
      <c r="A1448" s="2" t="s">
        <v>3597</v>
      </c>
      <c r="B1448" s="5">
        <v>42842</v>
      </c>
      <c r="C1448" s="2" t="str">
        <f>TEXT(data[[#This Row],[Order Date]],"YYYY")</f>
        <v>2017</v>
      </c>
      <c r="D1448" s="2">
        <v>42847</v>
      </c>
      <c r="E1448" s="2" t="s">
        <v>39</v>
      </c>
      <c r="F1448" s="2" t="s">
        <v>3580</v>
      </c>
      <c r="G1448" s="2" t="s">
        <v>3581</v>
      </c>
      <c r="H1448" s="2" t="s">
        <v>24</v>
      </c>
      <c r="I1448" s="2" t="s">
        <v>25</v>
      </c>
      <c r="J1448" s="2" t="s">
        <v>52</v>
      </c>
      <c r="K1448" s="2" t="s">
        <v>53</v>
      </c>
      <c r="L1448" s="2" t="s">
        <v>54</v>
      </c>
      <c r="M1448" s="2" t="s">
        <v>1617</v>
      </c>
      <c r="N1448" s="2" t="s">
        <v>30</v>
      </c>
      <c r="O1448" s="2" t="s">
        <v>36</v>
      </c>
      <c r="P1448" s="2" t="s">
        <v>1618</v>
      </c>
      <c r="Q1448" s="2">
        <v>218.352</v>
      </c>
      <c r="R1448" s="2">
        <v>3</v>
      </c>
      <c r="S1448" s="2">
        <v>-19.105799999999999</v>
      </c>
      <c r="T1448" s="2" t="s">
        <v>58</v>
      </c>
      <c r="U1448" s="2" t="s">
        <v>113</v>
      </c>
    </row>
    <row r="1449" spans="1:21" ht="14.25" customHeight="1" x14ac:dyDescent="0.3">
      <c r="A1449" s="2" t="s">
        <v>3598</v>
      </c>
      <c r="B1449" s="5">
        <v>42603</v>
      </c>
      <c r="C1449" s="2" t="str">
        <f>TEXT(data[[#This Row],[Order Date]],"YYYY")</f>
        <v>2016</v>
      </c>
      <c r="D1449" s="2">
        <v>42610</v>
      </c>
      <c r="E1449" s="2" t="s">
        <v>39</v>
      </c>
      <c r="F1449" s="2" t="s">
        <v>3599</v>
      </c>
      <c r="G1449" s="2" t="s">
        <v>3600</v>
      </c>
      <c r="H1449" s="2" t="s">
        <v>90</v>
      </c>
      <c r="I1449" s="2" t="s">
        <v>25</v>
      </c>
      <c r="J1449" s="2" t="s">
        <v>52</v>
      </c>
      <c r="K1449" s="2" t="s">
        <v>53</v>
      </c>
      <c r="L1449" s="2" t="s">
        <v>54</v>
      </c>
      <c r="M1449" s="2" t="s">
        <v>1991</v>
      </c>
      <c r="N1449" s="2" t="s">
        <v>30</v>
      </c>
      <c r="O1449" s="2" t="s">
        <v>45</v>
      </c>
      <c r="P1449" s="2" t="s">
        <v>1992</v>
      </c>
      <c r="Q1449" s="2">
        <v>2887.056</v>
      </c>
      <c r="R1449" s="2">
        <v>9</v>
      </c>
      <c r="S1449" s="2">
        <v>180.441</v>
      </c>
      <c r="T1449" s="2" t="s">
        <v>47</v>
      </c>
      <c r="U1449" s="2" t="s">
        <v>253</v>
      </c>
    </row>
    <row r="1450" spans="1:21" ht="14.25" customHeight="1" x14ac:dyDescent="0.3">
      <c r="A1450" s="2" t="s">
        <v>3601</v>
      </c>
      <c r="B1450" s="5">
        <v>42618</v>
      </c>
      <c r="C1450" s="2" t="str">
        <f>TEXT(data[[#This Row],[Order Date]],"YYYY")</f>
        <v>2016</v>
      </c>
      <c r="D1450" s="2">
        <v>42623</v>
      </c>
      <c r="E1450" s="2" t="s">
        <v>39</v>
      </c>
      <c r="F1450" s="2" t="s">
        <v>1415</v>
      </c>
      <c r="G1450" s="2" t="s">
        <v>1416</v>
      </c>
      <c r="H1450" s="2" t="s">
        <v>24</v>
      </c>
      <c r="I1450" s="2" t="s">
        <v>25</v>
      </c>
      <c r="J1450" s="2" t="s">
        <v>2120</v>
      </c>
      <c r="K1450" s="2" t="s">
        <v>716</v>
      </c>
      <c r="L1450" s="2" t="s">
        <v>28</v>
      </c>
      <c r="M1450" s="2" t="s">
        <v>1723</v>
      </c>
      <c r="N1450" s="2" t="s">
        <v>30</v>
      </c>
      <c r="O1450" s="2" t="s">
        <v>45</v>
      </c>
      <c r="P1450" s="2" t="s">
        <v>1724</v>
      </c>
      <c r="Q1450" s="2">
        <v>1652.94</v>
      </c>
      <c r="R1450" s="2">
        <v>3</v>
      </c>
      <c r="S1450" s="2">
        <v>314.05860000000001</v>
      </c>
      <c r="T1450" s="2" t="s">
        <v>58</v>
      </c>
      <c r="U1450" s="2" t="s">
        <v>77</v>
      </c>
    </row>
    <row r="1451" spans="1:21" ht="14.25" customHeight="1" x14ac:dyDescent="0.3">
      <c r="A1451" s="2" t="s">
        <v>3602</v>
      </c>
      <c r="B1451" s="5">
        <v>42292</v>
      </c>
      <c r="C1451" s="2" t="str">
        <f>TEXT(data[[#This Row],[Order Date]],"YYYY")</f>
        <v>2015</v>
      </c>
      <c r="D1451" s="2">
        <v>42292</v>
      </c>
      <c r="E1451" s="2" t="s">
        <v>425</v>
      </c>
      <c r="F1451" s="2" t="s">
        <v>22</v>
      </c>
      <c r="G1451" s="2" t="s">
        <v>23</v>
      </c>
      <c r="H1451" s="2" t="s">
        <v>24</v>
      </c>
      <c r="I1451" s="2" t="s">
        <v>25</v>
      </c>
      <c r="J1451" s="2" t="s">
        <v>1739</v>
      </c>
      <c r="K1451" s="2" t="s">
        <v>92</v>
      </c>
      <c r="L1451" s="2" t="s">
        <v>93</v>
      </c>
      <c r="M1451" s="2" t="s">
        <v>1085</v>
      </c>
      <c r="N1451" s="2" t="s">
        <v>30</v>
      </c>
      <c r="O1451" s="2" t="s">
        <v>56</v>
      </c>
      <c r="P1451" s="2" t="s">
        <v>1086</v>
      </c>
      <c r="Q1451" s="2">
        <v>131.376</v>
      </c>
      <c r="R1451" s="2">
        <v>6</v>
      </c>
      <c r="S1451" s="2">
        <v>-95.247600000000006</v>
      </c>
      <c r="T1451" s="2" t="s">
        <v>430</v>
      </c>
      <c r="U1451" s="2" t="s">
        <v>48</v>
      </c>
    </row>
    <row r="1452" spans="1:21" ht="14.25" customHeight="1" x14ac:dyDescent="0.3">
      <c r="A1452" s="2" t="s">
        <v>3603</v>
      </c>
      <c r="B1452" s="5">
        <v>42339</v>
      </c>
      <c r="C1452" s="2" t="str">
        <f>TEXT(data[[#This Row],[Order Date]],"YYYY")</f>
        <v>2015</v>
      </c>
      <c r="D1452" s="2">
        <v>42343</v>
      </c>
      <c r="E1452" s="2" t="s">
        <v>21</v>
      </c>
      <c r="F1452" s="2" t="s">
        <v>3542</v>
      </c>
      <c r="G1452" s="2" t="s">
        <v>3543</v>
      </c>
      <c r="H1452" s="2" t="s">
        <v>100</v>
      </c>
      <c r="I1452" s="2" t="s">
        <v>25</v>
      </c>
      <c r="J1452" s="2" t="s">
        <v>191</v>
      </c>
      <c r="K1452" s="2" t="s">
        <v>192</v>
      </c>
      <c r="L1452" s="2" t="s">
        <v>54</v>
      </c>
      <c r="M1452" s="2" t="s">
        <v>559</v>
      </c>
      <c r="N1452" s="2" t="s">
        <v>30</v>
      </c>
      <c r="O1452" s="2" t="s">
        <v>36</v>
      </c>
      <c r="P1452" s="2" t="s">
        <v>560</v>
      </c>
      <c r="Q1452" s="2">
        <v>2003.92</v>
      </c>
      <c r="R1452" s="2">
        <v>5</v>
      </c>
      <c r="S1452" s="2">
        <v>125.245</v>
      </c>
      <c r="T1452" s="2" t="s">
        <v>83</v>
      </c>
      <c r="U1452" s="2" t="s">
        <v>96</v>
      </c>
    </row>
    <row r="1453" spans="1:21" ht="14.25" customHeight="1" x14ac:dyDescent="0.3">
      <c r="A1453" s="2" t="s">
        <v>3603</v>
      </c>
      <c r="B1453" s="5">
        <v>42339</v>
      </c>
      <c r="C1453" s="2" t="str">
        <f>TEXT(data[[#This Row],[Order Date]],"YYYY")</f>
        <v>2015</v>
      </c>
      <c r="D1453" s="2">
        <v>42343</v>
      </c>
      <c r="E1453" s="2" t="s">
        <v>21</v>
      </c>
      <c r="F1453" s="2" t="s">
        <v>3542</v>
      </c>
      <c r="G1453" s="2" t="s">
        <v>3543</v>
      </c>
      <c r="H1453" s="2" t="s">
        <v>100</v>
      </c>
      <c r="I1453" s="2" t="s">
        <v>25</v>
      </c>
      <c r="J1453" s="2" t="s">
        <v>191</v>
      </c>
      <c r="K1453" s="2" t="s">
        <v>192</v>
      </c>
      <c r="L1453" s="2" t="s">
        <v>54</v>
      </c>
      <c r="M1453" s="2" t="s">
        <v>304</v>
      </c>
      <c r="N1453" s="2" t="s">
        <v>30</v>
      </c>
      <c r="O1453" s="2" t="s">
        <v>45</v>
      </c>
      <c r="P1453" s="2" t="s">
        <v>305</v>
      </c>
      <c r="Q1453" s="2">
        <v>1913.4</v>
      </c>
      <c r="R1453" s="2">
        <v>9</v>
      </c>
      <c r="S1453" s="2">
        <v>401.81400000000002</v>
      </c>
      <c r="T1453" s="2" t="s">
        <v>83</v>
      </c>
      <c r="U1453" s="2" t="s">
        <v>96</v>
      </c>
    </row>
    <row r="1454" spans="1:21" ht="14.25" customHeight="1" x14ac:dyDescent="0.3">
      <c r="A1454" s="2" t="s">
        <v>3604</v>
      </c>
      <c r="B1454" s="5">
        <v>42155</v>
      </c>
      <c r="C1454" s="2" t="str">
        <f>TEXT(data[[#This Row],[Order Date]],"YYYY")</f>
        <v>2015</v>
      </c>
      <c r="D1454" s="2">
        <v>42159</v>
      </c>
      <c r="E1454" s="2" t="s">
        <v>39</v>
      </c>
      <c r="F1454" s="2" t="s">
        <v>599</v>
      </c>
      <c r="G1454" s="2" t="s">
        <v>600</v>
      </c>
      <c r="H1454" s="2" t="s">
        <v>24</v>
      </c>
      <c r="I1454" s="2" t="s">
        <v>25</v>
      </c>
      <c r="J1454" s="2" t="s">
        <v>165</v>
      </c>
      <c r="K1454" s="2" t="s">
        <v>166</v>
      </c>
      <c r="L1454" s="2" t="s">
        <v>93</v>
      </c>
      <c r="M1454" s="2" t="s">
        <v>2273</v>
      </c>
      <c r="N1454" s="2" t="s">
        <v>30</v>
      </c>
      <c r="O1454" s="2" t="s">
        <v>36</v>
      </c>
      <c r="P1454" s="2" t="s">
        <v>2274</v>
      </c>
      <c r="Q1454" s="2">
        <v>2567.84</v>
      </c>
      <c r="R1454" s="2">
        <v>8</v>
      </c>
      <c r="S1454" s="2">
        <v>770.35199999999998</v>
      </c>
      <c r="T1454" s="2" t="s">
        <v>83</v>
      </c>
      <c r="U1454" s="2" t="s">
        <v>161</v>
      </c>
    </row>
    <row r="1455" spans="1:21" ht="14.25" customHeight="1" x14ac:dyDescent="0.3">
      <c r="A1455" s="2" t="s">
        <v>3605</v>
      </c>
      <c r="B1455" s="5">
        <v>42996</v>
      </c>
      <c r="C1455" s="2" t="str">
        <f>TEXT(data[[#This Row],[Order Date]],"YYYY")</f>
        <v>2017</v>
      </c>
      <c r="D1455" s="2">
        <v>43000</v>
      </c>
      <c r="E1455" s="2" t="s">
        <v>39</v>
      </c>
      <c r="F1455" s="2" t="s">
        <v>2087</v>
      </c>
      <c r="G1455" s="2" t="s">
        <v>2088</v>
      </c>
      <c r="H1455" s="2" t="s">
        <v>90</v>
      </c>
      <c r="I1455" s="2" t="s">
        <v>25</v>
      </c>
      <c r="J1455" s="2" t="s">
        <v>347</v>
      </c>
      <c r="K1455" s="2" t="s">
        <v>667</v>
      </c>
      <c r="L1455" s="2" t="s">
        <v>28</v>
      </c>
      <c r="M1455" s="2" t="s">
        <v>2390</v>
      </c>
      <c r="N1455" s="2" t="s">
        <v>30</v>
      </c>
      <c r="O1455" s="2" t="s">
        <v>56</v>
      </c>
      <c r="P1455" s="2" t="s">
        <v>2391</v>
      </c>
      <c r="Q1455" s="2">
        <v>20.32</v>
      </c>
      <c r="R1455" s="2">
        <v>4</v>
      </c>
      <c r="S1455" s="2">
        <v>6.9088000000000003</v>
      </c>
      <c r="T1455" s="2" t="s">
        <v>83</v>
      </c>
      <c r="U1455" s="2" t="s">
        <v>77</v>
      </c>
    </row>
    <row r="1456" spans="1:21" ht="14.25" customHeight="1" x14ac:dyDescent="0.3">
      <c r="A1456" s="2" t="s">
        <v>3606</v>
      </c>
      <c r="B1456" s="5">
        <v>42148</v>
      </c>
      <c r="C1456" s="2" t="str">
        <f>TEXT(data[[#This Row],[Order Date]],"YYYY")</f>
        <v>2015</v>
      </c>
      <c r="D1456" s="2">
        <v>42150</v>
      </c>
      <c r="E1456" s="2" t="s">
        <v>21</v>
      </c>
      <c r="F1456" s="2" t="s">
        <v>2844</v>
      </c>
      <c r="G1456" s="2" t="s">
        <v>2845</v>
      </c>
      <c r="H1456" s="2" t="s">
        <v>24</v>
      </c>
      <c r="I1456" s="2" t="s">
        <v>25</v>
      </c>
      <c r="J1456" s="2" t="s">
        <v>3607</v>
      </c>
      <c r="K1456" s="2" t="s">
        <v>134</v>
      </c>
      <c r="L1456" s="2" t="s">
        <v>93</v>
      </c>
      <c r="M1456" s="2" t="s">
        <v>1028</v>
      </c>
      <c r="N1456" s="2" t="s">
        <v>30</v>
      </c>
      <c r="O1456" s="2" t="s">
        <v>36</v>
      </c>
      <c r="P1456" s="2" t="s">
        <v>1029</v>
      </c>
      <c r="Q1456" s="2">
        <v>602.65099999999995</v>
      </c>
      <c r="R1456" s="2">
        <v>7</v>
      </c>
      <c r="S1456" s="2">
        <v>-163.57669999999999</v>
      </c>
      <c r="T1456" s="2" t="s">
        <v>70</v>
      </c>
      <c r="U1456" s="2" t="s">
        <v>161</v>
      </c>
    </row>
    <row r="1457" spans="1:21" ht="14.25" customHeight="1" x14ac:dyDescent="0.3">
      <c r="A1457" s="2" t="s">
        <v>3608</v>
      </c>
      <c r="B1457" s="5">
        <v>43079</v>
      </c>
      <c r="C1457" s="2" t="str">
        <f>TEXT(data[[#This Row],[Order Date]],"YYYY")</f>
        <v>2017</v>
      </c>
      <c r="D1457" s="2">
        <v>43084</v>
      </c>
      <c r="E1457" s="2" t="s">
        <v>39</v>
      </c>
      <c r="F1457" s="2" t="s">
        <v>235</v>
      </c>
      <c r="G1457" s="2" t="s">
        <v>236</v>
      </c>
      <c r="H1457" s="2" t="s">
        <v>90</v>
      </c>
      <c r="I1457" s="2" t="s">
        <v>25</v>
      </c>
      <c r="J1457" s="2" t="s">
        <v>3609</v>
      </c>
      <c r="K1457" s="2" t="s">
        <v>158</v>
      </c>
      <c r="L1457" s="2" t="s">
        <v>28</v>
      </c>
      <c r="M1457" s="2" t="s">
        <v>1718</v>
      </c>
      <c r="N1457" s="2" t="s">
        <v>30</v>
      </c>
      <c r="O1457" s="2" t="s">
        <v>56</v>
      </c>
      <c r="P1457" s="2" t="s">
        <v>1719</v>
      </c>
      <c r="Q1457" s="2">
        <v>14.76</v>
      </c>
      <c r="R1457" s="2">
        <v>2</v>
      </c>
      <c r="S1457" s="2">
        <v>4.2804000000000002</v>
      </c>
      <c r="T1457" s="2" t="s">
        <v>58</v>
      </c>
      <c r="U1457" s="2" t="s">
        <v>96</v>
      </c>
    </row>
    <row r="1458" spans="1:21" ht="14.25" customHeight="1" x14ac:dyDescent="0.3">
      <c r="A1458" s="2" t="s">
        <v>3610</v>
      </c>
      <c r="B1458" s="5">
        <v>42945</v>
      </c>
      <c r="C1458" s="2" t="str">
        <f>TEXT(data[[#This Row],[Order Date]],"YYYY")</f>
        <v>2017</v>
      </c>
      <c r="D1458" s="2">
        <v>42949</v>
      </c>
      <c r="E1458" s="2" t="s">
        <v>39</v>
      </c>
      <c r="F1458" s="2" t="s">
        <v>965</v>
      </c>
      <c r="G1458" s="2" t="s">
        <v>966</v>
      </c>
      <c r="H1458" s="2" t="s">
        <v>24</v>
      </c>
      <c r="I1458" s="2" t="s">
        <v>25</v>
      </c>
      <c r="J1458" s="2" t="s">
        <v>191</v>
      </c>
      <c r="K1458" s="2" t="s">
        <v>192</v>
      </c>
      <c r="L1458" s="2" t="s">
        <v>54</v>
      </c>
      <c r="M1458" s="2" t="s">
        <v>348</v>
      </c>
      <c r="N1458" s="2" t="s">
        <v>30</v>
      </c>
      <c r="O1458" s="2" t="s">
        <v>31</v>
      </c>
      <c r="P1458" s="2" t="s">
        <v>349</v>
      </c>
      <c r="Q1458" s="2">
        <v>115.96</v>
      </c>
      <c r="R1458" s="2">
        <v>2</v>
      </c>
      <c r="S1458" s="2">
        <v>25.511199999999999</v>
      </c>
      <c r="T1458" s="2" t="s">
        <v>83</v>
      </c>
      <c r="U1458" s="2" t="s">
        <v>71</v>
      </c>
    </row>
    <row r="1459" spans="1:21" ht="14.25" customHeight="1" x14ac:dyDescent="0.3">
      <c r="A1459" s="2" t="s">
        <v>3611</v>
      </c>
      <c r="B1459" s="5">
        <v>41989</v>
      </c>
      <c r="C1459" s="2" t="str">
        <f>TEXT(data[[#This Row],[Order Date]],"YYYY")</f>
        <v>2014</v>
      </c>
      <c r="D1459" s="2">
        <v>41994</v>
      </c>
      <c r="E1459" s="2" t="s">
        <v>39</v>
      </c>
      <c r="F1459" s="2" t="s">
        <v>2766</v>
      </c>
      <c r="G1459" s="2" t="s">
        <v>2767</v>
      </c>
      <c r="H1459" s="2" t="s">
        <v>90</v>
      </c>
      <c r="I1459" s="2" t="s">
        <v>25</v>
      </c>
      <c r="J1459" s="2" t="s">
        <v>1849</v>
      </c>
      <c r="K1459" s="2" t="s">
        <v>53</v>
      </c>
      <c r="L1459" s="2" t="s">
        <v>54</v>
      </c>
      <c r="M1459" s="2" t="s">
        <v>1486</v>
      </c>
      <c r="N1459" s="2" t="s">
        <v>30</v>
      </c>
      <c r="O1459" s="2" t="s">
        <v>36</v>
      </c>
      <c r="P1459" s="2" t="s">
        <v>1487</v>
      </c>
      <c r="Q1459" s="2">
        <v>1403.92</v>
      </c>
      <c r="R1459" s="2">
        <v>5</v>
      </c>
      <c r="S1459" s="2">
        <v>70.195999999999998</v>
      </c>
      <c r="T1459" s="2" t="s">
        <v>58</v>
      </c>
      <c r="U1459" s="2" t="s">
        <v>96</v>
      </c>
    </row>
    <row r="1460" spans="1:21" ht="14.25" customHeight="1" x14ac:dyDescent="0.3">
      <c r="A1460" s="2" t="s">
        <v>3612</v>
      </c>
      <c r="B1460" s="5">
        <v>42338</v>
      </c>
      <c r="C1460" s="2" t="str">
        <f>TEXT(data[[#This Row],[Order Date]],"YYYY")</f>
        <v>2015</v>
      </c>
      <c r="D1460" s="2">
        <v>42342</v>
      </c>
      <c r="E1460" s="2" t="s">
        <v>39</v>
      </c>
      <c r="F1460" s="2" t="s">
        <v>1506</v>
      </c>
      <c r="G1460" s="2" t="s">
        <v>1507</v>
      </c>
      <c r="H1460" s="2" t="s">
        <v>24</v>
      </c>
      <c r="I1460" s="2" t="s">
        <v>25</v>
      </c>
      <c r="J1460" s="2" t="s">
        <v>173</v>
      </c>
      <c r="K1460" s="2" t="s">
        <v>120</v>
      </c>
      <c r="L1460" s="2" t="s">
        <v>67</v>
      </c>
      <c r="M1460" s="2" t="s">
        <v>2479</v>
      </c>
      <c r="N1460" s="2" t="s">
        <v>30</v>
      </c>
      <c r="O1460" s="2" t="s">
        <v>31</v>
      </c>
      <c r="P1460" s="2" t="s">
        <v>2480</v>
      </c>
      <c r="Q1460" s="2">
        <v>681.40800000000002</v>
      </c>
      <c r="R1460" s="2">
        <v>12</v>
      </c>
      <c r="S1460" s="2">
        <v>42.588000000000001</v>
      </c>
      <c r="T1460" s="2" t="s">
        <v>83</v>
      </c>
      <c r="U1460" s="2" t="s">
        <v>34</v>
      </c>
    </row>
    <row r="1461" spans="1:21" ht="14.25" customHeight="1" x14ac:dyDescent="0.3">
      <c r="A1461" s="2" t="s">
        <v>3613</v>
      </c>
      <c r="B1461" s="5">
        <v>41834</v>
      </c>
      <c r="C1461" s="2" t="str">
        <f>TEXT(data[[#This Row],[Order Date]],"YYYY")</f>
        <v>2014</v>
      </c>
      <c r="D1461" s="2">
        <v>41838</v>
      </c>
      <c r="E1461" s="2" t="s">
        <v>39</v>
      </c>
      <c r="F1461" s="2" t="s">
        <v>3614</v>
      </c>
      <c r="G1461" s="2" t="s">
        <v>3615</v>
      </c>
      <c r="H1461" s="2" t="s">
        <v>24</v>
      </c>
      <c r="I1461" s="2" t="s">
        <v>25</v>
      </c>
      <c r="J1461" s="2" t="s">
        <v>65</v>
      </c>
      <c r="K1461" s="2" t="s">
        <v>66</v>
      </c>
      <c r="L1461" s="2" t="s">
        <v>67</v>
      </c>
      <c r="M1461" s="2" t="s">
        <v>3582</v>
      </c>
      <c r="N1461" s="2" t="s">
        <v>30</v>
      </c>
      <c r="O1461" s="2" t="s">
        <v>56</v>
      </c>
      <c r="P1461" s="2" t="s">
        <v>3583</v>
      </c>
      <c r="Q1461" s="2">
        <v>31.984000000000002</v>
      </c>
      <c r="R1461" s="2">
        <v>2</v>
      </c>
      <c r="S1461" s="2">
        <v>1.1994</v>
      </c>
      <c r="T1461" s="2" t="s">
        <v>83</v>
      </c>
      <c r="U1461" s="2" t="s">
        <v>71</v>
      </c>
    </row>
    <row r="1462" spans="1:21" ht="14.25" customHeight="1" x14ac:dyDescent="0.3">
      <c r="A1462" s="2" t="s">
        <v>3616</v>
      </c>
      <c r="B1462" s="5">
        <v>42615</v>
      </c>
      <c r="C1462" s="2" t="str">
        <f>TEXT(data[[#This Row],[Order Date]],"YYYY")</f>
        <v>2016</v>
      </c>
      <c r="D1462" s="2">
        <v>42617</v>
      </c>
      <c r="E1462" s="2" t="s">
        <v>87</v>
      </c>
      <c r="F1462" s="2" t="s">
        <v>3160</v>
      </c>
      <c r="G1462" s="2" t="s">
        <v>3161</v>
      </c>
      <c r="H1462" s="2" t="s">
        <v>100</v>
      </c>
      <c r="I1462" s="2" t="s">
        <v>25</v>
      </c>
      <c r="J1462" s="2" t="s">
        <v>133</v>
      </c>
      <c r="K1462" s="2" t="s">
        <v>134</v>
      </c>
      <c r="L1462" s="2" t="s">
        <v>93</v>
      </c>
      <c r="M1462" s="2" t="s">
        <v>3617</v>
      </c>
      <c r="N1462" s="2" t="s">
        <v>30</v>
      </c>
      <c r="O1462" s="2" t="s">
        <v>56</v>
      </c>
      <c r="P1462" s="2" t="s">
        <v>3618</v>
      </c>
      <c r="Q1462" s="2">
        <v>84.272000000000006</v>
      </c>
      <c r="R1462" s="2">
        <v>2</v>
      </c>
      <c r="S1462" s="2">
        <v>-75.844800000000006</v>
      </c>
      <c r="T1462" s="2" t="s">
        <v>70</v>
      </c>
      <c r="U1462" s="2" t="s">
        <v>77</v>
      </c>
    </row>
    <row r="1463" spans="1:21" ht="14.25" customHeight="1" x14ac:dyDescent="0.3">
      <c r="A1463" s="2" t="s">
        <v>3619</v>
      </c>
      <c r="B1463" s="5">
        <v>42643</v>
      </c>
      <c r="C1463" s="2" t="str">
        <f>TEXT(data[[#This Row],[Order Date]],"YYYY")</f>
        <v>2016</v>
      </c>
      <c r="D1463" s="2">
        <v>42647</v>
      </c>
      <c r="E1463" s="2" t="s">
        <v>39</v>
      </c>
      <c r="F1463" s="2" t="s">
        <v>1126</v>
      </c>
      <c r="G1463" s="2" t="s">
        <v>1127</v>
      </c>
      <c r="H1463" s="2" t="s">
        <v>24</v>
      </c>
      <c r="I1463" s="2" t="s">
        <v>25</v>
      </c>
      <c r="J1463" s="2" t="s">
        <v>173</v>
      </c>
      <c r="K1463" s="2" t="s">
        <v>120</v>
      </c>
      <c r="L1463" s="2" t="s">
        <v>67</v>
      </c>
      <c r="M1463" s="2" t="s">
        <v>1636</v>
      </c>
      <c r="N1463" s="2" t="s">
        <v>30</v>
      </c>
      <c r="O1463" s="2" t="s">
        <v>31</v>
      </c>
      <c r="P1463" s="2" t="s">
        <v>1637</v>
      </c>
      <c r="Q1463" s="2">
        <v>523.91999999999996</v>
      </c>
      <c r="R1463" s="2">
        <v>5</v>
      </c>
      <c r="S1463" s="2">
        <v>-26.196000000000002</v>
      </c>
      <c r="T1463" s="2" t="s">
        <v>83</v>
      </c>
      <c r="U1463" s="2" t="s">
        <v>77</v>
      </c>
    </row>
    <row r="1464" spans="1:21" ht="14.25" customHeight="1" x14ac:dyDescent="0.3">
      <c r="A1464" s="2" t="s">
        <v>3620</v>
      </c>
      <c r="B1464" s="5">
        <v>42119</v>
      </c>
      <c r="C1464" s="2" t="str">
        <f>TEXT(data[[#This Row],[Order Date]],"YYYY")</f>
        <v>2015</v>
      </c>
      <c r="D1464" s="2">
        <v>42123</v>
      </c>
      <c r="E1464" s="2" t="s">
        <v>39</v>
      </c>
      <c r="F1464" s="2" t="s">
        <v>843</v>
      </c>
      <c r="G1464" s="2" t="s">
        <v>844</v>
      </c>
      <c r="H1464" s="2" t="s">
        <v>24</v>
      </c>
      <c r="I1464" s="2" t="s">
        <v>25</v>
      </c>
      <c r="J1464" s="2" t="s">
        <v>179</v>
      </c>
      <c r="K1464" s="2" t="s">
        <v>134</v>
      </c>
      <c r="L1464" s="2" t="s">
        <v>93</v>
      </c>
      <c r="M1464" s="2" t="s">
        <v>2428</v>
      </c>
      <c r="N1464" s="2" t="s">
        <v>30</v>
      </c>
      <c r="O1464" s="2" t="s">
        <v>36</v>
      </c>
      <c r="P1464" s="2" t="s">
        <v>2429</v>
      </c>
      <c r="Q1464" s="2">
        <v>128.05799999999999</v>
      </c>
      <c r="R1464" s="2">
        <v>3</v>
      </c>
      <c r="S1464" s="2">
        <v>-23.7822</v>
      </c>
      <c r="T1464" s="2" t="s">
        <v>83</v>
      </c>
      <c r="U1464" s="2" t="s">
        <v>113</v>
      </c>
    </row>
    <row r="1465" spans="1:21" ht="14.25" customHeight="1" x14ac:dyDescent="0.3">
      <c r="A1465" s="2" t="s">
        <v>3621</v>
      </c>
      <c r="B1465" s="5">
        <v>43058</v>
      </c>
      <c r="C1465" s="2" t="str">
        <f>TEXT(data[[#This Row],[Order Date]],"YYYY")</f>
        <v>2017</v>
      </c>
      <c r="D1465" s="2">
        <v>43058</v>
      </c>
      <c r="E1465" s="2" t="s">
        <v>425</v>
      </c>
      <c r="F1465" s="2" t="s">
        <v>1950</v>
      </c>
      <c r="G1465" s="2" t="s">
        <v>1951</v>
      </c>
      <c r="H1465" s="2" t="s">
        <v>100</v>
      </c>
      <c r="I1465" s="2" t="s">
        <v>25</v>
      </c>
      <c r="J1465" s="2" t="s">
        <v>173</v>
      </c>
      <c r="K1465" s="2" t="s">
        <v>120</v>
      </c>
      <c r="L1465" s="2" t="s">
        <v>67</v>
      </c>
      <c r="M1465" s="2" t="s">
        <v>1249</v>
      </c>
      <c r="N1465" s="2" t="s">
        <v>30</v>
      </c>
      <c r="O1465" s="2" t="s">
        <v>45</v>
      </c>
      <c r="P1465" s="2" t="s">
        <v>1250</v>
      </c>
      <c r="Q1465" s="2">
        <v>79.974000000000004</v>
      </c>
      <c r="R1465" s="2">
        <v>3</v>
      </c>
      <c r="S1465" s="2">
        <v>-29.323799999999999</v>
      </c>
      <c r="T1465" s="2" t="s">
        <v>430</v>
      </c>
      <c r="U1465" s="2" t="s">
        <v>34</v>
      </c>
    </row>
    <row r="1466" spans="1:21" ht="14.25" customHeight="1" x14ac:dyDescent="0.3">
      <c r="A1466" s="2" t="s">
        <v>3622</v>
      </c>
      <c r="B1466" s="5">
        <v>42565</v>
      </c>
      <c r="C1466" s="2" t="str">
        <f>TEXT(data[[#This Row],[Order Date]],"YYYY")</f>
        <v>2016</v>
      </c>
      <c r="D1466" s="2">
        <v>42570</v>
      </c>
      <c r="E1466" s="2" t="s">
        <v>39</v>
      </c>
      <c r="F1466" s="2" t="s">
        <v>3623</v>
      </c>
      <c r="G1466" s="2" t="s">
        <v>3624</v>
      </c>
      <c r="H1466" s="2" t="s">
        <v>24</v>
      </c>
      <c r="I1466" s="2" t="s">
        <v>25</v>
      </c>
      <c r="J1466" s="2" t="s">
        <v>347</v>
      </c>
      <c r="K1466" s="2" t="s">
        <v>667</v>
      </c>
      <c r="L1466" s="2" t="s">
        <v>28</v>
      </c>
      <c r="M1466" s="2" t="s">
        <v>84</v>
      </c>
      <c r="N1466" s="2" t="s">
        <v>30</v>
      </c>
      <c r="O1466" s="2" t="s">
        <v>56</v>
      </c>
      <c r="P1466" s="2" t="s">
        <v>85</v>
      </c>
      <c r="Q1466" s="2">
        <v>51.75</v>
      </c>
      <c r="R1466" s="2">
        <v>1</v>
      </c>
      <c r="S1466" s="2">
        <v>15.525</v>
      </c>
      <c r="T1466" s="2" t="s">
        <v>58</v>
      </c>
      <c r="U1466" s="2" t="s">
        <v>71</v>
      </c>
    </row>
    <row r="1467" spans="1:21" ht="14.25" customHeight="1" x14ac:dyDescent="0.3">
      <c r="A1467" s="2" t="s">
        <v>3625</v>
      </c>
      <c r="B1467" s="5">
        <v>42379</v>
      </c>
      <c r="C1467" s="2" t="str">
        <f>TEXT(data[[#This Row],[Order Date]],"YYYY")</f>
        <v>2016</v>
      </c>
      <c r="D1467" s="2">
        <v>42382</v>
      </c>
      <c r="E1467" s="2" t="s">
        <v>21</v>
      </c>
      <c r="F1467" s="2" t="s">
        <v>2247</v>
      </c>
      <c r="G1467" s="2" t="s">
        <v>2248</v>
      </c>
      <c r="H1467" s="2" t="s">
        <v>24</v>
      </c>
      <c r="I1467" s="2" t="s">
        <v>25</v>
      </c>
      <c r="J1467" s="2" t="s">
        <v>3626</v>
      </c>
      <c r="K1467" s="2" t="s">
        <v>192</v>
      </c>
      <c r="L1467" s="2" t="s">
        <v>54</v>
      </c>
      <c r="M1467" s="2" t="s">
        <v>650</v>
      </c>
      <c r="N1467" s="2" t="s">
        <v>30</v>
      </c>
      <c r="O1467" s="2" t="s">
        <v>56</v>
      </c>
      <c r="P1467" s="2" t="s">
        <v>651</v>
      </c>
      <c r="Q1467" s="2">
        <v>24.85</v>
      </c>
      <c r="R1467" s="2">
        <v>5</v>
      </c>
      <c r="S1467" s="2">
        <v>7.7035</v>
      </c>
      <c r="T1467" s="2" t="s">
        <v>33</v>
      </c>
      <c r="U1467" s="2" t="s">
        <v>169</v>
      </c>
    </row>
    <row r="1468" spans="1:21" ht="14.25" customHeight="1" x14ac:dyDescent="0.3">
      <c r="A1468" s="2" t="s">
        <v>3627</v>
      </c>
      <c r="B1468" s="5">
        <v>42183</v>
      </c>
      <c r="C1468" s="2" t="str">
        <f>TEXT(data[[#This Row],[Order Date]],"YYYY")</f>
        <v>2015</v>
      </c>
      <c r="D1468" s="2">
        <v>42187</v>
      </c>
      <c r="E1468" s="2" t="s">
        <v>39</v>
      </c>
      <c r="F1468" s="2" t="s">
        <v>3628</v>
      </c>
      <c r="G1468" s="2" t="s">
        <v>3629</v>
      </c>
      <c r="H1468" s="2" t="s">
        <v>90</v>
      </c>
      <c r="I1468" s="2" t="s">
        <v>25</v>
      </c>
      <c r="J1468" s="2" t="s">
        <v>2033</v>
      </c>
      <c r="K1468" s="2" t="s">
        <v>520</v>
      </c>
      <c r="L1468" s="2" t="s">
        <v>54</v>
      </c>
      <c r="M1468" s="2" t="s">
        <v>790</v>
      </c>
      <c r="N1468" s="2" t="s">
        <v>30</v>
      </c>
      <c r="O1468" s="2" t="s">
        <v>56</v>
      </c>
      <c r="P1468" s="2" t="s">
        <v>791</v>
      </c>
      <c r="Q1468" s="2">
        <v>621.76</v>
      </c>
      <c r="R1468" s="2">
        <v>4</v>
      </c>
      <c r="S1468" s="2">
        <v>46.631999999999998</v>
      </c>
      <c r="T1468" s="2" t="s">
        <v>83</v>
      </c>
      <c r="U1468" s="2" t="s">
        <v>59</v>
      </c>
    </row>
    <row r="1469" spans="1:21" ht="14.25" customHeight="1" x14ac:dyDescent="0.3">
      <c r="A1469" s="2" t="s">
        <v>3630</v>
      </c>
      <c r="B1469" s="5">
        <v>42316</v>
      </c>
      <c r="C1469" s="2" t="str">
        <f>TEXT(data[[#This Row],[Order Date]],"YYYY")</f>
        <v>2015</v>
      </c>
      <c r="D1469" s="2">
        <v>42321</v>
      </c>
      <c r="E1469" s="2" t="s">
        <v>21</v>
      </c>
      <c r="F1469" s="2" t="s">
        <v>2467</v>
      </c>
      <c r="G1469" s="2" t="s">
        <v>2468</v>
      </c>
      <c r="H1469" s="2" t="s">
        <v>24</v>
      </c>
      <c r="I1469" s="2" t="s">
        <v>25</v>
      </c>
      <c r="J1469" s="2" t="s">
        <v>2850</v>
      </c>
      <c r="K1469" s="2" t="s">
        <v>716</v>
      </c>
      <c r="L1469" s="2" t="s">
        <v>28</v>
      </c>
      <c r="M1469" s="2" t="s">
        <v>1796</v>
      </c>
      <c r="N1469" s="2" t="s">
        <v>30</v>
      </c>
      <c r="O1469" s="2" t="s">
        <v>56</v>
      </c>
      <c r="P1469" s="2" t="s">
        <v>1797</v>
      </c>
      <c r="Q1469" s="2">
        <v>186.54</v>
      </c>
      <c r="R1469" s="2">
        <v>3</v>
      </c>
      <c r="S1469" s="2">
        <v>41.038800000000002</v>
      </c>
      <c r="T1469" s="2" t="s">
        <v>58</v>
      </c>
      <c r="U1469" s="2" t="s">
        <v>34</v>
      </c>
    </row>
    <row r="1470" spans="1:21" ht="14.25" customHeight="1" x14ac:dyDescent="0.3">
      <c r="A1470" s="2" t="s">
        <v>3631</v>
      </c>
      <c r="B1470" s="5">
        <v>42093</v>
      </c>
      <c r="C1470" s="2" t="str">
        <f>TEXT(data[[#This Row],[Order Date]],"YYYY")</f>
        <v>2015</v>
      </c>
      <c r="D1470" s="2">
        <v>42097</v>
      </c>
      <c r="E1470" s="2" t="s">
        <v>39</v>
      </c>
      <c r="F1470" s="2" t="s">
        <v>2113</v>
      </c>
      <c r="G1470" s="2" t="s">
        <v>2114</v>
      </c>
      <c r="H1470" s="2" t="s">
        <v>100</v>
      </c>
      <c r="I1470" s="2" t="s">
        <v>25</v>
      </c>
      <c r="J1470" s="2" t="s">
        <v>3632</v>
      </c>
      <c r="K1470" s="2" t="s">
        <v>134</v>
      </c>
      <c r="L1470" s="2" t="s">
        <v>93</v>
      </c>
      <c r="M1470" s="2" t="s">
        <v>2578</v>
      </c>
      <c r="N1470" s="2" t="s">
        <v>30</v>
      </c>
      <c r="O1470" s="2" t="s">
        <v>36</v>
      </c>
      <c r="P1470" s="2" t="s">
        <v>2579</v>
      </c>
      <c r="Q1470" s="2">
        <v>366.74400000000003</v>
      </c>
      <c r="R1470" s="2">
        <v>4</v>
      </c>
      <c r="S1470" s="2">
        <v>-110.0232</v>
      </c>
      <c r="T1470" s="2" t="s">
        <v>83</v>
      </c>
      <c r="U1470" s="2" t="s">
        <v>195</v>
      </c>
    </row>
    <row r="1471" spans="1:21" ht="14.25" customHeight="1" x14ac:dyDescent="0.3">
      <c r="A1471" s="2" t="s">
        <v>3633</v>
      </c>
      <c r="B1471" s="5">
        <v>41870</v>
      </c>
      <c r="C1471" s="2" t="str">
        <f>TEXT(data[[#This Row],[Order Date]],"YYYY")</f>
        <v>2014</v>
      </c>
      <c r="D1471" s="2">
        <v>41872</v>
      </c>
      <c r="E1471" s="2" t="s">
        <v>21</v>
      </c>
      <c r="F1471" s="2" t="s">
        <v>2356</v>
      </c>
      <c r="G1471" s="2" t="s">
        <v>2357</v>
      </c>
      <c r="H1471" s="2" t="s">
        <v>90</v>
      </c>
      <c r="I1471" s="2" t="s">
        <v>25</v>
      </c>
      <c r="J1471" s="2" t="s">
        <v>52</v>
      </c>
      <c r="K1471" s="2" t="s">
        <v>53</v>
      </c>
      <c r="L1471" s="2" t="s">
        <v>54</v>
      </c>
      <c r="M1471" s="2" t="s">
        <v>596</v>
      </c>
      <c r="N1471" s="2" t="s">
        <v>30</v>
      </c>
      <c r="O1471" s="2" t="s">
        <v>56</v>
      </c>
      <c r="P1471" s="2" t="s">
        <v>597</v>
      </c>
      <c r="Q1471" s="2">
        <v>289.24</v>
      </c>
      <c r="R1471" s="2">
        <v>7</v>
      </c>
      <c r="S1471" s="2">
        <v>26.031600000000001</v>
      </c>
      <c r="T1471" s="2" t="s">
        <v>70</v>
      </c>
      <c r="U1471" s="2" t="s">
        <v>253</v>
      </c>
    </row>
    <row r="1472" spans="1:21" ht="14.25" customHeight="1" x14ac:dyDescent="0.3">
      <c r="A1472" s="2" t="s">
        <v>3634</v>
      </c>
      <c r="B1472" s="5">
        <v>42309</v>
      </c>
      <c r="C1472" s="2" t="str">
        <f>TEXT(data[[#This Row],[Order Date]],"YYYY")</f>
        <v>2015</v>
      </c>
      <c r="D1472" s="2">
        <v>42313</v>
      </c>
      <c r="E1472" s="2" t="s">
        <v>39</v>
      </c>
      <c r="F1472" s="2" t="s">
        <v>2873</v>
      </c>
      <c r="G1472" s="2" t="s">
        <v>2874</v>
      </c>
      <c r="H1472" s="2" t="s">
        <v>24</v>
      </c>
      <c r="I1472" s="2" t="s">
        <v>25</v>
      </c>
      <c r="J1472" s="2" t="s">
        <v>173</v>
      </c>
      <c r="K1472" s="2" t="s">
        <v>120</v>
      </c>
      <c r="L1472" s="2" t="s">
        <v>67</v>
      </c>
      <c r="M1472" s="2" t="s">
        <v>3216</v>
      </c>
      <c r="N1472" s="2" t="s">
        <v>30</v>
      </c>
      <c r="O1472" s="2" t="s">
        <v>36</v>
      </c>
      <c r="P1472" s="2" t="s">
        <v>3217</v>
      </c>
      <c r="Q1472" s="2">
        <v>205.16399999999999</v>
      </c>
      <c r="R1472" s="2">
        <v>2</v>
      </c>
      <c r="S1472" s="2">
        <v>13.6776</v>
      </c>
      <c r="T1472" s="2" t="s">
        <v>83</v>
      </c>
      <c r="U1472" s="2" t="s">
        <v>34</v>
      </c>
    </row>
    <row r="1473" spans="1:21" ht="14.25" customHeight="1" x14ac:dyDescent="0.3">
      <c r="A1473" s="2" t="s">
        <v>3635</v>
      </c>
      <c r="B1473" s="5">
        <v>41988</v>
      </c>
      <c r="C1473" s="2" t="str">
        <f>TEXT(data[[#This Row],[Order Date]],"YYYY")</f>
        <v>2014</v>
      </c>
      <c r="D1473" s="2">
        <v>41994</v>
      </c>
      <c r="E1473" s="2" t="s">
        <v>39</v>
      </c>
      <c r="F1473" s="2" t="s">
        <v>2617</v>
      </c>
      <c r="G1473" s="2" t="s">
        <v>2618</v>
      </c>
      <c r="H1473" s="2" t="s">
        <v>90</v>
      </c>
      <c r="I1473" s="2" t="s">
        <v>25</v>
      </c>
      <c r="J1473" s="2" t="s">
        <v>133</v>
      </c>
      <c r="K1473" s="2" t="s">
        <v>134</v>
      </c>
      <c r="L1473" s="2" t="s">
        <v>93</v>
      </c>
      <c r="M1473" s="2" t="s">
        <v>2140</v>
      </c>
      <c r="N1473" s="2" t="s">
        <v>30</v>
      </c>
      <c r="O1473" s="2" t="s">
        <v>56</v>
      </c>
      <c r="P1473" s="2" t="s">
        <v>2141</v>
      </c>
      <c r="Q1473" s="2">
        <v>8.5440000000000005</v>
      </c>
      <c r="R1473" s="2">
        <v>2</v>
      </c>
      <c r="S1473" s="2">
        <v>-7.476</v>
      </c>
      <c r="T1473" s="2" t="s">
        <v>129</v>
      </c>
      <c r="U1473" s="2" t="s">
        <v>96</v>
      </c>
    </row>
    <row r="1474" spans="1:21" ht="14.25" customHeight="1" x14ac:dyDescent="0.3">
      <c r="A1474" s="2" t="s">
        <v>3636</v>
      </c>
      <c r="B1474" s="5">
        <v>42237</v>
      </c>
      <c r="C1474" s="2" t="str">
        <f>TEXT(data[[#This Row],[Order Date]],"YYYY")</f>
        <v>2015</v>
      </c>
      <c r="D1474" s="2">
        <v>42241</v>
      </c>
      <c r="E1474" s="2" t="s">
        <v>39</v>
      </c>
      <c r="F1474" s="2" t="s">
        <v>3488</v>
      </c>
      <c r="G1474" s="2" t="s">
        <v>3489</v>
      </c>
      <c r="H1474" s="2" t="s">
        <v>90</v>
      </c>
      <c r="I1474" s="2" t="s">
        <v>25</v>
      </c>
      <c r="J1474" s="2" t="s">
        <v>878</v>
      </c>
      <c r="K1474" s="2" t="s">
        <v>231</v>
      </c>
      <c r="L1474" s="2" t="s">
        <v>67</v>
      </c>
      <c r="M1474" s="2" t="s">
        <v>575</v>
      </c>
      <c r="N1474" s="2" t="s">
        <v>30</v>
      </c>
      <c r="O1474" s="2" t="s">
        <v>36</v>
      </c>
      <c r="P1474" s="2" t="s">
        <v>576</v>
      </c>
      <c r="Q1474" s="2">
        <v>598.45799999999997</v>
      </c>
      <c r="R1474" s="2">
        <v>3</v>
      </c>
      <c r="S1474" s="2">
        <v>-42.747</v>
      </c>
      <c r="T1474" s="2" t="s">
        <v>83</v>
      </c>
      <c r="U1474" s="2" t="s">
        <v>253</v>
      </c>
    </row>
    <row r="1475" spans="1:21" ht="14.25" customHeight="1" x14ac:dyDescent="0.3">
      <c r="A1475" s="2" t="s">
        <v>3636</v>
      </c>
      <c r="B1475" s="5">
        <v>42237</v>
      </c>
      <c r="C1475" s="2" t="str">
        <f>TEXT(data[[#This Row],[Order Date]],"YYYY")</f>
        <v>2015</v>
      </c>
      <c r="D1475" s="2">
        <v>42241</v>
      </c>
      <c r="E1475" s="2" t="s">
        <v>39</v>
      </c>
      <c r="F1475" s="2" t="s">
        <v>3488</v>
      </c>
      <c r="G1475" s="2" t="s">
        <v>3489</v>
      </c>
      <c r="H1475" s="2" t="s">
        <v>90</v>
      </c>
      <c r="I1475" s="2" t="s">
        <v>25</v>
      </c>
      <c r="J1475" s="2" t="s">
        <v>878</v>
      </c>
      <c r="K1475" s="2" t="s">
        <v>231</v>
      </c>
      <c r="L1475" s="2" t="s">
        <v>67</v>
      </c>
      <c r="M1475" s="2" t="s">
        <v>2395</v>
      </c>
      <c r="N1475" s="2" t="s">
        <v>30</v>
      </c>
      <c r="O1475" s="2" t="s">
        <v>56</v>
      </c>
      <c r="P1475" s="2" t="s">
        <v>2396</v>
      </c>
      <c r="Q1475" s="2">
        <v>25.984000000000002</v>
      </c>
      <c r="R1475" s="2">
        <v>1</v>
      </c>
      <c r="S1475" s="2">
        <v>-3.8976000000000002</v>
      </c>
      <c r="T1475" s="2" t="s">
        <v>83</v>
      </c>
      <c r="U1475" s="2" t="s">
        <v>253</v>
      </c>
    </row>
    <row r="1476" spans="1:21" ht="14.25" customHeight="1" x14ac:dyDescent="0.3">
      <c r="A1476" s="2" t="s">
        <v>3637</v>
      </c>
      <c r="B1476" s="5">
        <v>43078</v>
      </c>
      <c r="C1476" s="2" t="str">
        <f>TEXT(data[[#This Row],[Order Date]],"YYYY")</f>
        <v>2017</v>
      </c>
      <c r="D1476" s="2">
        <v>43080</v>
      </c>
      <c r="E1476" s="2" t="s">
        <v>21</v>
      </c>
      <c r="F1476" s="2" t="s">
        <v>2301</v>
      </c>
      <c r="G1476" s="2" t="s">
        <v>2302</v>
      </c>
      <c r="H1476" s="2" t="s">
        <v>100</v>
      </c>
      <c r="I1476" s="2" t="s">
        <v>25</v>
      </c>
      <c r="J1476" s="2" t="s">
        <v>3638</v>
      </c>
      <c r="K1476" s="2" t="s">
        <v>53</v>
      </c>
      <c r="L1476" s="2" t="s">
        <v>54</v>
      </c>
      <c r="M1476" s="2" t="s">
        <v>860</v>
      </c>
      <c r="N1476" s="2" t="s">
        <v>30</v>
      </c>
      <c r="O1476" s="2" t="s">
        <v>31</v>
      </c>
      <c r="P1476" s="2" t="s">
        <v>861</v>
      </c>
      <c r="Q1476" s="2">
        <v>148.25700000000001</v>
      </c>
      <c r="R1476" s="2">
        <v>3</v>
      </c>
      <c r="S1476" s="2">
        <v>15.697800000000001</v>
      </c>
      <c r="T1476" s="2" t="s">
        <v>70</v>
      </c>
      <c r="U1476" s="2" t="s">
        <v>96</v>
      </c>
    </row>
    <row r="1477" spans="1:21" ht="14.25" customHeight="1" x14ac:dyDescent="0.3">
      <c r="A1477" s="2" t="s">
        <v>3639</v>
      </c>
      <c r="B1477" s="5">
        <v>41874</v>
      </c>
      <c r="C1477" s="2" t="str">
        <f>TEXT(data[[#This Row],[Order Date]],"YYYY")</f>
        <v>2014</v>
      </c>
      <c r="D1477" s="2">
        <v>41878</v>
      </c>
      <c r="E1477" s="2" t="s">
        <v>39</v>
      </c>
      <c r="F1477" s="2" t="s">
        <v>1065</v>
      </c>
      <c r="G1477" s="2" t="s">
        <v>1066</v>
      </c>
      <c r="H1477" s="2" t="s">
        <v>24</v>
      </c>
      <c r="I1477" s="2" t="s">
        <v>25</v>
      </c>
      <c r="J1477" s="2" t="s">
        <v>265</v>
      </c>
      <c r="K1477" s="2" t="s">
        <v>180</v>
      </c>
      <c r="L1477" s="2" t="s">
        <v>54</v>
      </c>
      <c r="M1477" s="2" t="s">
        <v>337</v>
      </c>
      <c r="N1477" s="2" t="s">
        <v>30</v>
      </c>
      <c r="O1477" s="2" t="s">
        <v>56</v>
      </c>
      <c r="P1477" s="2" t="s">
        <v>338</v>
      </c>
      <c r="Q1477" s="2">
        <v>4.2240000000000002</v>
      </c>
      <c r="R1477" s="2">
        <v>3</v>
      </c>
      <c r="S1477" s="2">
        <v>1.2672000000000001</v>
      </c>
      <c r="T1477" s="2" t="s">
        <v>83</v>
      </c>
      <c r="U1477" s="2" t="s">
        <v>253</v>
      </c>
    </row>
    <row r="1478" spans="1:21" ht="14.25" customHeight="1" x14ac:dyDescent="0.3">
      <c r="A1478" s="2" t="s">
        <v>3640</v>
      </c>
      <c r="B1478" s="5">
        <v>42685</v>
      </c>
      <c r="C1478" s="2" t="str">
        <f>TEXT(data[[#This Row],[Order Date]],"YYYY")</f>
        <v>2016</v>
      </c>
      <c r="D1478" s="2">
        <v>42690</v>
      </c>
      <c r="E1478" s="2" t="s">
        <v>39</v>
      </c>
      <c r="F1478" s="2" t="s">
        <v>2381</v>
      </c>
      <c r="G1478" s="2" t="s">
        <v>2382</v>
      </c>
      <c r="H1478" s="2" t="s">
        <v>90</v>
      </c>
      <c r="I1478" s="2" t="s">
        <v>25</v>
      </c>
      <c r="J1478" s="2" t="s">
        <v>173</v>
      </c>
      <c r="K1478" s="2" t="s">
        <v>120</v>
      </c>
      <c r="L1478" s="2" t="s">
        <v>67</v>
      </c>
      <c r="M1478" s="2" t="s">
        <v>1617</v>
      </c>
      <c r="N1478" s="2" t="s">
        <v>30</v>
      </c>
      <c r="O1478" s="2" t="s">
        <v>36</v>
      </c>
      <c r="P1478" s="2" t="s">
        <v>1618</v>
      </c>
      <c r="Q1478" s="2">
        <v>245.64599999999999</v>
      </c>
      <c r="R1478" s="2">
        <v>3</v>
      </c>
      <c r="S1478" s="2">
        <v>8.1882000000000001</v>
      </c>
      <c r="T1478" s="2" t="s">
        <v>58</v>
      </c>
      <c r="U1478" s="2" t="s">
        <v>34</v>
      </c>
    </row>
    <row r="1479" spans="1:21" ht="14.25" customHeight="1" x14ac:dyDescent="0.3">
      <c r="A1479" s="2" t="s">
        <v>3641</v>
      </c>
      <c r="B1479" s="5">
        <v>43048</v>
      </c>
      <c r="C1479" s="2" t="str">
        <f>TEXT(data[[#This Row],[Order Date]],"YYYY")</f>
        <v>2017</v>
      </c>
      <c r="D1479" s="2">
        <v>43052</v>
      </c>
      <c r="E1479" s="2" t="s">
        <v>39</v>
      </c>
      <c r="F1479" s="2" t="s">
        <v>2316</v>
      </c>
      <c r="G1479" s="2" t="s">
        <v>2317</v>
      </c>
      <c r="H1479" s="2" t="s">
        <v>90</v>
      </c>
      <c r="I1479" s="2" t="s">
        <v>25</v>
      </c>
      <c r="J1479" s="2" t="s">
        <v>639</v>
      </c>
      <c r="K1479" s="2" t="s">
        <v>53</v>
      </c>
      <c r="L1479" s="2" t="s">
        <v>54</v>
      </c>
      <c r="M1479" s="2" t="s">
        <v>816</v>
      </c>
      <c r="N1479" s="2" t="s">
        <v>30</v>
      </c>
      <c r="O1479" s="2" t="s">
        <v>36</v>
      </c>
      <c r="P1479" s="2" t="s">
        <v>817</v>
      </c>
      <c r="Q1479" s="2">
        <v>523.39200000000005</v>
      </c>
      <c r="R1479" s="2">
        <v>3</v>
      </c>
      <c r="S1479" s="2">
        <v>52.339199999999998</v>
      </c>
      <c r="T1479" s="2" t="s">
        <v>83</v>
      </c>
      <c r="U1479" s="2" t="s">
        <v>34</v>
      </c>
    </row>
    <row r="1480" spans="1:21" ht="14.25" customHeight="1" x14ac:dyDescent="0.3">
      <c r="A1480" s="2" t="s">
        <v>3642</v>
      </c>
      <c r="B1480" s="5">
        <v>43086</v>
      </c>
      <c r="C1480" s="2" t="str">
        <f>TEXT(data[[#This Row],[Order Date]],"YYYY")</f>
        <v>2017</v>
      </c>
      <c r="D1480" s="2">
        <v>43092</v>
      </c>
      <c r="E1480" s="2" t="s">
        <v>39</v>
      </c>
      <c r="F1480" s="2" t="s">
        <v>3643</v>
      </c>
      <c r="G1480" s="2" t="s">
        <v>3644</v>
      </c>
      <c r="H1480" s="2" t="s">
        <v>24</v>
      </c>
      <c r="I1480" s="2" t="s">
        <v>25</v>
      </c>
      <c r="J1480" s="2" t="s">
        <v>173</v>
      </c>
      <c r="K1480" s="2" t="s">
        <v>120</v>
      </c>
      <c r="L1480" s="2" t="s">
        <v>67</v>
      </c>
      <c r="M1480" s="2" t="s">
        <v>1796</v>
      </c>
      <c r="N1480" s="2" t="s">
        <v>30</v>
      </c>
      <c r="O1480" s="2" t="s">
        <v>56</v>
      </c>
      <c r="P1480" s="2" t="s">
        <v>1797</v>
      </c>
      <c r="Q1480" s="2">
        <v>124.36</v>
      </c>
      <c r="R1480" s="2">
        <v>2</v>
      </c>
      <c r="S1480" s="2">
        <v>27.359200000000001</v>
      </c>
      <c r="T1480" s="2" t="s">
        <v>129</v>
      </c>
      <c r="U1480" s="2" t="s">
        <v>96</v>
      </c>
    </row>
    <row r="1481" spans="1:21" ht="14.25" customHeight="1" x14ac:dyDescent="0.3">
      <c r="A1481" s="2" t="s">
        <v>3645</v>
      </c>
      <c r="B1481" s="5">
        <v>42934</v>
      </c>
      <c r="C1481" s="2" t="str">
        <f>TEXT(data[[#This Row],[Order Date]],"YYYY")</f>
        <v>2017</v>
      </c>
      <c r="D1481" s="2">
        <v>42939</v>
      </c>
      <c r="E1481" s="2" t="s">
        <v>39</v>
      </c>
      <c r="F1481" s="2" t="s">
        <v>739</v>
      </c>
      <c r="G1481" s="2" t="s">
        <v>740</v>
      </c>
      <c r="H1481" s="2" t="s">
        <v>24</v>
      </c>
      <c r="I1481" s="2" t="s">
        <v>25</v>
      </c>
      <c r="J1481" s="2" t="s">
        <v>65</v>
      </c>
      <c r="K1481" s="2" t="s">
        <v>66</v>
      </c>
      <c r="L1481" s="2" t="s">
        <v>67</v>
      </c>
      <c r="M1481" s="2" t="s">
        <v>590</v>
      </c>
      <c r="N1481" s="2" t="s">
        <v>30</v>
      </c>
      <c r="O1481" s="2" t="s">
        <v>36</v>
      </c>
      <c r="P1481" s="2" t="s">
        <v>591</v>
      </c>
      <c r="Q1481" s="2">
        <v>198.744</v>
      </c>
      <c r="R1481" s="2">
        <v>4</v>
      </c>
      <c r="S1481" s="2">
        <v>-14.196</v>
      </c>
      <c r="T1481" s="2" t="s">
        <v>58</v>
      </c>
      <c r="U1481" s="2" t="s">
        <v>71</v>
      </c>
    </row>
    <row r="1482" spans="1:21" ht="14.25" customHeight="1" x14ac:dyDescent="0.3">
      <c r="A1482" s="2" t="s">
        <v>3646</v>
      </c>
      <c r="B1482" s="5">
        <v>41737</v>
      </c>
      <c r="C1482" s="2" t="str">
        <f>TEXT(data[[#This Row],[Order Date]],"YYYY")</f>
        <v>2014</v>
      </c>
      <c r="D1482" s="2">
        <v>41741</v>
      </c>
      <c r="E1482" s="2" t="s">
        <v>39</v>
      </c>
      <c r="F1482" s="2" t="s">
        <v>392</v>
      </c>
      <c r="G1482" s="2" t="s">
        <v>393</v>
      </c>
      <c r="H1482" s="2" t="s">
        <v>100</v>
      </c>
      <c r="I1482" s="2" t="s">
        <v>25</v>
      </c>
      <c r="J1482" s="2" t="s">
        <v>509</v>
      </c>
      <c r="K1482" s="2" t="s">
        <v>53</v>
      </c>
      <c r="L1482" s="2" t="s">
        <v>54</v>
      </c>
      <c r="M1482" s="2" t="s">
        <v>290</v>
      </c>
      <c r="N1482" s="2" t="s">
        <v>30</v>
      </c>
      <c r="O1482" s="2" t="s">
        <v>45</v>
      </c>
      <c r="P1482" s="2" t="s">
        <v>291</v>
      </c>
      <c r="Q1482" s="2">
        <v>99.591999999999999</v>
      </c>
      <c r="R1482" s="2">
        <v>1</v>
      </c>
      <c r="S1482" s="2">
        <v>2.4897999999999998</v>
      </c>
      <c r="T1482" s="2" t="s">
        <v>83</v>
      </c>
      <c r="U1482" s="2" t="s">
        <v>113</v>
      </c>
    </row>
    <row r="1483" spans="1:21" ht="14.25" customHeight="1" x14ac:dyDescent="0.3">
      <c r="A1483" s="2" t="s">
        <v>3647</v>
      </c>
      <c r="B1483" s="5">
        <v>42715</v>
      </c>
      <c r="C1483" s="2" t="str">
        <f>TEXT(data[[#This Row],[Order Date]],"YYYY")</f>
        <v>2016</v>
      </c>
      <c r="D1483" s="2">
        <v>42715</v>
      </c>
      <c r="E1483" s="2" t="s">
        <v>425</v>
      </c>
      <c r="F1483" s="2" t="s">
        <v>1730</v>
      </c>
      <c r="G1483" s="2" t="s">
        <v>1731</v>
      </c>
      <c r="H1483" s="2" t="s">
        <v>24</v>
      </c>
      <c r="I1483" s="2" t="s">
        <v>25</v>
      </c>
      <c r="J1483" s="2" t="s">
        <v>3047</v>
      </c>
      <c r="K1483" s="2" t="s">
        <v>53</v>
      </c>
      <c r="L1483" s="2" t="s">
        <v>54</v>
      </c>
      <c r="M1483" s="2" t="s">
        <v>1617</v>
      </c>
      <c r="N1483" s="2" t="s">
        <v>30</v>
      </c>
      <c r="O1483" s="2" t="s">
        <v>36</v>
      </c>
      <c r="P1483" s="2" t="s">
        <v>1618</v>
      </c>
      <c r="Q1483" s="2">
        <v>363.92</v>
      </c>
      <c r="R1483" s="2">
        <v>5</v>
      </c>
      <c r="S1483" s="2">
        <v>-31.843</v>
      </c>
      <c r="T1483" s="2" t="s">
        <v>430</v>
      </c>
      <c r="U1483" s="2" t="s">
        <v>96</v>
      </c>
    </row>
    <row r="1484" spans="1:21" ht="14.25" customHeight="1" x14ac:dyDescent="0.3">
      <c r="A1484" s="2" t="s">
        <v>3647</v>
      </c>
      <c r="B1484" s="5">
        <v>42715</v>
      </c>
      <c r="C1484" s="2" t="str">
        <f>TEXT(data[[#This Row],[Order Date]],"YYYY")</f>
        <v>2016</v>
      </c>
      <c r="D1484" s="2">
        <v>42715</v>
      </c>
      <c r="E1484" s="2" t="s">
        <v>425</v>
      </c>
      <c r="F1484" s="2" t="s">
        <v>1730</v>
      </c>
      <c r="G1484" s="2" t="s">
        <v>1731</v>
      </c>
      <c r="H1484" s="2" t="s">
        <v>24</v>
      </c>
      <c r="I1484" s="2" t="s">
        <v>25</v>
      </c>
      <c r="J1484" s="2" t="s">
        <v>3047</v>
      </c>
      <c r="K1484" s="2" t="s">
        <v>53</v>
      </c>
      <c r="L1484" s="2" t="s">
        <v>54</v>
      </c>
      <c r="M1484" s="2" t="s">
        <v>1134</v>
      </c>
      <c r="N1484" s="2" t="s">
        <v>30</v>
      </c>
      <c r="O1484" s="2" t="s">
        <v>45</v>
      </c>
      <c r="P1484" s="2" t="s">
        <v>1135</v>
      </c>
      <c r="Q1484" s="2">
        <v>892.13599999999997</v>
      </c>
      <c r="R1484" s="2">
        <v>7</v>
      </c>
      <c r="S1484" s="2">
        <v>111.517</v>
      </c>
      <c r="T1484" s="2" t="s">
        <v>430</v>
      </c>
      <c r="U1484" s="2" t="s">
        <v>96</v>
      </c>
    </row>
    <row r="1485" spans="1:21" ht="14.25" customHeight="1" x14ac:dyDescent="0.3">
      <c r="A1485" s="2" t="s">
        <v>3648</v>
      </c>
      <c r="B1485" s="5">
        <v>42615</v>
      </c>
      <c r="C1485" s="2" t="str">
        <f>TEXT(data[[#This Row],[Order Date]],"YYYY")</f>
        <v>2016</v>
      </c>
      <c r="D1485" s="2">
        <v>42619</v>
      </c>
      <c r="E1485" s="2" t="s">
        <v>39</v>
      </c>
      <c r="F1485" s="2" t="s">
        <v>1609</v>
      </c>
      <c r="G1485" s="2" t="s">
        <v>1610</v>
      </c>
      <c r="H1485" s="2" t="s">
        <v>24</v>
      </c>
      <c r="I1485" s="2" t="s">
        <v>25</v>
      </c>
      <c r="J1485" s="2" t="s">
        <v>1527</v>
      </c>
      <c r="K1485" s="2" t="s">
        <v>1036</v>
      </c>
      <c r="L1485" s="2" t="s">
        <v>28</v>
      </c>
      <c r="M1485" s="2" t="s">
        <v>193</v>
      </c>
      <c r="N1485" s="2" t="s">
        <v>30</v>
      </c>
      <c r="O1485" s="2" t="s">
        <v>45</v>
      </c>
      <c r="P1485" s="2" t="s">
        <v>194</v>
      </c>
      <c r="Q1485" s="2">
        <v>472.51799999999997</v>
      </c>
      <c r="R1485" s="2">
        <v>3</v>
      </c>
      <c r="S1485" s="2">
        <v>-149.63069999999999</v>
      </c>
      <c r="T1485" s="2" t="s">
        <v>83</v>
      </c>
      <c r="U1485" s="2" t="s">
        <v>77</v>
      </c>
    </row>
    <row r="1486" spans="1:21" ht="14.25" customHeight="1" x14ac:dyDescent="0.3">
      <c r="A1486" s="2" t="s">
        <v>3649</v>
      </c>
      <c r="B1486" s="5">
        <v>42905</v>
      </c>
      <c r="C1486" s="2" t="str">
        <f>TEXT(data[[#This Row],[Order Date]],"YYYY")</f>
        <v>2017</v>
      </c>
      <c r="D1486" s="2">
        <v>42907</v>
      </c>
      <c r="E1486" s="2" t="s">
        <v>21</v>
      </c>
      <c r="F1486" s="2" t="s">
        <v>1529</v>
      </c>
      <c r="G1486" s="2" t="s">
        <v>1530</v>
      </c>
      <c r="H1486" s="2" t="s">
        <v>90</v>
      </c>
      <c r="I1486" s="2" t="s">
        <v>25</v>
      </c>
      <c r="J1486" s="2" t="s">
        <v>230</v>
      </c>
      <c r="K1486" s="2" t="s">
        <v>231</v>
      </c>
      <c r="L1486" s="2" t="s">
        <v>67</v>
      </c>
      <c r="M1486" s="2" t="s">
        <v>420</v>
      </c>
      <c r="N1486" s="2" t="s">
        <v>30</v>
      </c>
      <c r="O1486" s="2" t="s">
        <v>36</v>
      </c>
      <c r="P1486" s="2" t="s">
        <v>421</v>
      </c>
      <c r="Q1486" s="2">
        <v>760.11599999999999</v>
      </c>
      <c r="R1486" s="2">
        <v>6</v>
      </c>
      <c r="S1486" s="2">
        <v>-43.435200000000002</v>
      </c>
      <c r="T1486" s="2" t="s">
        <v>70</v>
      </c>
      <c r="U1486" s="2" t="s">
        <v>59</v>
      </c>
    </row>
    <row r="1487" spans="1:21" ht="14.25" customHeight="1" x14ac:dyDescent="0.3">
      <c r="A1487" s="2" t="s">
        <v>3649</v>
      </c>
      <c r="B1487" s="5">
        <v>42905</v>
      </c>
      <c r="C1487" s="2" t="str">
        <f>TEXT(data[[#This Row],[Order Date]],"YYYY")</f>
        <v>2017</v>
      </c>
      <c r="D1487" s="2">
        <v>42907</v>
      </c>
      <c r="E1487" s="2" t="s">
        <v>21</v>
      </c>
      <c r="F1487" s="2" t="s">
        <v>1529</v>
      </c>
      <c r="G1487" s="2" t="s">
        <v>1530</v>
      </c>
      <c r="H1487" s="2" t="s">
        <v>90</v>
      </c>
      <c r="I1487" s="2" t="s">
        <v>25</v>
      </c>
      <c r="J1487" s="2" t="s">
        <v>230</v>
      </c>
      <c r="K1487" s="2" t="s">
        <v>231</v>
      </c>
      <c r="L1487" s="2" t="s">
        <v>67</v>
      </c>
      <c r="M1487" s="2" t="s">
        <v>1962</v>
      </c>
      <c r="N1487" s="2" t="s">
        <v>30</v>
      </c>
      <c r="O1487" s="2" t="s">
        <v>56</v>
      </c>
      <c r="P1487" s="2" t="s">
        <v>1963</v>
      </c>
      <c r="Q1487" s="2">
        <v>38.783999999999999</v>
      </c>
      <c r="R1487" s="2">
        <v>3</v>
      </c>
      <c r="S1487" s="2">
        <v>7.2720000000000002</v>
      </c>
      <c r="T1487" s="2" t="s">
        <v>70</v>
      </c>
      <c r="U1487" s="2" t="s">
        <v>59</v>
      </c>
    </row>
    <row r="1488" spans="1:21" ht="14.25" customHeight="1" x14ac:dyDescent="0.3">
      <c r="A1488" s="2" t="s">
        <v>3650</v>
      </c>
      <c r="B1488" s="5">
        <v>42495</v>
      </c>
      <c r="C1488" s="2" t="str">
        <f>TEXT(data[[#This Row],[Order Date]],"YYYY")</f>
        <v>2016</v>
      </c>
      <c r="D1488" s="2">
        <v>42496</v>
      </c>
      <c r="E1488" s="2" t="s">
        <v>87</v>
      </c>
      <c r="F1488" s="2" t="s">
        <v>938</v>
      </c>
      <c r="G1488" s="2" t="s">
        <v>939</v>
      </c>
      <c r="H1488" s="2" t="s">
        <v>90</v>
      </c>
      <c r="I1488" s="2" t="s">
        <v>25</v>
      </c>
      <c r="J1488" s="2" t="s">
        <v>26</v>
      </c>
      <c r="K1488" s="2" t="s">
        <v>1340</v>
      </c>
      <c r="L1488" s="2" t="s">
        <v>54</v>
      </c>
      <c r="M1488" s="2" t="s">
        <v>2819</v>
      </c>
      <c r="N1488" s="2" t="s">
        <v>30</v>
      </c>
      <c r="O1488" s="2" t="s">
        <v>45</v>
      </c>
      <c r="P1488" s="2" t="s">
        <v>2820</v>
      </c>
      <c r="Q1488" s="2">
        <v>1685.88</v>
      </c>
      <c r="R1488" s="2">
        <v>6</v>
      </c>
      <c r="S1488" s="2">
        <v>320.31720000000001</v>
      </c>
      <c r="T1488" s="2" t="s">
        <v>123</v>
      </c>
      <c r="U1488" s="2" t="s">
        <v>161</v>
      </c>
    </row>
    <row r="1489" spans="1:21" ht="14.25" customHeight="1" x14ac:dyDescent="0.3">
      <c r="A1489" s="2" t="s">
        <v>3651</v>
      </c>
      <c r="B1489" s="5">
        <v>43070</v>
      </c>
      <c r="C1489" s="2" t="str">
        <f>TEXT(data[[#This Row],[Order Date]],"YYYY")</f>
        <v>2017</v>
      </c>
      <c r="D1489" s="2">
        <v>43077</v>
      </c>
      <c r="E1489" s="2" t="s">
        <v>39</v>
      </c>
      <c r="F1489" s="2" t="s">
        <v>40</v>
      </c>
      <c r="G1489" s="2" t="s">
        <v>41</v>
      </c>
      <c r="H1489" s="2" t="s">
        <v>24</v>
      </c>
      <c r="I1489" s="2" t="s">
        <v>25</v>
      </c>
      <c r="J1489" s="2" t="s">
        <v>191</v>
      </c>
      <c r="K1489" s="2" t="s">
        <v>192</v>
      </c>
      <c r="L1489" s="2" t="s">
        <v>54</v>
      </c>
      <c r="M1489" s="2" t="s">
        <v>2420</v>
      </c>
      <c r="N1489" s="2" t="s">
        <v>30</v>
      </c>
      <c r="O1489" s="2" t="s">
        <v>31</v>
      </c>
      <c r="P1489" s="2" t="s">
        <v>2421</v>
      </c>
      <c r="Q1489" s="2">
        <v>141.96</v>
      </c>
      <c r="R1489" s="2">
        <v>2</v>
      </c>
      <c r="S1489" s="2">
        <v>41.168399999999998</v>
      </c>
      <c r="T1489" s="2" t="s">
        <v>47</v>
      </c>
      <c r="U1489" s="2" t="s">
        <v>96</v>
      </c>
    </row>
    <row r="1490" spans="1:21" ht="14.25" customHeight="1" x14ac:dyDescent="0.3">
      <c r="A1490" s="2" t="s">
        <v>3652</v>
      </c>
      <c r="B1490" s="5">
        <v>42225</v>
      </c>
      <c r="C1490" s="2" t="str">
        <f>TEXT(data[[#This Row],[Order Date]],"YYYY")</f>
        <v>2015</v>
      </c>
      <c r="D1490" s="2">
        <v>42232</v>
      </c>
      <c r="E1490" s="2" t="s">
        <v>39</v>
      </c>
      <c r="F1490" s="2" t="s">
        <v>2958</v>
      </c>
      <c r="G1490" s="2" t="s">
        <v>2959</v>
      </c>
      <c r="H1490" s="2" t="s">
        <v>90</v>
      </c>
      <c r="I1490" s="2" t="s">
        <v>25</v>
      </c>
      <c r="J1490" s="2" t="s">
        <v>173</v>
      </c>
      <c r="K1490" s="2" t="s">
        <v>120</v>
      </c>
      <c r="L1490" s="2" t="s">
        <v>67</v>
      </c>
      <c r="M1490" s="2" t="s">
        <v>2425</v>
      </c>
      <c r="N1490" s="2" t="s">
        <v>30</v>
      </c>
      <c r="O1490" s="2" t="s">
        <v>56</v>
      </c>
      <c r="P1490" s="2" t="s">
        <v>2426</v>
      </c>
      <c r="Q1490" s="2">
        <v>10.02</v>
      </c>
      <c r="R1490" s="2">
        <v>3</v>
      </c>
      <c r="S1490" s="2">
        <v>4.4088000000000003</v>
      </c>
      <c r="T1490" s="2" t="s">
        <v>47</v>
      </c>
      <c r="U1490" s="2" t="s">
        <v>253</v>
      </c>
    </row>
    <row r="1491" spans="1:21" ht="14.25" customHeight="1" x14ac:dyDescent="0.3">
      <c r="A1491" s="2" t="s">
        <v>3653</v>
      </c>
      <c r="B1491" s="5">
        <v>42688</v>
      </c>
      <c r="C1491" s="2" t="str">
        <f>TEXT(data[[#This Row],[Order Date]],"YYYY")</f>
        <v>2016</v>
      </c>
      <c r="D1491" s="2">
        <v>42694</v>
      </c>
      <c r="E1491" s="2" t="s">
        <v>39</v>
      </c>
      <c r="F1491" s="2" t="s">
        <v>2167</v>
      </c>
      <c r="G1491" s="2" t="s">
        <v>2168</v>
      </c>
      <c r="H1491" s="2" t="s">
        <v>24</v>
      </c>
      <c r="I1491" s="2" t="s">
        <v>25</v>
      </c>
      <c r="J1491" s="2" t="s">
        <v>230</v>
      </c>
      <c r="K1491" s="2" t="s">
        <v>200</v>
      </c>
      <c r="L1491" s="2" t="s">
        <v>67</v>
      </c>
      <c r="M1491" s="2" t="s">
        <v>2237</v>
      </c>
      <c r="N1491" s="2" t="s">
        <v>30</v>
      </c>
      <c r="O1491" s="2" t="s">
        <v>56</v>
      </c>
      <c r="P1491" s="2" t="s">
        <v>2238</v>
      </c>
      <c r="Q1491" s="2">
        <v>19.920000000000002</v>
      </c>
      <c r="R1491" s="2">
        <v>4</v>
      </c>
      <c r="S1491" s="2">
        <v>6.5735999999999999</v>
      </c>
      <c r="T1491" s="2" t="s">
        <v>129</v>
      </c>
      <c r="U1491" s="2" t="s">
        <v>34</v>
      </c>
    </row>
    <row r="1492" spans="1:21" ht="14.25" customHeight="1" x14ac:dyDescent="0.3">
      <c r="A1492" s="2" t="s">
        <v>3654</v>
      </c>
      <c r="B1492" s="5">
        <v>43065</v>
      </c>
      <c r="C1492" s="2" t="str">
        <f>TEXT(data[[#This Row],[Order Date]],"YYYY")</f>
        <v>2017</v>
      </c>
      <c r="D1492" s="2">
        <v>43070</v>
      </c>
      <c r="E1492" s="2" t="s">
        <v>39</v>
      </c>
      <c r="F1492" s="2" t="s">
        <v>3475</v>
      </c>
      <c r="G1492" s="2" t="s">
        <v>3476</v>
      </c>
      <c r="H1492" s="2" t="s">
        <v>100</v>
      </c>
      <c r="I1492" s="2" t="s">
        <v>25</v>
      </c>
      <c r="J1492" s="2" t="s">
        <v>635</v>
      </c>
      <c r="K1492" s="2" t="s">
        <v>110</v>
      </c>
      <c r="L1492" s="2" t="s">
        <v>93</v>
      </c>
      <c r="M1492" s="2" t="s">
        <v>1259</v>
      </c>
      <c r="N1492" s="2" t="s">
        <v>30</v>
      </c>
      <c r="O1492" s="2" t="s">
        <v>45</v>
      </c>
      <c r="P1492" s="2" t="s">
        <v>1063</v>
      </c>
      <c r="Q1492" s="2">
        <v>257.94</v>
      </c>
      <c r="R1492" s="2">
        <v>3</v>
      </c>
      <c r="S1492" s="2">
        <v>67.064400000000006</v>
      </c>
      <c r="T1492" s="2" t="s">
        <v>58</v>
      </c>
      <c r="U1492" s="2" t="s">
        <v>34</v>
      </c>
    </row>
    <row r="1493" spans="1:21" ht="14.25" customHeight="1" x14ac:dyDescent="0.3">
      <c r="A1493" s="2" t="s">
        <v>3654</v>
      </c>
      <c r="B1493" s="5">
        <v>43065</v>
      </c>
      <c r="C1493" s="2" t="str">
        <f>TEXT(data[[#This Row],[Order Date]],"YYYY")</f>
        <v>2017</v>
      </c>
      <c r="D1493" s="2">
        <v>43070</v>
      </c>
      <c r="E1493" s="2" t="s">
        <v>39</v>
      </c>
      <c r="F1493" s="2" t="s">
        <v>3475</v>
      </c>
      <c r="G1493" s="2" t="s">
        <v>3476</v>
      </c>
      <c r="H1493" s="2" t="s">
        <v>100</v>
      </c>
      <c r="I1493" s="2" t="s">
        <v>25</v>
      </c>
      <c r="J1493" s="2" t="s">
        <v>635</v>
      </c>
      <c r="K1493" s="2" t="s">
        <v>110</v>
      </c>
      <c r="L1493" s="2" t="s">
        <v>93</v>
      </c>
      <c r="M1493" s="2" t="s">
        <v>1290</v>
      </c>
      <c r="N1493" s="2" t="s">
        <v>30</v>
      </c>
      <c r="O1493" s="2" t="s">
        <v>56</v>
      </c>
      <c r="P1493" s="2" t="s">
        <v>1291</v>
      </c>
      <c r="Q1493" s="2">
        <v>27.46</v>
      </c>
      <c r="R1493" s="2">
        <v>2</v>
      </c>
      <c r="S1493" s="2">
        <v>9.8856000000000002</v>
      </c>
      <c r="T1493" s="2" t="s">
        <v>58</v>
      </c>
      <c r="U1493" s="2" t="s">
        <v>34</v>
      </c>
    </row>
    <row r="1494" spans="1:21" ht="14.25" customHeight="1" x14ac:dyDescent="0.3">
      <c r="A1494" s="2" t="s">
        <v>3654</v>
      </c>
      <c r="B1494" s="5">
        <v>43065</v>
      </c>
      <c r="C1494" s="2" t="str">
        <f>TEXT(data[[#This Row],[Order Date]],"YYYY")</f>
        <v>2017</v>
      </c>
      <c r="D1494" s="2">
        <v>43070</v>
      </c>
      <c r="E1494" s="2" t="s">
        <v>39</v>
      </c>
      <c r="F1494" s="2" t="s">
        <v>3475</v>
      </c>
      <c r="G1494" s="2" t="s">
        <v>3476</v>
      </c>
      <c r="H1494" s="2" t="s">
        <v>100</v>
      </c>
      <c r="I1494" s="2" t="s">
        <v>25</v>
      </c>
      <c r="J1494" s="2" t="s">
        <v>635</v>
      </c>
      <c r="K1494" s="2" t="s">
        <v>110</v>
      </c>
      <c r="L1494" s="2" t="s">
        <v>93</v>
      </c>
      <c r="M1494" s="2" t="s">
        <v>246</v>
      </c>
      <c r="N1494" s="2" t="s">
        <v>30</v>
      </c>
      <c r="O1494" s="2" t="s">
        <v>36</v>
      </c>
      <c r="P1494" s="2" t="s">
        <v>247</v>
      </c>
      <c r="Q1494" s="2">
        <v>828.6</v>
      </c>
      <c r="R1494" s="2">
        <v>3</v>
      </c>
      <c r="S1494" s="2">
        <v>240.29400000000001</v>
      </c>
      <c r="T1494" s="2" t="s">
        <v>58</v>
      </c>
      <c r="U1494" s="2" t="s">
        <v>34</v>
      </c>
    </row>
    <row r="1495" spans="1:21" ht="14.25" customHeight="1" x14ac:dyDescent="0.3">
      <c r="A1495" s="2" t="s">
        <v>3655</v>
      </c>
      <c r="B1495" s="5">
        <v>42328</v>
      </c>
      <c r="C1495" s="2" t="str">
        <f>TEXT(data[[#This Row],[Order Date]],"YYYY")</f>
        <v>2015</v>
      </c>
      <c r="D1495" s="2">
        <v>42335</v>
      </c>
      <c r="E1495" s="2" t="s">
        <v>39</v>
      </c>
      <c r="F1495" s="2" t="s">
        <v>3248</v>
      </c>
      <c r="G1495" s="2" t="s">
        <v>3249</v>
      </c>
      <c r="H1495" s="2" t="s">
        <v>24</v>
      </c>
      <c r="I1495" s="2" t="s">
        <v>25</v>
      </c>
      <c r="J1495" s="2" t="s">
        <v>1006</v>
      </c>
      <c r="K1495" s="2" t="s">
        <v>43</v>
      </c>
      <c r="L1495" s="2" t="s">
        <v>28</v>
      </c>
      <c r="M1495" s="2" t="s">
        <v>542</v>
      </c>
      <c r="N1495" s="2" t="s">
        <v>30</v>
      </c>
      <c r="O1495" s="2" t="s">
        <v>31</v>
      </c>
      <c r="P1495" s="2" t="s">
        <v>543</v>
      </c>
      <c r="Q1495" s="2">
        <v>290.35199999999998</v>
      </c>
      <c r="R1495" s="2">
        <v>3</v>
      </c>
      <c r="S1495" s="2">
        <v>-36.293999999999997</v>
      </c>
      <c r="T1495" s="2" t="s">
        <v>47</v>
      </c>
      <c r="U1495" s="2" t="s">
        <v>34</v>
      </c>
    </row>
    <row r="1496" spans="1:21" ht="14.25" customHeight="1" x14ac:dyDescent="0.3">
      <c r="A1496" s="2" t="s">
        <v>3656</v>
      </c>
      <c r="B1496" s="5">
        <v>42985</v>
      </c>
      <c r="C1496" s="2" t="str">
        <f>TEXT(data[[#This Row],[Order Date]],"YYYY")</f>
        <v>2017</v>
      </c>
      <c r="D1496" s="2">
        <v>42985</v>
      </c>
      <c r="E1496" s="2" t="s">
        <v>425</v>
      </c>
      <c r="F1496" s="2" t="s">
        <v>3236</v>
      </c>
      <c r="G1496" s="2" t="s">
        <v>3237</v>
      </c>
      <c r="H1496" s="2" t="s">
        <v>24</v>
      </c>
      <c r="I1496" s="2" t="s">
        <v>25</v>
      </c>
      <c r="J1496" s="2" t="s">
        <v>3657</v>
      </c>
      <c r="K1496" s="2" t="s">
        <v>565</v>
      </c>
      <c r="L1496" s="2" t="s">
        <v>93</v>
      </c>
      <c r="M1496" s="2" t="s">
        <v>1709</v>
      </c>
      <c r="N1496" s="2" t="s">
        <v>30</v>
      </c>
      <c r="O1496" s="2" t="s">
        <v>56</v>
      </c>
      <c r="P1496" s="2" t="s">
        <v>1710</v>
      </c>
      <c r="Q1496" s="2">
        <v>135.30000000000001</v>
      </c>
      <c r="R1496" s="2">
        <v>5</v>
      </c>
      <c r="S1496" s="2">
        <v>37.884</v>
      </c>
      <c r="T1496" s="2" t="s">
        <v>430</v>
      </c>
      <c r="U1496" s="2" t="s">
        <v>77</v>
      </c>
    </row>
    <row r="1497" spans="1:21" ht="14.25" customHeight="1" x14ac:dyDescent="0.3">
      <c r="A1497" s="2" t="s">
        <v>3658</v>
      </c>
      <c r="B1497" s="5">
        <v>41967</v>
      </c>
      <c r="C1497" s="2" t="str">
        <f>TEXT(data[[#This Row],[Order Date]],"YYYY")</f>
        <v>2014</v>
      </c>
      <c r="D1497" s="2">
        <v>41972</v>
      </c>
      <c r="E1497" s="2" t="s">
        <v>39</v>
      </c>
      <c r="F1497" s="2" t="s">
        <v>886</v>
      </c>
      <c r="G1497" s="2" t="s">
        <v>887</v>
      </c>
      <c r="H1497" s="2" t="s">
        <v>100</v>
      </c>
      <c r="I1497" s="2" t="s">
        <v>25</v>
      </c>
      <c r="J1497" s="2" t="s">
        <v>3539</v>
      </c>
      <c r="K1497" s="2" t="s">
        <v>716</v>
      </c>
      <c r="L1497" s="2" t="s">
        <v>28</v>
      </c>
      <c r="M1497" s="2" t="s">
        <v>1983</v>
      </c>
      <c r="N1497" s="2" t="s">
        <v>30</v>
      </c>
      <c r="O1497" s="2" t="s">
        <v>56</v>
      </c>
      <c r="P1497" s="2" t="s">
        <v>1984</v>
      </c>
      <c r="Q1497" s="2">
        <v>111.15</v>
      </c>
      <c r="R1497" s="2">
        <v>5</v>
      </c>
      <c r="S1497" s="2">
        <v>48.905999999999999</v>
      </c>
      <c r="T1497" s="2" t="s">
        <v>58</v>
      </c>
      <c r="U1497" s="2" t="s">
        <v>34</v>
      </c>
    </row>
    <row r="1498" spans="1:21" ht="14.25" customHeight="1" x14ac:dyDescent="0.3">
      <c r="A1498" s="2" t="s">
        <v>3659</v>
      </c>
      <c r="B1498" s="5">
        <v>42805</v>
      </c>
      <c r="C1498" s="2" t="str">
        <f>TEXT(data[[#This Row],[Order Date]],"YYYY")</f>
        <v>2017</v>
      </c>
      <c r="D1498" s="2">
        <v>42810</v>
      </c>
      <c r="E1498" s="2" t="s">
        <v>39</v>
      </c>
      <c r="F1498" s="2" t="s">
        <v>3150</v>
      </c>
      <c r="G1498" s="2" t="s">
        <v>3151</v>
      </c>
      <c r="H1498" s="2" t="s">
        <v>100</v>
      </c>
      <c r="I1498" s="2" t="s">
        <v>25</v>
      </c>
      <c r="J1498" s="2" t="s">
        <v>65</v>
      </c>
      <c r="K1498" s="2" t="s">
        <v>66</v>
      </c>
      <c r="L1498" s="2" t="s">
        <v>67</v>
      </c>
      <c r="M1498" s="2" t="s">
        <v>1062</v>
      </c>
      <c r="N1498" s="2" t="s">
        <v>30</v>
      </c>
      <c r="O1498" s="2" t="s">
        <v>45</v>
      </c>
      <c r="P1498" s="2" t="s">
        <v>1063</v>
      </c>
      <c r="Q1498" s="2">
        <v>154.76400000000001</v>
      </c>
      <c r="R1498" s="2">
        <v>3</v>
      </c>
      <c r="S1498" s="2">
        <v>-46.429200000000002</v>
      </c>
      <c r="T1498" s="2" t="s">
        <v>58</v>
      </c>
      <c r="U1498" s="2" t="s">
        <v>195</v>
      </c>
    </row>
    <row r="1499" spans="1:21" ht="14.25" customHeight="1" x14ac:dyDescent="0.3">
      <c r="A1499" s="2" t="s">
        <v>3660</v>
      </c>
      <c r="B1499" s="5">
        <v>43091</v>
      </c>
      <c r="C1499" s="2" t="str">
        <f>TEXT(data[[#This Row],[Order Date]],"YYYY")</f>
        <v>2017</v>
      </c>
      <c r="D1499" s="2">
        <v>43095</v>
      </c>
      <c r="E1499" s="2" t="s">
        <v>39</v>
      </c>
      <c r="F1499" s="2" t="s">
        <v>3085</v>
      </c>
      <c r="G1499" s="2" t="s">
        <v>3086</v>
      </c>
      <c r="H1499" s="2" t="s">
        <v>100</v>
      </c>
      <c r="I1499" s="2" t="s">
        <v>25</v>
      </c>
      <c r="J1499" s="2" t="s">
        <v>3661</v>
      </c>
      <c r="K1499" s="2" t="s">
        <v>1276</v>
      </c>
      <c r="L1499" s="2" t="s">
        <v>28</v>
      </c>
      <c r="M1499" s="2" t="s">
        <v>590</v>
      </c>
      <c r="N1499" s="2" t="s">
        <v>30</v>
      </c>
      <c r="O1499" s="2" t="s">
        <v>36</v>
      </c>
      <c r="P1499" s="2" t="s">
        <v>591</v>
      </c>
      <c r="Q1499" s="2">
        <v>141.96</v>
      </c>
      <c r="R1499" s="2">
        <v>2</v>
      </c>
      <c r="S1499" s="2">
        <v>35.49</v>
      </c>
      <c r="T1499" s="2" t="s">
        <v>83</v>
      </c>
      <c r="U1499" s="2" t="s">
        <v>96</v>
      </c>
    </row>
    <row r="1500" spans="1:21" ht="14.25" customHeight="1" x14ac:dyDescent="0.3">
      <c r="A1500" s="2" t="s">
        <v>3662</v>
      </c>
      <c r="B1500" s="5">
        <v>43091</v>
      </c>
      <c r="C1500" s="2" t="str">
        <f>TEXT(data[[#This Row],[Order Date]],"YYYY")</f>
        <v>2017</v>
      </c>
      <c r="D1500" s="2">
        <v>43094</v>
      </c>
      <c r="E1500" s="2" t="s">
        <v>21</v>
      </c>
      <c r="F1500" s="2" t="s">
        <v>3663</v>
      </c>
      <c r="G1500" s="2" t="s">
        <v>3664</v>
      </c>
      <c r="H1500" s="2" t="s">
        <v>24</v>
      </c>
      <c r="I1500" s="2" t="s">
        <v>25</v>
      </c>
      <c r="J1500" s="2" t="s">
        <v>914</v>
      </c>
      <c r="K1500" s="2" t="s">
        <v>520</v>
      </c>
      <c r="L1500" s="2" t="s">
        <v>54</v>
      </c>
      <c r="M1500" s="2" t="s">
        <v>1234</v>
      </c>
      <c r="N1500" s="2" t="s">
        <v>30</v>
      </c>
      <c r="O1500" s="2" t="s">
        <v>45</v>
      </c>
      <c r="P1500" s="2" t="s">
        <v>1235</v>
      </c>
      <c r="Q1500" s="2">
        <v>182.55</v>
      </c>
      <c r="R1500" s="2">
        <v>2</v>
      </c>
      <c r="S1500" s="2">
        <v>-135.08699999999999</v>
      </c>
      <c r="T1500" s="2" t="s">
        <v>33</v>
      </c>
      <c r="U1500" s="2" t="s">
        <v>96</v>
      </c>
    </row>
    <row r="1501" spans="1:21" ht="14.25" customHeight="1" x14ac:dyDescent="0.3">
      <c r="A1501" s="2" t="s">
        <v>3665</v>
      </c>
      <c r="B1501" s="5">
        <v>42363</v>
      </c>
      <c r="C1501" s="2" t="str">
        <f>TEXT(data[[#This Row],[Order Date]],"YYYY")</f>
        <v>2015</v>
      </c>
      <c r="D1501" s="2">
        <v>42365</v>
      </c>
      <c r="E1501" s="2" t="s">
        <v>21</v>
      </c>
      <c r="F1501" s="2" t="s">
        <v>2710</v>
      </c>
      <c r="G1501" s="2" t="s">
        <v>2711</v>
      </c>
      <c r="H1501" s="2" t="s">
        <v>24</v>
      </c>
      <c r="I1501" s="2" t="s">
        <v>25</v>
      </c>
      <c r="J1501" s="2" t="s">
        <v>347</v>
      </c>
      <c r="K1501" s="2" t="s">
        <v>667</v>
      </c>
      <c r="L1501" s="2" t="s">
        <v>28</v>
      </c>
      <c r="M1501" s="2" t="s">
        <v>3288</v>
      </c>
      <c r="N1501" s="2" t="s">
        <v>30</v>
      </c>
      <c r="O1501" s="2" t="s">
        <v>56</v>
      </c>
      <c r="P1501" s="2" t="s">
        <v>3289</v>
      </c>
      <c r="Q1501" s="2">
        <v>275.88</v>
      </c>
      <c r="R1501" s="2">
        <v>6</v>
      </c>
      <c r="S1501" s="2">
        <v>46.8996</v>
      </c>
      <c r="T1501" s="2" t="s">
        <v>70</v>
      </c>
      <c r="U1501" s="2" t="s">
        <v>96</v>
      </c>
    </row>
    <row r="1502" spans="1:21" ht="14.25" customHeight="1" x14ac:dyDescent="0.3">
      <c r="A1502" s="2" t="s">
        <v>3666</v>
      </c>
      <c r="B1502" s="5">
        <v>41842</v>
      </c>
      <c r="C1502" s="2" t="str">
        <f>TEXT(data[[#This Row],[Order Date]],"YYYY")</f>
        <v>2014</v>
      </c>
      <c r="D1502" s="2">
        <v>41844</v>
      </c>
      <c r="E1502" s="2" t="s">
        <v>21</v>
      </c>
      <c r="F1502" s="2" t="s">
        <v>713</v>
      </c>
      <c r="G1502" s="2" t="s">
        <v>714</v>
      </c>
      <c r="H1502" s="2" t="s">
        <v>24</v>
      </c>
      <c r="I1502" s="2" t="s">
        <v>25</v>
      </c>
      <c r="J1502" s="2" t="s">
        <v>328</v>
      </c>
      <c r="K1502" s="2" t="s">
        <v>53</v>
      </c>
      <c r="L1502" s="2" t="s">
        <v>54</v>
      </c>
      <c r="M1502" s="2" t="s">
        <v>1585</v>
      </c>
      <c r="N1502" s="2" t="s">
        <v>30</v>
      </c>
      <c r="O1502" s="2" t="s">
        <v>36</v>
      </c>
      <c r="P1502" s="2" t="s">
        <v>1586</v>
      </c>
      <c r="Q1502" s="2">
        <v>717.72</v>
      </c>
      <c r="R1502" s="2">
        <v>3</v>
      </c>
      <c r="S1502" s="2">
        <v>71.772000000000006</v>
      </c>
      <c r="T1502" s="2" t="s">
        <v>70</v>
      </c>
      <c r="U1502" s="2" t="s">
        <v>71</v>
      </c>
    </row>
    <row r="1503" spans="1:21" ht="14.25" customHeight="1" x14ac:dyDescent="0.3">
      <c r="A1503" s="2" t="s">
        <v>3666</v>
      </c>
      <c r="B1503" s="5">
        <v>41842</v>
      </c>
      <c r="C1503" s="2" t="str">
        <f>TEXT(data[[#This Row],[Order Date]],"YYYY")</f>
        <v>2014</v>
      </c>
      <c r="D1503" s="2">
        <v>41844</v>
      </c>
      <c r="E1503" s="2" t="s">
        <v>21</v>
      </c>
      <c r="F1503" s="2" t="s">
        <v>713</v>
      </c>
      <c r="G1503" s="2" t="s">
        <v>714</v>
      </c>
      <c r="H1503" s="2" t="s">
        <v>24</v>
      </c>
      <c r="I1503" s="2" t="s">
        <v>25</v>
      </c>
      <c r="J1503" s="2" t="s">
        <v>328</v>
      </c>
      <c r="K1503" s="2" t="s">
        <v>53</v>
      </c>
      <c r="L1503" s="2" t="s">
        <v>54</v>
      </c>
      <c r="M1503" s="2" t="s">
        <v>1567</v>
      </c>
      <c r="N1503" s="2" t="s">
        <v>30</v>
      </c>
      <c r="O1503" s="2" t="s">
        <v>45</v>
      </c>
      <c r="P1503" s="2" t="s">
        <v>1568</v>
      </c>
      <c r="Q1503" s="2">
        <v>170.352</v>
      </c>
      <c r="R1503" s="2">
        <v>3</v>
      </c>
      <c r="S1503" s="2">
        <v>19.1646</v>
      </c>
      <c r="T1503" s="2" t="s">
        <v>70</v>
      </c>
      <c r="U1503" s="2" t="s">
        <v>71</v>
      </c>
    </row>
    <row r="1504" spans="1:21" ht="14.25" customHeight="1" x14ac:dyDescent="0.3">
      <c r="A1504" s="2" t="s">
        <v>3667</v>
      </c>
      <c r="B1504" s="5">
        <v>43016</v>
      </c>
      <c r="C1504" s="2" t="str">
        <f>TEXT(data[[#This Row],[Order Date]],"YYYY")</f>
        <v>2017</v>
      </c>
      <c r="D1504" s="2">
        <v>43022</v>
      </c>
      <c r="E1504" s="2" t="s">
        <v>39</v>
      </c>
      <c r="F1504" s="2" t="s">
        <v>833</v>
      </c>
      <c r="G1504" s="2" t="s">
        <v>834</v>
      </c>
      <c r="H1504" s="2" t="s">
        <v>24</v>
      </c>
      <c r="I1504" s="2" t="s">
        <v>25</v>
      </c>
      <c r="J1504" s="2" t="s">
        <v>173</v>
      </c>
      <c r="K1504" s="2" t="s">
        <v>120</v>
      </c>
      <c r="L1504" s="2" t="s">
        <v>67</v>
      </c>
      <c r="M1504" s="2" t="s">
        <v>495</v>
      </c>
      <c r="N1504" s="2" t="s">
        <v>30</v>
      </c>
      <c r="O1504" s="2" t="s">
        <v>36</v>
      </c>
      <c r="P1504" s="2" t="s">
        <v>496</v>
      </c>
      <c r="Q1504" s="2">
        <v>145.76400000000001</v>
      </c>
      <c r="R1504" s="2">
        <v>2</v>
      </c>
      <c r="S1504" s="2">
        <v>3.2391999999999999</v>
      </c>
      <c r="T1504" s="2" t="s">
        <v>129</v>
      </c>
      <c r="U1504" s="2" t="s">
        <v>48</v>
      </c>
    </row>
    <row r="1505" spans="1:21" ht="14.25" customHeight="1" x14ac:dyDescent="0.3">
      <c r="A1505" s="2" t="s">
        <v>3668</v>
      </c>
      <c r="B1505" s="5">
        <v>42846</v>
      </c>
      <c r="C1505" s="2" t="str">
        <f>TEXT(data[[#This Row],[Order Date]],"YYYY")</f>
        <v>2017</v>
      </c>
      <c r="D1505" s="2">
        <v>42848</v>
      </c>
      <c r="E1505" s="2" t="s">
        <v>87</v>
      </c>
      <c r="F1505" s="2" t="s">
        <v>2654</v>
      </c>
      <c r="G1505" s="2" t="s">
        <v>2655</v>
      </c>
      <c r="H1505" s="2" t="s">
        <v>24</v>
      </c>
      <c r="I1505" s="2" t="s">
        <v>25</v>
      </c>
      <c r="J1505" s="2" t="s">
        <v>2754</v>
      </c>
      <c r="K1505" s="2" t="s">
        <v>1089</v>
      </c>
      <c r="L1505" s="2" t="s">
        <v>67</v>
      </c>
      <c r="M1505" s="2" t="s">
        <v>104</v>
      </c>
      <c r="N1505" s="2" t="s">
        <v>30</v>
      </c>
      <c r="O1505" s="2" t="s">
        <v>36</v>
      </c>
      <c r="P1505" s="2" t="s">
        <v>105</v>
      </c>
      <c r="Q1505" s="2">
        <v>908.82</v>
      </c>
      <c r="R1505" s="2">
        <v>9</v>
      </c>
      <c r="S1505" s="2">
        <v>227.20500000000001</v>
      </c>
      <c r="T1505" s="2" t="s">
        <v>70</v>
      </c>
      <c r="U1505" s="2" t="s">
        <v>113</v>
      </c>
    </row>
    <row r="1506" spans="1:21" ht="14.25" customHeight="1" x14ac:dyDescent="0.3">
      <c r="A1506" s="2" t="s">
        <v>3669</v>
      </c>
      <c r="B1506" s="5">
        <v>42964</v>
      </c>
      <c r="C1506" s="2" t="str">
        <f>TEXT(data[[#This Row],[Order Date]],"YYYY")</f>
        <v>2017</v>
      </c>
      <c r="D1506" s="2">
        <v>42971</v>
      </c>
      <c r="E1506" s="2" t="s">
        <v>39</v>
      </c>
      <c r="F1506" s="2" t="s">
        <v>2651</v>
      </c>
      <c r="G1506" s="2" t="s">
        <v>2652</v>
      </c>
      <c r="H1506" s="2" t="s">
        <v>100</v>
      </c>
      <c r="I1506" s="2" t="s">
        <v>25</v>
      </c>
      <c r="J1506" s="2" t="s">
        <v>101</v>
      </c>
      <c r="K1506" s="2" t="s">
        <v>92</v>
      </c>
      <c r="L1506" s="2" t="s">
        <v>93</v>
      </c>
      <c r="M1506" s="2" t="s">
        <v>2008</v>
      </c>
      <c r="N1506" s="2" t="s">
        <v>30</v>
      </c>
      <c r="O1506" s="2" t="s">
        <v>36</v>
      </c>
      <c r="P1506" s="2" t="s">
        <v>2009</v>
      </c>
      <c r="Q1506" s="2">
        <v>74.591999999999999</v>
      </c>
      <c r="R1506" s="2">
        <v>4</v>
      </c>
      <c r="S1506" s="2">
        <v>-2.1312000000000002</v>
      </c>
      <c r="T1506" s="2" t="s">
        <v>47</v>
      </c>
      <c r="U1506" s="2" t="s">
        <v>253</v>
      </c>
    </row>
    <row r="1507" spans="1:21" ht="14.25" customHeight="1" x14ac:dyDescent="0.3">
      <c r="A1507" s="2" t="s">
        <v>3669</v>
      </c>
      <c r="B1507" s="5">
        <v>42964</v>
      </c>
      <c r="C1507" s="2" t="str">
        <f>TEXT(data[[#This Row],[Order Date]],"YYYY")</f>
        <v>2017</v>
      </c>
      <c r="D1507" s="2">
        <v>42971</v>
      </c>
      <c r="E1507" s="2" t="s">
        <v>39</v>
      </c>
      <c r="F1507" s="2" t="s">
        <v>2651</v>
      </c>
      <c r="G1507" s="2" t="s">
        <v>2652</v>
      </c>
      <c r="H1507" s="2" t="s">
        <v>100</v>
      </c>
      <c r="I1507" s="2" t="s">
        <v>25</v>
      </c>
      <c r="J1507" s="2" t="s">
        <v>101</v>
      </c>
      <c r="K1507" s="2" t="s">
        <v>92</v>
      </c>
      <c r="L1507" s="2" t="s">
        <v>93</v>
      </c>
      <c r="M1507" s="2" t="s">
        <v>2281</v>
      </c>
      <c r="N1507" s="2" t="s">
        <v>30</v>
      </c>
      <c r="O1507" s="2" t="s">
        <v>56</v>
      </c>
      <c r="P1507" s="2" t="s">
        <v>2282</v>
      </c>
      <c r="Q1507" s="2">
        <v>16.783999999999999</v>
      </c>
      <c r="R1507" s="2">
        <v>2</v>
      </c>
      <c r="S1507" s="2">
        <v>-22.238800000000001</v>
      </c>
      <c r="T1507" s="2" t="s">
        <v>47</v>
      </c>
      <c r="U1507" s="2" t="s">
        <v>253</v>
      </c>
    </row>
    <row r="1508" spans="1:21" ht="14.25" customHeight="1" x14ac:dyDescent="0.3">
      <c r="A1508" s="2" t="s">
        <v>3670</v>
      </c>
      <c r="B1508" s="5">
        <v>42686</v>
      </c>
      <c r="C1508" s="2" t="str">
        <f>TEXT(data[[#This Row],[Order Date]],"YYYY")</f>
        <v>2016</v>
      </c>
      <c r="D1508" s="2">
        <v>42689</v>
      </c>
      <c r="E1508" s="2" t="s">
        <v>87</v>
      </c>
      <c r="F1508" s="2" t="s">
        <v>322</v>
      </c>
      <c r="G1508" s="2" t="s">
        <v>323</v>
      </c>
      <c r="H1508" s="2" t="s">
        <v>100</v>
      </c>
      <c r="I1508" s="2" t="s">
        <v>25</v>
      </c>
      <c r="J1508" s="2" t="s">
        <v>639</v>
      </c>
      <c r="K1508" s="2" t="s">
        <v>53</v>
      </c>
      <c r="L1508" s="2" t="s">
        <v>54</v>
      </c>
      <c r="M1508" s="2" t="s">
        <v>2819</v>
      </c>
      <c r="N1508" s="2" t="s">
        <v>30</v>
      </c>
      <c r="O1508" s="2" t="s">
        <v>45</v>
      </c>
      <c r="P1508" s="2" t="s">
        <v>2820</v>
      </c>
      <c r="Q1508" s="2">
        <v>674.35199999999998</v>
      </c>
      <c r="R1508" s="2">
        <v>3</v>
      </c>
      <c r="S1508" s="2">
        <v>-8.4293999999999993</v>
      </c>
      <c r="T1508" s="2" t="s">
        <v>33</v>
      </c>
      <c r="U1508" s="2" t="s">
        <v>34</v>
      </c>
    </row>
    <row r="1509" spans="1:21" ht="14.25" customHeight="1" x14ac:dyDescent="0.3">
      <c r="A1509" s="2" t="s">
        <v>3671</v>
      </c>
      <c r="B1509" s="5">
        <v>42687</v>
      </c>
      <c r="C1509" s="2" t="str">
        <f>TEXT(data[[#This Row],[Order Date]],"YYYY")</f>
        <v>2016</v>
      </c>
      <c r="D1509" s="2">
        <v>42691</v>
      </c>
      <c r="E1509" s="2" t="s">
        <v>39</v>
      </c>
      <c r="F1509" s="2" t="s">
        <v>3301</v>
      </c>
      <c r="G1509" s="2" t="s">
        <v>3302</v>
      </c>
      <c r="H1509" s="2" t="s">
        <v>100</v>
      </c>
      <c r="I1509" s="2" t="s">
        <v>25</v>
      </c>
      <c r="J1509" s="2" t="s">
        <v>191</v>
      </c>
      <c r="K1509" s="2" t="s">
        <v>192</v>
      </c>
      <c r="L1509" s="2" t="s">
        <v>54</v>
      </c>
      <c r="M1509" s="2" t="s">
        <v>84</v>
      </c>
      <c r="N1509" s="2" t="s">
        <v>30</v>
      </c>
      <c r="O1509" s="2" t="s">
        <v>56</v>
      </c>
      <c r="P1509" s="2" t="s">
        <v>1861</v>
      </c>
      <c r="Q1509" s="2">
        <v>19.54</v>
      </c>
      <c r="R1509" s="2">
        <v>2</v>
      </c>
      <c r="S1509" s="2">
        <v>7.2298</v>
      </c>
      <c r="T1509" s="2" t="s">
        <v>83</v>
      </c>
      <c r="U1509" s="2" t="s">
        <v>34</v>
      </c>
    </row>
    <row r="1510" spans="1:21" ht="14.25" customHeight="1" x14ac:dyDescent="0.3">
      <c r="A1510" s="2" t="s">
        <v>3672</v>
      </c>
      <c r="B1510" s="5">
        <v>42701</v>
      </c>
      <c r="C1510" s="2" t="str">
        <f>TEXT(data[[#This Row],[Order Date]],"YYYY")</f>
        <v>2016</v>
      </c>
      <c r="D1510" s="2">
        <v>42707</v>
      </c>
      <c r="E1510" s="2" t="s">
        <v>39</v>
      </c>
      <c r="F1510" s="2" t="s">
        <v>2035</v>
      </c>
      <c r="G1510" s="2" t="s">
        <v>2036</v>
      </c>
      <c r="H1510" s="2" t="s">
        <v>24</v>
      </c>
      <c r="I1510" s="2" t="s">
        <v>25</v>
      </c>
      <c r="J1510" s="2" t="s">
        <v>42</v>
      </c>
      <c r="K1510" s="2" t="s">
        <v>43</v>
      </c>
      <c r="L1510" s="2" t="s">
        <v>28</v>
      </c>
      <c r="M1510" s="2" t="s">
        <v>1259</v>
      </c>
      <c r="N1510" s="2" t="s">
        <v>30</v>
      </c>
      <c r="O1510" s="2" t="s">
        <v>45</v>
      </c>
      <c r="P1510" s="2" t="s">
        <v>1063</v>
      </c>
      <c r="Q1510" s="2">
        <v>331.02300000000002</v>
      </c>
      <c r="R1510" s="2">
        <v>7</v>
      </c>
      <c r="S1510" s="2">
        <v>-114.35339999999999</v>
      </c>
      <c r="T1510" s="2" t="s">
        <v>129</v>
      </c>
      <c r="U1510" s="2" t="s">
        <v>34</v>
      </c>
    </row>
    <row r="1511" spans="1:21" ht="14.25" customHeight="1" x14ac:dyDescent="0.3">
      <c r="A1511" s="2" t="s">
        <v>3673</v>
      </c>
      <c r="B1511" s="5">
        <v>42671</v>
      </c>
      <c r="C1511" s="2" t="str">
        <f>TEXT(data[[#This Row],[Order Date]],"YYYY")</f>
        <v>2016</v>
      </c>
      <c r="D1511" s="2">
        <v>42671</v>
      </c>
      <c r="E1511" s="2" t="s">
        <v>425</v>
      </c>
      <c r="F1511" s="2" t="s">
        <v>3674</v>
      </c>
      <c r="G1511" s="2" t="s">
        <v>3675</v>
      </c>
      <c r="H1511" s="2" t="s">
        <v>90</v>
      </c>
      <c r="I1511" s="2" t="s">
        <v>25</v>
      </c>
      <c r="J1511" s="2" t="s">
        <v>894</v>
      </c>
      <c r="K1511" s="2" t="s">
        <v>120</v>
      </c>
      <c r="L1511" s="2" t="s">
        <v>67</v>
      </c>
      <c r="M1511" s="2" t="s">
        <v>3676</v>
      </c>
      <c r="N1511" s="2" t="s">
        <v>30</v>
      </c>
      <c r="O1511" s="2" t="s">
        <v>56</v>
      </c>
      <c r="P1511" s="2" t="s">
        <v>3677</v>
      </c>
      <c r="Q1511" s="2">
        <v>756.8</v>
      </c>
      <c r="R1511" s="2">
        <v>5</v>
      </c>
      <c r="S1511" s="2">
        <v>75.680000000000007</v>
      </c>
      <c r="T1511" s="2" t="s">
        <v>430</v>
      </c>
      <c r="U1511" s="2" t="s">
        <v>48</v>
      </c>
    </row>
    <row r="1512" spans="1:21" ht="14.25" customHeight="1" x14ac:dyDescent="0.3">
      <c r="A1512" s="2" t="s">
        <v>3678</v>
      </c>
      <c r="B1512" s="5">
        <v>42002</v>
      </c>
      <c r="C1512" s="2" t="str">
        <f>TEXT(data[[#This Row],[Order Date]],"YYYY")</f>
        <v>2014</v>
      </c>
      <c r="D1512" s="2">
        <v>42006</v>
      </c>
      <c r="E1512" s="2" t="s">
        <v>39</v>
      </c>
      <c r="F1512" s="2" t="s">
        <v>2895</v>
      </c>
      <c r="G1512" s="2" t="s">
        <v>2896</v>
      </c>
      <c r="H1512" s="2" t="s">
        <v>100</v>
      </c>
      <c r="I1512" s="2" t="s">
        <v>25</v>
      </c>
      <c r="J1512" s="2" t="s">
        <v>3657</v>
      </c>
      <c r="K1512" s="2" t="s">
        <v>134</v>
      </c>
      <c r="L1512" s="2" t="s">
        <v>93</v>
      </c>
      <c r="M1512" s="2" t="s">
        <v>2877</v>
      </c>
      <c r="N1512" s="2" t="s">
        <v>30</v>
      </c>
      <c r="O1512" s="2" t="s">
        <v>56</v>
      </c>
      <c r="P1512" s="2" t="s">
        <v>2878</v>
      </c>
      <c r="Q1512" s="2">
        <v>8.7360000000000007</v>
      </c>
      <c r="R1512" s="2">
        <v>3</v>
      </c>
      <c r="S1512" s="2">
        <v>-4.8048000000000002</v>
      </c>
      <c r="T1512" s="2" t="s">
        <v>83</v>
      </c>
      <c r="U1512" s="2" t="s">
        <v>96</v>
      </c>
    </row>
    <row r="1513" spans="1:21" ht="14.25" customHeight="1" x14ac:dyDescent="0.3">
      <c r="A1513" s="2" t="s">
        <v>3679</v>
      </c>
      <c r="B1513" s="5">
        <v>43010</v>
      </c>
      <c r="C1513" s="2" t="str">
        <f>TEXT(data[[#This Row],[Order Date]],"YYYY")</f>
        <v>2017</v>
      </c>
      <c r="D1513" s="2">
        <v>43014</v>
      </c>
      <c r="E1513" s="2" t="s">
        <v>39</v>
      </c>
      <c r="F1513" s="2" t="s">
        <v>1202</v>
      </c>
      <c r="G1513" s="2" t="s">
        <v>1203</v>
      </c>
      <c r="H1513" s="2" t="s">
        <v>24</v>
      </c>
      <c r="I1513" s="2" t="s">
        <v>25</v>
      </c>
      <c r="J1513" s="2" t="s">
        <v>328</v>
      </c>
      <c r="K1513" s="2" t="s">
        <v>53</v>
      </c>
      <c r="L1513" s="2" t="s">
        <v>54</v>
      </c>
      <c r="M1513" s="2" t="s">
        <v>895</v>
      </c>
      <c r="N1513" s="2" t="s">
        <v>30</v>
      </c>
      <c r="O1513" s="2" t="s">
        <v>56</v>
      </c>
      <c r="P1513" s="2" t="s">
        <v>896</v>
      </c>
      <c r="Q1513" s="2">
        <v>17.46</v>
      </c>
      <c r="R1513" s="2">
        <v>2</v>
      </c>
      <c r="S1513" s="2">
        <v>5.9363999999999999</v>
      </c>
      <c r="T1513" s="2" t="s">
        <v>83</v>
      </c>
      <c r="U1513" s="2" t="s">
        <v>48</v>
      </c>
    </row>
    <row r="1514" spans="1:21" ht="14.25" customHeight="1" x14ac:dyDescent="0.3">
      <c r="A1514" s="2" t="s">
        <v>3680</v>
      </c>
      <c r="B1514" s="5">
        <v>42565</v>
      </c>
      <c r="C1514" s="2" t="str">
        <f>TEXT(data[[#This Row],[Order Date]],"YYYY")</f>
        <v>2016</v>
      </c>
      <c r="D1514" s="2">
        <v>42569</v>
      </c>
      <c r="E1514" s="2" t="s">
        <v>39</v>
      </c>
      <c r="F1514" s="2" t="s">
        <v>2645</v>
      </c>
      <c r="G1514" s="2" t="s">
        <v>2646</v>
      </c>
      <c r="H1514" s="2" t="s">
        <v>24</v>
      </c>
      <c r="I1514" s="2" t="s">
        <v>25</v>
      </c>
      <c r="J1514" s="2" t="s">
        <v>328</v>
      </c>
      <c r="K1514" s="2" t="s">
        <v>53</v>
      </c>
      <c r="L1514" s="2" t="s">
        <v>54</v>
      </c>
      <c r="M1514" s="2" t="s">
        <v>553</v>
      </c>
      <c r="N1514" s="2" t="s">
        <v>30</v>
      </c>
      <c r="O1514" s="2" t="s">
        <v>56</v>
      </c>
      <c r="P1514" s="2" t="s">
        <v>554</v>
      </c>
      <c r="Q1514" s="2">
        <v>30.8</v>
      </c>
      <c r="R1514" s="2">
        <v>4</v>
      </c>
      <c r="S1514" s="2">
        <v>10.164</v>
      </c>
      <c r="T1514" s="2" t="s">
        <v>83</v>
      </c>
      <c r="U1514" s="2" t="s">
        <v>71</v>
      </c>
    </row>
    <row r="1515" spans="1:21" ht="14.25" customHeight="1" x14ac:dyDescent="0.3">
      <c r="A1515" s="2" t="s">
        <v>3681</v>
      </c>
      <c r="B1515" s="5">
        <v>42437</v>
      </c>
      <c r="C1515" s="2" t="str">
        <f>TEXT(data[[#This Row],[Order Date]],"YYYY")</f>
        <v>2016</v>
      </c>
      <c r="D1515" s="2">
        <v>42441</v>
      </c>
      <c r="E1515" s="2" t="s">
        <v>39</v>
      </c>
      <c r="F1515" s="2" t="s">
        <v>2223</v>
      </c>
      <c r="G1515" s="2" t="s">
        <v>2224</v>
      </c>
      <c r="H1515" s="2" t="s">
        <v>24</v>
      </c>
      <c r="I1515" s="2" t="s">
        <v>25</v>
      </c>
      <c r="J1515" s="2" t="s">
        <v>173</v>
      </c>
      <c r="K1515" s="2" t="s">
        <v>120</v>
      </c>
      <c r="L1515" s="2" t="s">
        <v>67</v>
      </c>
      <c r="M1515" s="2" t="s">
        <v>485</v>
      </c>
      <c r="N1515" s="2" t="s">
        <v>30</v>
      </c>
      <c r="O1515" s="2" t="s">
        <v>56</v>
      </c>
      <c r="P1515" s="2" t="s">
        <v>486</v>
      </c>
      <c r="Q1515" s="2">
        <v>113.6</v>
      </c>
      <c r="R1515" s="2">
        <v>8</v>
      </c>
      <c r="S1515" s="2">
        <v>44.304000000000002</v>
      </c>
      <c r="T1515" s="2" t="s">
        <v>83</v>
      </c>
      <c r="U1515" s="2" t="s">
        <v>195</v>
      </c>
    </row>
    <row r="1516" spans="1:21" ht="14.25" customHeight="1" x14ac:dyDescent="0.3">
      <c r="A1516" s="2" t="s">
        <v>3682</v>
      </c>
      <c r="B1516" s="5">
        <v>42728</v>
      </c>
      <c r="C1516" s="2" t="str">
        <f>TEXT(data[[#This Row],[Order Date]],"YYYY")</f>
        <v>2016</v>
      </c>
      <c r="D1516" s="2">
        <v>42734</v>
      </c>
      <c r="E1516" s="2" t="s">
        <v>39</v>
      </c>
      <c r="F1516" s="2" t="s">
        <v>3683</v>
      </c>
      <c r="G1516" s="2" t="s">
        <v>3684</v>
      </c>
      <c r="H1516" s="2" t="s">
        <v>24</v>
      </c>
      <c r="I1516" s="2" t="s">
        <v>25</v>
      </c>
      <c r="J1516" s="2" t="s">
        <v>1491</v>
      </c>
      <c r="K1516" s="2" t="s">
        <v>53</v>
      </c>
      <c r="L1516" s="2" t="s">
        <v>54</v>
      </c>
      <c r="M1516" s="2" t="s">
        <v>2158</v>
      </c>
      <c r="N1516" s="2" t="s">
        <v>30</v>
      </c>
      <c r="O1516" s="2" t="s">
        <v>56</v>
      </c>
      <c r="P1516" s="2" t="s">
        <v>2159</v>
      </c>
      <c r="Q1516" s="2">
        <v>43.96</v>
      </c>
      <c r="R1516" s="2">
        <v>7</v>
      </c>
      <c r="S1516" s="2">
        <v>18.463200000000001</v>
      </c>
      <c r="T1516" s="2" t="s">
        <v>129</v>
      </c>
      <c r="U1516" s="2" t="s">
        <v>96</v>
      </c>
    </row>
    <row r="1517" spans="1:21" ht="14.25" customHeight="1" x14ac:dyDescent="0.3">
      <c r="A1517" s="2" t="s">
        <v>3685</v>
      </c>
      <c r="B1517" s="5">
        <v>42848</v>
      </c>
      <c r="C1517" s="2" t="str">
        <f>TEXT(data[[#This Row],[Order Date]],"YYYY")</f>
        <v>2017</v>
      </c>
      <c r="D1517" s="2">
        <v>42850</v>
      </c>
      <c r="E1517" s="2" t="s">
        <v>21</v>
      </c>
      <c r="F1517" s="2" t="s">
        <v>2609</v>
      </c>
      <c r="G1517" s="2" t="s">
        <v>2610</v>
      </c>
      <c r="H1517" s="2" t="s">
        <v>24</v>
      </c>
      <c r="I1517" s="2" t="s">
        <v>25</v>
      </c>
      <c r="J1517" s="2" t="s">
        <v>1185</v>
      </c>
      <c r="K1517" s="2" t="s">
        <v>53</v>
      </c>
      <c r="L1517" s="2" t="s">
        <v>54</v>
      </c>
      <c r="M1517" s="2" t="s">
        <v>2204</v>
      </c>
      <c r="N1517" s="2" t="s">
        <v>30</v>
      </c>
      <c r="O1517" s="2" t="s">
        <v>56</v>
      </c>
      <c r="P1517" s="2" t="s">
        <v>2205</v>
      </c>
      <c r="Q1517" s="2">
        <v>66.36</v>
      </c>
      <c r="R1517" s="2">
        <v>7</v>
      </c>
      <c r="S1517" s="2">
        <v>26.544</v>
      </c>
      <c r="T1517" s="2" t="s">
        <v>70</v>
      </c>
      <c r="U1517" s="2" t="s">
        <v>113</v>
      </c>
    </row>
    <row r="1518" spans="1:21" ht="14.25" customHeight="1" x14ac:dyDescent="0.3">
      <c r="A1518" s="2" t="s">
        <v>3685</v>
      </c>
      <c r="B1518" s="5">
        <v>42848</v>
      </c>
      <c r="C1518" s="2" t="str">
        <f>TEXT(data[[#This Row],[Order Date]],"YYYY")</f>
        <v>2017</v>
      </c>
      <c r="D1518" s="2">
        <v>42850</v>
      </c>
      <c r="E1518" s="2" t="s">
        <v>21</v>
      </c>
      <c r="F1518" s="2" t="s">
        <v>2609</v>
      </c>
      <c r="G1518" s="2" t="s">
        <v>2610</v>
      </c>
      <c r="H1518" s="2" t="s">
        <v>24</v>
      </c>
      <c r="I1518" s="2" t="s">
        <v>25</v>
      </c>
      <c r="J1518" s="2" t="s">
        <v>1185</v>
      </c>
      <c r="K1518" s="2" t="s">
        <v>53</v>
      </c>
      <c r="L1518" s="2" t="s">
        <v>54</v>
      </c>
      <c r="M1518" s="2" t="s">
        <v>551</v>
      </c>
      <c r="N1518" s="2" t="s">
        <v>30</v>
      </c>
      <c r="O1518" s="2" t="s">
        <v>56</v>
      </c>
      <c r="P1518" s="2" t="s">
        <v>3125</v>
      </c>
      <c r="Q1518" s="2">
        <v>24.14</v>
      </c>
      <c r="R1518" s="2">
        <v>2</v>
      </c>
      <c r="S1518" s="2">
        <v>7.9661999999999997</v>
      </c>
      <c r="T1518" s="2" t="s">
        <v>70</v>
      </c>
      <c r="U1518" s="2" t="s">
        <v>113</v>
      </c>
    </row>
    <row r="1519" spans="1:21" ht="14.25" customHeight="1" x14ac:dyDescent="0.3">
      <c r="A1519" s="2" t="s">
        <v>3686</v>
      </c>
      <c r="B1519" s="5">
        <v>42964</v>
      </c>
      <c r="C1519" s="2" t="str">
        <f>TEXT(data[[#This Row],[Order Date]],"YYYY")</f>
        <v>2017</v>
      </c>
      <c r="D1519" s="2">
        <v>42969</v>
      </c>
      <c r="E1519" s="2" t="s">
        <v>21</v>
      </c>
      <c r="F1519" s="2" t="s">
        <v>2298</v>
      </c>
      <c r="G1519" s="2" t="s">
        <v>2299</v>
      </c>
      <c r="H1519" s="2" t="s">
        <v>24</v>
      </c>
      <c r="I1519" s="2" t="s">
        <v>25</v>
      </c>
      <c r="J1519" s="2" t="s">
        <v>65</v>
      </c>
      <c r="K1519" s="2" t="s">
        <v>66</v>
      </c>
      <c r="L1519" s="2" t="s">
        <v>67</v>
      </c>
      <c r="M1519" s="2" t="s">
        <v>601</v>
      </c>
      <c r="N1519" s="2" t="s">
        <v>30</v>
      </c>
      <c r="O1519" s="2" t="s">
        <v>36</v>
      </c>
      <c r="P1519" s="2" t="s">
        <v>602</v>
      </c>
      <c r="Q1519" s="2">
        <v>4416.174</v>
      </c>
      <c r="R1519" s="2">
        <v>9</v>
      </c>
      <c r="S1519" s="2">
        <v>-630.88199999999995</v>
      </c>
      <c r="T1519" s="2" t="s">
        <v>58</v>
      </c>
      <c r="U1519" s="2" t="s">
        <v>253</v>
      </c>
    </row>
    <row r="1520" spans="1:21" ht="14.25" customHeight="1" x14ac:dyDescent="0.3">
      <c r="A1520" s="2" t="s">
        <v>3687</v>
      </c>
      <c r="B1520" s="5">
        <v>41701</v>
      </c>
      <c r="C1520" s="2" t="str">
        <f>TEXT(data[[#This Row],[Order Date]],"YYYY")</f>
        <v>2014</v>
      </c>
      <c r="D1520" s="2">
        <v>41706</v>
      </c>
      <c r="E1520" s="2" t="s">
        <v>39</v>
      </c>
      <c r="F1520" s="2" t="s">
        <v>3688</v>
      </c>
      <c r="G1520" s="2" t="s">
        <v>3689</v>
      </c>
      <c r="H1520" s="2" t="s">
        <v>90</v>
      </c>
      <c r="I1520" s="2" t="s">
        <v>25</v>
      </c>
      <c r="J1520" s="2" t="s">
        <v>347</v>
      </c>
      <c r="K1520" s="2" t="s">
        <v>231</v>
      </c>
      <c r="L1520" s="2" t="s">
        <v>67</v>
      </c>
      <c r="M1520" s="2" t="s">
        <v>456</v>
      </c>
      <c r="N1520" s="2" t="s">
        <v>30</v>
      </c>
      <c r="O1520" s="2" t="s">
        <v>31</v>
      </c>
      <c r="P1520" s="2" t="s">
        <v>457</v>
      </c>
      <c r="Q1520" s="2">
        <v>302.45</v>
      </c>
      <c r="R1520" s="2">
        <v>5</v>
      </c>
      <c r="S1520" s="2">
        <v>-199.61699999999999</v>
      </c>
      <c r="T1520" s="2" t="s">
        <v>58</v>
      </c>
      <c r="U1520" s="2" t="s">
        <v>195</v>
      </c>
    </row>
    <row r="1521" spans="1:21" ht="14.25" customHeight="1" x14ac:dyDescent="0.3">
      <c r="A1521" s="2" t="s">
        <v>3690</v>
      </c>
      <c r="B1521" s="5">
        <v>42520</v>
      </c>
      <c r="C1521" s="2" t="str">
        <f>TEXT(data[[#This Row],[Order Date]],"YYYY")</f>
        <v>2016</v>
      </c>
      <c r="D1521" s="2">
        <v>42525</v>
      </c>
      <c r="E1521" s="2" t="s">
        <v>39</v>
      </c>
      <c r="F1521" s="2" t="s">
        <v>2192</v>
      </c>
      <c r="G1521" s="2" t="s">
        <v>2193</v>
      </c>
      <c r="H1521" s="2" t="s">
        <v>100</v>
      </c>
      <c r="I1521" s="2" t="s">
        <v>25</v>
      </c>
      <c r="J1521" s="2" t="s">
        <v>3691</v>
      </c>
      <c r="K1521" s="2" t="s">
        <v>238</v>
      </c>
      <c r="L1521" s="2" t="s">
        <v>93</v>
      </c>
      <c r="M1521" s="2" t="s">
        <v>1595</v>
      </c>
      <c r="N1521" s="2" t="s">
        <v>30</v>
      </c>
      <c r="O1521" s="2" t="s">
        <v>56</v>
      </c>
      <c r="P1521" s="2" t="s">
        <v>1596</v>
      </c>
      <c r="Q1521" s="2">
        <v>47.4</v>
      </c>
      <c r="R1521" s="2">
        <v>5</v>
      </c>
      <c r="S1521" s="2">
        <v>21.33</v>
      </c>
      <c r="T1521" s="2" t="s">
        <v>58</v>
      </c>
      <c r="U1521" s="2" t="s">
        <v>161</v>
      </c>
    </row>
    <row r="1522" spans="1:21" ht="14.25" customHeight="1" x14ac:dyDescent="0.3">
      <c r="A1522" s="2" t="s">
        <v>3692</v>
      </c>
      <c r="B1522" s="5">
        <v>41966</v>
      </c>
      <c r="C1522" s="2" t="str">
        <f>TEXT(data[[#This Row],[Order Date]],"YYYY")</f>
        <v>2014</v>
      </c>
      <c r="D1522" s="2">
        <v>41969</v>
      </c>
      <c r="E1522" s="2" t="s">
        <v>21</v>
      </c>
      <c r="F1522" s="2" t="s">
        <v>1304</v>
      </c>
      <c r="G1522" s="2" t="s">
        <v>1305</v>
      </c>
      <c r="H1522" s="2" t="s">
        <v>90</v>
      </c>
      <c r="I1522" s="2" t="s">
        <v>25</v>
      </c>
      <c r="J1522" s="2" t="s">
        <v>101</v>
      </c>
      <c r="K1522" s="2" t="s">
        <v>92</v>
      </c>
      <c r="L1522" s="2" t="s">
        <v>93</v>
      </c>
      <c r="M1522" s="2" t="s">
        <v>1164</v>
      </c>
      <c r="N1522" s="2" t="s">
        <v>30</v>
      </c>
      <c r="O1522" s="2" t="s">
        <v>36</v>
      </c>
      <c r="P1522" s="2" t="s">
        <v>1165</v>
      </c>
      <c r="Q1522" s="2">
        <v>155.37200000000001</v>
      </c>
      <c r="R1522" s="2">
        <v>2</v>
      </c>
      <c r="S1522" s="2">
        <v>-35.513599999999997</v>
      </c>
      <c r="T1522" s="2" t="s">
        <v>33</v>
      </c>
      <c r="U1522" s="2" t="s">
        <v>34</v>
      </c>
    </row>
    <row r="1523" spans="1:21" ht="14.25" customHeight="1" x14ac:dyDescent="0.3">
      <c r="A1523" s="2" t="s">
        <v>3693</v>
      </c>
      <c r="B1523" s="5">
        <v>42383</v>
      </c>
      <c r="C1523" s="2" t="str">
        <f>TEXT(data[[#This Row],[Order Date]],"YYYY")</f>
        <v>2016</v>
      </c>
      <c r="D1523" s="2">
        <v>42389</v>
      </c>
      <c r="E1523" s="2" t="s">
        <v>39</v>
      </c>
      <c r="F1523" s="2" t="s">
        <v>449</v>
      </c>
      <c r="G1523" s="2" t="s">
        <v>450</v>
      </c>
      <c r="H1523" s="2" t="s">
        <v>24</v>
      </c>
      <c r="I1523" s="2" t="s">
        <v>25</v>
      </c>
      <c r="J1523" s="2" t="s">
        <v>509</v>
      </c>
      <c r="K1523" s="2" t="s">
        <v>1036</v>
      </c>
      <c r="L1523" s="2" t="s">
        <v>28</v>
      </c>
      <c r="M1523" s="2" t="s">
        <v>3694</v>
      </c>
      <c r="N1523" s="2" t="s">
        <v>30</v>
      </c>
      <c r="O1523" s="2" t="s">
        <v>56</v>
      </c>
      <c r="P1523" s="2" t="s">
        <v>3695</v>
      </c>
      <c r="Q1523" s="2">
        <v>315.77600000000001</v>
      </c>
      <c r="R1523" s="2">
        <v>8</v>
      </c>
      <c r="S1523" s="2">
        <v>31.5776</v>
      </c>
      <c r="T1523" s="2" t="s">
        <v>129</v>
      </c>
      <c r="U1523" s="2" t="s">
        <v>169</v>
      </c>
    </row>
    <row r="1524" spans="1:21" ht="14.25" customHeight="1" x14ac:dyDescent="0.3">
      <c r="A1524" s="2" t="s">
        <v>3696</v>
      </c>
      <c r="B1524" s="5">
        <v>42629</v>
      </c>
      <c r="C1524" s="2" t="str">
        <f>TEXT(data[[#This Row],[Order Date]],"YYYY")</f>
        <v>2016</v>
      </c>
      <c r="D1524" s="2">
        <v>42635</v>
      </c>
      <c r="E1524" s="2" t="s">
        <v>39</v>
      </c>
      <c r="F1524" s="2" t="s">
        <v>2497</v>
      </c>
      <c r="G1524" s="2" t="s">
        <v>2498</v>
      </c>
      <c r="H1524" s="2" t="s">
        <v>90</v>
      </c>
      <c r="I1524" s="2" t="s">
        <v>25</v>
      </c>
      <c r="J1524" s="2" t="s">
        <v>1491</v>
      </c>
      <c r="K1524" s="2" t="s">
        <v>53</v>
      </c>
      <c r="L1524" s="2" t="s">
        <v>54</v>
      </c>
      <c r="M1524" s="2" t="s">
        <v>1548</v>
      </c>
      <c r="N1524" s="2" t="s">
        <v>30</v>
      </c>
      <c r="O1524" s="2" t="s">
        <v>31</v>
      </c>
      <c r="P1524" s="2" t="s">
        <v>1549</v>
      </c>
      <c r="Q1524" s="2">
        <v>273.666</v>
      </c>
      <c r="R1524" s="2">
        <v>2</v>
      </c>
      <c r="S1524" s="2">
        <v>-12.878399999999999</v>
      </c>
      <c r="T1524" s="2" t="s">
        <v>129</v>
      </c>
      <c r="U1524" s="2" t="s">
        <v>77</v>
      </c>
    </row>
    <row r="1525" spans="1:21" ht="14.25" customHeight="1" x14ac:dyDescent="0.3">
      <c r="A1525" s="2" t="s">
        <v>3697</v>
      </c>
      <c r="B1525" s="5">
        <v>42321</v>
      </c>
      <c r="C1525" s="2" t="str">
        <f>TEXT(data[[#This Row],[Order Date]],"YYYY")</f>
        <v>2015</v>
      </c>
      <c r="D1525" s="2">
        <v>42325</v>
      </c>
      <c r="E1525" s="2" t="s">
        <v>39</v>
      </c>
      <c r="F1525" s="2" t="s">
        <v>3698</v>
      </c>
      <c r="G1525" s="2" t="s">
        <v>3699</v>
      </c>
      <c r="H1525" s="2" t="s">
        <v>100</v>
      </c>
      <c r="I1525" s="2" t="s">
        <v>25</v>
      </c>
      <c r="J1525" s="2" t="s">
        <v>3700</v>
      </c>
      <c r="K1525" s="2" t="s">
        <v>3701</v>
      </c>
      <c r="L1525" s="2" t="s">
        <v>54</v>
      </c>
      <c r="M1525" s="2" t="s">
        <v>835</v>
      </c>
      <c r="N1525" s="2" t="s">
        <v>30</v>
      </c>
      <c r="O1525" s="2" t="s">
        <v>56</v>
      </c>
      <c r="P1525" s="2" t="s">
        <v>836</v>
      </c>
      <c r="Q1525" s="2">
        <v>63.98</v>
      </c>
      <c r="R1525" s="2">
        <v>7</v>
      </c>
      <c r="S1525" s="2">
        <v>21.7532</v>
      </c>
      <c r="T1525" s="2" t="s">
        <v>83</v>
      </c>
      <c r="U1525" s="2" t="s">
        <v>34</v>
      </c>
    </row>
    <row r="1526" spans="1:21" ht="14.25" customHeight="1" x14ac:dyDescent="0.3">
      <c r="A1526" s="2" t="s">
        <v>3702</v>
      </c>
      <c r="B1526" s="5">
        <v>42987</v>
      </c>
      <c r="C1526" s="2" t="str">
        <f>TEXT(data[[#This Row],[Order Date]],"YYYY")</f>
        <v>2017</v>
      </c>
      <c r="D1526" s="2">
        <v>42991</v>
      </c>
      <c r="E1526" s="2" t="s">
        <v>39</v>
      </c>
      <c r="F1526" s="2" t="s">
        <v>1170</v>
      </c>
      <c r="G1526" s="2" t="s">
        <v>1171</v>
      </c>
      <c r="H1526" s="2" t="s">
        <v>24</v>
      </c>
      <c r="I1526" s="2" t="s">
        <v>25</v>
      </c>
      <c r="J1526" s="2" t="s">
        <v>693</v>
      </c>
      <c r="K1526" s="2" t="s">
        <v>231</v>
      </c>
      <c r="L1526" s="2" t="s">
        <v>67</v>
      </c>
      <c r="M1526" s="2" t="s">
        <v>596</v>
      </c>
      <c r="N1526" s="2" t="s">
        <v>30</v>
      </c>
      <c r="O1526" s="2" t="s">
        <v>56</v>
      </c>
      <c r="P1526" s="2" t="s">
        <v>597</v>
      </c>
      <c r="Q1526" s="2">
        <v>66.111999999999995</v>
      </c>
      <c r="R1526" s="2">
        <v>2</v>
      </c>
      <c r="S1526" s="2">
        <v>-9.0904000000000007</v>
      </c>
      <c r="T1526" s="2" t="s">
        <v>83</v>
      </c>
      <c r="U1526" s="2" t="s">
        <v>77</v>
      </c>
    </row>
    <row r="1527" spans="1:21" ht="14.25" customHeight="1" x14ac:dyDescent="0.3">
      <c r="A1527" s="2" t="s">
        <v>3703</v>
      </c>
      <c r="B1527" s="5">
        <v>42541</v>
      </c>
      <c r="C1527" s="2" t="str">
        <f>TEXT(data[[#This Row],[Order Date]],"YYYY")</f>
        <v>2016</v>
      </c>
      <c r="D1527" s="2">
        <v>42546</v>
      </c>
      <c r="E1527" s="2" t="s">
        <v>39</v>
      </c>
      <c r="F1527" s="2" t="s">
        <v>2759</v>
      </c>
      <c r="G1527" s="2" t="s">
        <v>2760</v>
      </c>
      <c r="H1527" s="2" t="s">
        <v>90</v>
      </c>
      <c r="I1527" s="2" t="s">
        <v>25</v>
      </c>
      <c r="J1527" s="2" t="s">
        <v>3016</v>
      </c>
      <c r="K1527" s="2" t="s">
        <v>1522</v>
      </c>
      <c r="L1527" s="2" t="s">
        <v>93</v>
      </c>
      <c r="M1527" s="2" t="s">
        <v>1311</v>
      </c>
      <c r="N1527" s="2" t="s">
        <v>30</v>
      </c>
      <c r="O1527" s="2" t="s">
        <v>56</v>
      </c>
      <c r="P1527" s="2" t="s">
        <v>2022</v>
      </c>
      <c r="Q1527" s="2">
        <v>57.69</v>
      </c>
      <c r="R1527" s="2">
        <v>3</v>
      </c>
      <c r="S1527" s="2">
        <v>23.652899999999999</v>
      </c>
      <c r="T1527" s="2" t="s">
        <v>58</v>
      </c>
      <c r="U1527" s="2" t="s">
        <v>59</v>
      </c>
    </row>
    <row r="1528" spans="1:21" ht="14.25" customHeight="1" x14ac:dyDescent="0.3">
      <c r="A1528" s="2" t="s">
        <v>3704</v>
      </c>
      <c r="B1528" s="5">
        <v>42392</v>
      </c>
      <c r="C1528" s="2" t="str">
        <f>TEXT(data[[#This Row],[Order Date]],"YYYY")</f>
        <v>2016</v>
      </c>
      <c r="D1528" s="2">
        <v>42398</v>
      </c>
      <c r="E1528" s="2" t="s">
        <v>39</v>
      </c>
      <c r="F1528" s="2" t="s">
        <v>3705</v>
      </c>
      <c r="G1528" s="2" t="s">
        <v>3706</v>
      </c>
      <c r="H1528" s="2" t="s">
        <v>24</v>
      </c>
      <c r="I1528" s="2" t="s">
        <v>25</v>
      </c>
      <c r="J1528" s="2" t="s">
        <v>52</v>
      </c>
      <c r="K1528" s="2" t="s">
        <v>53</v>
      </c>
      <c r="L1528" s="2" t="s">
        <v>54</v>
      </c>
      <c r="M1528" s="2" t="s">
        <v>2901</v>
      </c>
      <c r="N1528" s="2" t="s">
        <v>30</v>
      </c>
      <c r="O1528" s="2" t="s">
        <v>56</v>
      </c>
      <c r="P1528" s="2" t="s">
        <v>2902</v>
      </c>
      <c r="Q1528" s="2">
        <v>59.99</v>
      </c>
      <c r="R1528" s="2">
        <v>7</v>
      </c>
      <c r="S1528" s="2">
        <v>21.596399999999999</v>
      </c>
      <c r="T1528" s="2" t="s">
        <v>129</v>
      </c>
      <c r="U1528" s="2" t="s">
        <v>169</v>
      </c>
    </row>
    <row r="1529" spans="1:21" ht="14.25" customHeight="1" x14ac:dyDescent="0.3">
      <c r="A1529" s="2" t="s">
        <v>3707</v>
      </c>
      <c r="B1529" s="5">
        <v>42150</v>
      </c>
      <c r="C1529" s="2" t="str">
        <f>TEXT(data[[#This Row],[Order Date]],"YYYY")</f>
        <v>2015</v>
      </c>
      <c r="D1529" s="2">
        <v>42155</v>
      </c>
      <c r="E1529" s="2" t="s">
        <v>39</v>
      </c>
      <c r="F1529" s="2" t="s">
        <v>2351</v>
      </c>
      <c r="G1529" s="2" t="s">
        <v>2352</v>
      </c>
      <c r="H1529" s="2" t="s">
        <v>24</v>
      </c>
      <c r="I1529" s="2" t="s">
        <v>25</v>
      </c>
      <c r="J1529" s="2" t="s">
        <v>3708</v>
      </c>
      <c r="K1529" s="2" t="s">
        <v>192</v>
      </c>
      <c r="L1529" s="2" t="s">
        <v>54</v>
      </c>
      <c r="M1529" s="2" t="s">
        <v>648</v>
      </c>
      <c r="N1529" s="2" t="s">
        <v>30</v>
      </c>
      <c r="O1529" s="2" t="s">
        <v>56</v>
      </c>
      <c r="P1529" s="2" t="s">
        <v>649</v>
      </c>
      <c r="Q1529" s="2">
        <v>20.239999999999998</v>
      </c>
      <c r="R1529" s="2">
        <v>1</v>
      </c>
      <c r="S1529" s="2">
        <v>7.8936000000000002</v>
      </c>
      <c r="T1529" s="2" t="s">
        <v>58</v>
      </c>
      <c r="U1529" s="2" t="s">
        <v>161</v>
      </c>
    </row>
    <row r="1530" spans="1:21" ht="14.25" customHeight="1" x14ac:dyDescent="0.3">
      <c r="A1530" s="2" t="s">
        <v>3709</v>
      </c>
      <c r="B1530" s="5">
        <v>41961</v>
      </c>
      <c r="C1530" s="2" t="str">
        <f>TEXT(data[[#This Row],[Order Date]],"YYYY")</f>
        <v>2014</v>
      </c>
      <c r="D1530" s="2">
        <v>41964</v>
      </c>
      <c r="E1530" s="2" t="s">
        <v>87</v>
      </c>
      <c r="F1530" s="2" t="s">
        <v>2837</v>
      </c>
      <c r="G1530" s="2" t="s">
        <v>2838</v>
      </c>
      <c r="H1530" s="2" t="s">
        <v>24</v>
      </c>
      <c r="I1530" s="2" t="s">
        <v>25</v>
      </c>
      <c r="J1530" s="2" t="s">
        <v>3710</v>
      </c>
      <c r="K1530" s="2" t="s">
        <v>134</v>
      </c>
      <c r="L1530" s="2" t="s">
        <v>93</v>
      </c>
      <c r="M1530" s="2" t="s">
        <v>368</v>
      </c>
      <c r="N1530" s="2" t="s">
        <v>30</v>
      </c>
      <c r="O1530" s="2" t="s">
        <v>45</v>
      </c>
      <c r="P1530" s="2" t="s">
        <v>369</v>
      </c>
      <c r="Q1530" s="2">
        <v>292.10000000000002</v>
      </c>
      <c r="R1530" s="2">
        <v>4</v>
      </c>
      <c r="S1530" s="2">
        <v>-175.26</v>
      </c>
      <c r="T1530" s="2" t="s">
        <v>33</v>
      </c>
      <c r="U1530" s="2" t="s">
        <v>34</v>
      </c>
    </row>
    <row r="1531" spans="1:21" ht="14.25" customHeight="1" x14ac:dyDescent="0.3">
      <c r="A1531" s="2" t="s">
        <v>3709</v>
      </c>
      <c r="B1531" s="5">
        <v>41961</v>
      </c>
      <c r="C1531" s="2" t="str">
        <f>TEXT(data[[#This Row],[Order Date]],"YYYY")</f>
        <v>2014</v>
      </c>
      <c r="D1531" s="2">
        <v>41964</v>
      </c>
      <c r="E1531" s="2" t="s">
        <v>87</v>
      </c>
      <c r="F1531" s="2" t="s">
        <v>2837</v>
      </c>
      <c r="G1531" s="2" t="s">
        <v>2838</v>
      </c>
      <c r="H1531" s="2" t="s">
        <v>24</v>
      </c>
      <c r="I1531" s="2" t="s">
        <v>25</v>
      </c>
      <c r="J1531" s="2" t="s">
        <v>3710</v>
      </c>
      <c r="K1531" s="2" t="s">
        <v>134</v>
      </c>
      <c r="L1531" s="2" t="s">
        <v>93</v>
      </c>
      <c r="M1531" s="2" t="s">
        <v>2140</v>
      </c>
      <c r="N1531" s="2" t="s">
        <v>30</v>
      </c>
      <c r="O1531" s="2" t="s">
        <v>56</v>
      </c>
      <c r="P1531" s="2" t="s">
        <v>2141</v>
      </c>
      <c r="Q1531" s="2">
        <v>8.5440000000000005</v>
      </c>
      <c r="R1531" s="2">
        <v>2</v>
      </c>
      <c r="S1531" s="2">
        <v>-7.476</v>
      </c>
      <c r="T1531" s="2" t="s">
        <v>33</v>
      </c>
      <c r="U1531" s="2" t="s">
        <v>34</v>
      </c>
    </row>
    <row r="1532" spans="1:21" ht="14.25" customHeight="1" x14ac:dyDescent="0.3">
      <c r="A1532" s="2" t="s">
        <v>3709</v>
      </c>
      <c r="B1532" s="5">
        <v>41961</v>
      </c>
      <c r="C1532" s="2" t="str">
        <f>TEXT(data[[#This Row],[Order Date]],"YYYY")</f>
        <v>2014</v>
      </c>
      <c r="D1532" s="2">
        <v>41964</v>
      </c>
      <c r="E1532" s="2" t="s">
        <v>87</v>
      </c>
      <c r="F1532" s="2" t="s">
        <v>2837</v>
      </c>
      <c r="G1532" s="2" t="s">
        <v>2838</v>
      </c>
      <c r="H1532" s="2" t="s">
        <v>24</v>
      </c>
      <c r="I1532" s="2" t="s">
        <v>25</v>
      </c>
      <c r="J1532" s="2" t="s">
        <v>3710</v>
      </c>
      <c r="K1532" s="2" t="s">
        <v>134</v>
      </c>
      <c r="L1532" s="2" t="s">
        <v>93</v>
      </c>
      <c r="M1532" s="2" t="s">
        <v>2815</v>
      </c>
      <c r="N1532" s="2" t="s">
        <v>30</v>
      </c>
      <c r="O1532" s="2" t="s">
        <v>31</v>
      </c>
      <c r="P1532" s="2" t="s">
        <v>2816</v>
      </c>
      <c r="Q1532" s="2">
        <v>424.11599999999999</v>
      </c>
      <c r="R1532" s="2">
        <v>6</v>
      </c>
      <c r="S1532" s="2">
        <v>-30.294</v>
      </c>
      <c r="T1532" s="2" t="s">
        <v>33</v>
      </c>
      <c r="U1532" s="2" t="s">
        <v>34</v>
      </c>
    </row>
    <row r="1533" spans="1:21" ht="14.25" customHeight="1" x14ac:dyDescent="0.3">
      <c r="A1533" s="2" t="s">
        <v>3711</v>
      </c>
      <c r="B1533" s="5">
        <v>42982</v>
      </c>
      <c r="C1533" s="2" t="str">
        <f>TEXT(data[[#This Row],[Order Date]],"YYYY")</f>
        <v>2017</v>
      </c>
      <c r="D1533" s="2">
        <v>42986</v>
      </c>
      <c r="E1533" s="2" t="s">
        <v>39</v>
      </c>
      <c r="F1533" s="2" t="s">
        <v>3712</v>
      </c>
      <c r="G1533" s="2" t="s">
        <v>3713</v>
      </c>
      <c r="H1533" s="2" t="s">
        <v>24</v>
      </c>
      <c r="I1533" s="2" t="s">
        <v>25</v>
      </c>
      <c r="J1533" s="2" t="s">
        <v>1120</v>
      </c>
      <c r="K1533" s="2" t="s">
        <v>43</v>
      </c>
      <c r="L1533" s="2" t="s">
        <v>28</v>
      </c>
      <c r="M1533" s="2" t="s">
        <v>251</v>
      </c>
      <c r="N1533" s="2" t="s">
        <v>30</v>
      </c>
      <c r="O1533" s="2" t="s">
        <v>36</v>
      </c>
      <c r="P1533" s="2" t="s">
        <v>252</v>
      </c>
      <c r="Q1533" s="2">
        <v>97.183999999999997</v>
      </c>
      <c r="R1533" s="2">
        <v>2</v>
      </c>
      <c r="S1533" s="2">
        <v>6.0739999999999998</v>
      </c>
      <c r="T1533" s="2" t="s">
        <v>83</v>
      </c>
      <c r="U1533" s="2" t="s">
        <v>77</v>
      </c>
    </row>
    <row r="1534" spans="1:21" ht="14.25" customHeight="1" x14ac:dyDescent="0.3">
      <c r="A1534" s="2" t="s">
        <v>3714</v>
      </c>
      <c r="B1534" s="5">
        <v>41727</v>
      </c>
      <c r="C1534" s="2" t="str">
        <f>TEXT(data[[#This Row],[Order Date]],"YYYY")</f>
        <v>2014</v>
      </c>
      <c r="D1534" s="2">
        <v>41731</v>
      </c>
      <c r="E1534" s="2" t="s">
        <v>39</v>
      </c>
      <c r="F1534" s="2" t="s">
        <v>2723</v>
      </c>
      <c r="G1534" s="2" t="s">
        <v>2724</v>
      </c>
      <c r="H1534" s="2" t="s">
        <v>24</v>
      </c>
      <c r="I1534" s="2" t="s">
        <v>25</v>
      </c>
      <c r="J1534" s="2" t="s">
        <v>2478</v>
      </c>
      <c r="K1534" s="2" t="s">
        <v>92</v>
      </c>
      <c r="L1534" s="2" t="s">
        <v>93</v>
      </c>
      <c r="M1534" s="2" t="s">
        <v>521</v>
      </c>
      <c r="N1534" s="2" t="s">
        <v>30</v>
      </c>
      <c r="O1534" s="2" t="s">
        <v>45</v>
      </c>
      <c r="P1534" s="2" t="s">
        <v>522</v>
      </c>
      <c r="Q1534" s="2">
        <v>890.84100000000001</v>
      </c>
      <c r="R1534" s="2">
        <v>3</v>
      </c>
      <c r="S1534" s="2">
        <v>-152.71559999999999</v>
      </c>
      <c r="T1534" s="2" t="s">
        <v>83</v>
      </c>
      <c r="U1534" s="2" t="s">
        <v>195</v>
      </c>
    </row>
    <row r="1535" spans="1:21" ht="14.25" customHeight="1" x14ac:dyDescent="0.3">
      <c r="A1535" s="2" t="s">
        <v>3715</v>
      </c>
      <c r="B1535" s="5">
        <v>42679</v>
      </c>
      <c r="C1535" s="2" t="str">
        <f>TEXT(data[[#This Row],[Order Date]],"YYYY")</f>
        <v>2016</v>
      </c>
      <c r="D1535" s="2">
        <v>42681</v>
      </c>
      <c r="E1535" s="2" t="s">
        <v>21</v>
      </c>
      <c r="F1535" s="2" t="s">
        <v>326</v>
      </c>
      <c r="G1535" s="2" t="s">
        <v>327</v>
      </c>
      <c r="H1535" s="2" t="s">
        <v>24</v>
      </c>
      <c r="I1535" s="2" t="s">
        <v>25</v>
      </c>
      <c r="J1535" s="2" t="s">
        <v>1491</v>
      </c>
      <c r="K1535" s="2" t="s">
        <v>53</v>
      </c>
      <c r="L1535" s="2" t="s">
        <v>54</v>
      </c>
      <c r="M1535" s="2" t="s">
        <v>2194</v>
      </c>
      <c r="N1535" s="2" t="s">
        <v>30</v>
      </c>
      <c r="O1535" s="2" t="s">
        <v>36</v>
      </c>
      <c r="P1535" s="2" t="s">
        <v>2195</v>
      </c>
      <c r="Q1535" s="2">
        <v>113.88800000000001</v>
      </c>
      <c r="R1535" s="2">
        <v>2</v>
      </c>
      <c r="S1535" s="2">
        <v>9.9651999999999994</v>
      </c>
      <c r="T1535" s="2" t="s">
        <v>70</v>
      </c>
      <c r="U1535" s="2" t="s">
        <v>34</v>
      </c>
    </row>
    <row r="1536" spans="1:21" ht="14.25" customHeight="1" x14ac:dyDescent="0.3">
      <c r="A1536" s="2" t="s">
        <v>3716</v>
      </c>
      <c r="B1536" s="5">
        <v>42659</v>
      </c>
      <c r="C1536" s="2" t="str">
        <f>TEXT(data[[#This Row],[Order Date]],"YYYY")</f>
        <v>2016</v>
      </c>
      <c r="D1536" s="2">
        <v>42663</v>
      </c>
      <c r="E1536" s="2" t="s">
        <v>39</v>
      </c>
      <c r="F1536" s="2" t="s">
        <v>782</v>
      </c>
      <c r="G1536" s="2" t="s">
        <v>783</v>
      </c>
      <c r="H1536" s="2" t="s">
        <v>90</v>
      </c>
      <c r="I1536" s="2" t="s">
        <v>25</v>
      </c>
      <c r="J1536" s="2" t="s">
        <v>173</v>
      </c>
      <c r="K1536" s="2" t="s">
        <v>120</v>
      </c>
      <c r="L1536" s="2" t="s">
        <v>67</v>
      </c>
      <c r="M1536" s="2" t="s">
        <v>60</v>
      </c>
      <c r="N1536" s="2" t="s">
        <v>30</v>
      </c>
      <c r="O1536" s="2" t="s">
        <v>45</v>
      </c>
      <c r="P1536" s="2" t="s">
        <v>61</v>
      </c>
      <c r="Q1536" s="2">
        <v>142.18199999999999</v>
      </c>
      <c r="R1536" s="2">
        <v>1</v>
      </c>
      <c r="S1536" s="2">
        <v>-37.915199999999999</v>
      </c>
      <c r="T1536" s="2" t="s">
        <v>83</v>
      </c>
      <c r="U1536" s="2" t="s">
        <v>48</v>
      </c>
    </row>
    <row r="1537" spans="1:21" ht="14.25" customHeight="1" x14ac:dyDescent="0.3">
      <c r="A1537" s="2" t="s">
        <v>3717</v>
      </c>
      <c r="B1537" s="5">
        <v>43065</v>
      </c>
      <c r="C1537" s="2" t="str">
        <f>TEXT(data[[#This Row],[Order Date]],"YYYY")</f>
        <v>2017</v>
      </c>
      <c r="D1537" s="2">
        <v>43068</v>
      </c>
      <c r="E1537" s="2" t="s">
        <v>21</v>
      </c>
      <c r="F1537" s="2" t="s">
        <v>3718</v>
      </c>
      <c r="G1537" s="2" t="s">
        <v>3719</v>
      </c>
      <c r="H1537" s="2" t="s">
        <v>24</v>
      </c>
      <c r="I1537" s="2" t="s">
        <v>25</v>
      </c>
      <c r="J1537" s="2" t="s">
        <v>173</v>
      </c>
      <c r="K1537" s="2" t="s">
        <v>120</v>
      </c>
      <c r="L1537" s="2" t="s">
        <v>67</v>
      </c>
      <c r="M1537" s="2" t="s">
        <v>1709</v>
      </c>
      <c r="N1537" s="2" t="s">
        <v>30</v>
      </c>
      <c r="O1537" s="2" t="s">
        <v>56</v>
      </c>
      <c r="P1537" s="2" t="s">
        <v>1710</v>
      </c>
      <c r="Q1537" s="2">
        <v>135.30000000000001</v>
      </c>
      <c r="R1537" s="2">
        <v>5</v>
      </c>
      <c r="S1537" s="2">
        <v>37.884</v>
      </c>
      <c r="T1537" s="2" t="s">
        <v>33</v>
      </c>
      <c r="U1537" s="2" t="s">
        <v>34</v>
      </c>
    </row>
    <row r="1538" spans="1:21" ht="14.25" customHeight="1" x14ac:dyDescent="0.3">
      <c r="A1538" s="2" t="s">
        <v>3720</v>
      </c>
      <c r="B1538" s="5">
        <v>43074</v>
      </c>
      <c r="C1538" s="2" t="str">
        <f>TEXT(data[[#This Row],[Order Date]],"YYYY")</f>
        <v>2017</v>
      </c>
      <c r="D1538" s="2">
        <v>43077</v>
      </c>
      <c r="E1538" s="2" t="s">
        <v>87</v>
      </c>
      <c r="F1538" s="2" t="s">
        <v>628</v>
      </c>
      <c r="G1538" s="2" t="s">
        <v>629</v>
      </c>
      <c r="H1538" s="2" t="s">
        <v>24</v>
      </c>
      <c r="I1538" s="2" t="s">
        <v>25</v>
      </c>
      <c r="J1538" s="2" t="s">
        <v>173</v>
      </c>
      <c r="K1538" s="2" t="s">
        <v>120</v>
      </c>
      <c r="L1538" s="2" t="s">
        <v>67</v>
      </c>
      <c r="M1538" s="2" t="s">
        <v>186</v>
      </c>
      <c r="N1538" s="2" t="s">
        <v>30</v>
      </c>
      <c r="O1538" s="2" t="s">
        <v>56</v>
      </c>
      <c r="P1538" s="2" t="s">
        <v>187</v>
      </c>
      <c r="Q1538" s="2">
        <v>41.96</v>
      </c>
      <c r="R1538" s="2">
        <v>2</v>
      </c>
      <c r="S1538" s="2">
        <v>10.909599999999999</v>
      </c>
      <c r="T1538" s="2" t="s">
        <v>33</v>
      </c>
      <c r="U1538" s="2" t="s">
        <v>96</v>
      </c>
    </row>
    <row r="1539" spans="1:21" ht="14.25" customHeight="1" x14ac:dyDescent="0.3">
      <c r="A1539" s="2" t="s">
        <v>3721</v>
      </c>
      <c r="B1539" s="5">
        <v>41716</v>
      </c>
      <c r="C1539" s="2" t="str">
        <f>TEXT(data[[#This Row],[Order Date]],"YYYY")</f>
        <v>2014</v>
      </c>
      <c r="D1539" s="2">
        <v>41722</v>
      </c>
      <c r="E1539" s="2" t="s">
        <v>39</v>
      </c>
      <c r="F1539" s="2" t="s">
        <v>901</v>
      </c>
      <c r="G1539" s="2" t="s">
        <v>902</v>
      </c>
      <c r="H1539" s="2" t="s">
        <v>100</v>
      </c>
      <c r="I1539" s="2" t="s">
        <v>25</v>
      </c>
      <c r="J1539" s="2" t="s">
        <v>3722</v>
      </c>
      <c r="K1539" s="2" t="s">
        <v>53</v>
      </c>
      <c r="L1539" s="2" t="s">
        <v>54</v>
      </c>
      <c r="M1539" s="2" t="s">
        <v>1784</v>
      </c>
      <c r="N1539" s="2" t="s">
        <v>30</v>
      </c>
      <c r="O1539" s="2" t="s">
        <v>56</v>
      </c>
      <c r="P1539" s="2" t="s">
        <v>1785</v>
      </c>
      <c r="Q1539" s="2">
        <v>111</v>
      </c>
      <c r="R1539" s="2">
        <v>2</v>
      </c>
      <c r="S1539" s="2">
        <v>14.43</v>
      </c>
      <c r="T1539" s="2" t="s">
        <v>129</v>
      </c>
      <c r="U1539" s="2" t="s">
        <v>195</v>
      </c>
    </row>
    <row r="1540" spans="1:21" ht="14.25" customHeight="1" x14ac:dyDescent="0.3">
      <c r="A1540" s="2" t="s">
        <v>3723</v>
      </c>
      <c r="B1540" s="5">
        <v>42686</v>
      </c>
      <c r="C1540" s="2" t="str">
        <f>TEXT(data[[#This Row],[Order Date]],"YYYY")</f>
        <v>2016</v>
      </c>
      <c r="D1540" s="2">
        <v>42687</v>
      </c>
      <c r="E1540" s="2" t="s">
        <v>87</v>
      </c>
      <c r="F1540" s="2" t="s">
        <v>3724</v>
      </c>
      <c r="G1540" s="2" t="s">
        <v>3725</v>
      </c>
      <c r="H1540" s="2" t="s">
        <v>90</v>
      </c>
      <c r="I1540" s="2" t="s">
        <v>25</v>
      </c>
      <c r="J1540" s="2" t="s">
        <v>133</v>
      </c>
      <c r="K1540" s="2" t="s">
        <v>134</v>
      </c>
      <c r="L1540" s="2" t="s">
        <v>93</v>
      </c>
      <c r="M1540" s="2" t="s">
        <v>1595</v>
      </c>
      <c r="N1540" s="2" t="s">
        <v>30</v>
      </c>
      <c r="O1540" s="2" t="s">
        <v>56</v>
      </c>
      <c r="P1540" s="2" t="s">
        <v>1596</v>
      </c>
      <c r="Q1540" s="2">
        <v>22.751999999999999</v>
      </c>
      <c r="R1540" s="2">
        <v>6</v>
      </c>
      <c r="S1540" s="2">
        <v>-8.532</v>
      </c>
      <c r="T1540" s="2" t="s">
        <v>123</v>
      </c>
      <c r="U1540" s="2" t="s">
        <v>34</v>
      </c>
    </row>
    <row r="1541" spans="1:21" ht="14.25" customHeight="1" x14ac:dyDescent="0.3">
      <c r="A1541" s="2" t="s">
        <v>3726</v>
      </c>
      <c r="B1541" s="5">
        <v>42105</v>
      </c>
      <c r="C1541" s="2" t="str">
        <f>TEXT(data[[#This Row],[Order Date]],"YYYY")</f>
        <v>2015</v>
      </c>
      <c r="D1541" s="2">
        <v>42111</v>
      </c>
      <c r="E1541" s="2" t="s">
        <v>39</v>
      </c>
      <c r="F1541" s="2" t="s">
        <v>2393</v>
      </c>
      <c r="G1541" s="2" t="s">
        <v>2394</v>
      </c>
      <c r="H1541" s="2" t="s">
        <v>24</v>
      </c>
      <c r="I1541" s="2" t="s">
        <v>25</v>
      </c>
      <c r="J1541" s="2" t="s">
        <v>303</v>
      </c>
      <c r="K1541" s="2" t="s">
        <v>43</v>
      </c>
      <c r="L1541" s="2" t="s">
        <v>28</v>
      </c>
      <c r="M1541" s="2" t="s">
        <v>566</v>
      </c>
      <c r="N1541" s="2" t="s">
        <v>30</v>
      </c>
      <c r="O1541" s="2" t="s">
        <v>56</v>
      </c>
      <c r="P1541" s="2" t="s">
        <v>567</v>
      </c>
      <c r="Q1541" s="2">
        <v>67.36</v>
      </c>
      <c r="R1541" s="2">
        <v>2</v>
      </c>
      <c r="S1541" s="2">
        <v>10.103999999999999</v>
      </c>
      <c r="T1541" s="2" t="s">
        <v>129</v>
      </c>
      <c r="U1541" s="2" t="s">
        <v>113</v>
      </c>
    </row>
    <row r="1542" spans="1:21" ht="14.25" customHeight="1" x14ac:dyDescent="0.3">
      <c r="A1542" s="2" t="s">
        <v>3726</v>
      </c>
      <c r="B1542" s="5">
        <v>42105</v>
      </c>
      <c r="C1542" s="2" t="str">
        <f>TEXT(data[[#This Row],[Order Date]],"YYYY")</f>
        <v>2015</v>
      </c>
      <c r="D1542" s="2">
        <v>42111</v>
      </c>
      <c r="E1542" s="2" t="s">
        <v>39</v>
      </c>
      <c r="F1542" s="2" t="s">
        <v>2393</v>
      </c>
      <c r="G1542" s="2" t="s">
        <v>2394</v>
      </c>
      <c r="H1542" s="2" t="s">
        <v>24</v>
      </c>
      <c r="I1542" s="2" t="s">
        <v>25</v>
      </c>
      <c r="J1542" s="2" t="s">
        <v>303</v>
      </c>
      <c r="K1542" s="2" t="s">
        <v>43</v>
      </c>
      <c r="L1542" s="2" t="s">
        <v>28</v>
      </c>
      <c r="M1542" s="2" t="s">
        <v>283</v>
      </c>
      <c r="N1542" s="2" t="s">
        <v>30</v>
      </c>
      <c r="O1542" s="2" t="s">
        <v>56</v>
      </c>
      <c r="P1542" s="2" t="s">
        <v>284</v>
      </c>
      <c r="Q1542" s="2">
        <v>54.527999999999999</v>
      </c>
      <c r="R1542" s="2">
        <v>3</v>
      </c>
      <c r="S1542" s="2">
        <v>14.313599999999999</v>
      </c>
      <c r="T1542" s="2" t="s">
        <v>129</v>
      </c>
      <c r="U1542" s="2" t="s">
        <v>113</v>
      </c>
    </row>
    <row r="1543" spans="1:21" ht="14.25" customHeight="1" x14ac:dyDescent="0.3">
      <c r="A1543" s="2" t="s">
        <v>3727</v>
      </c>
      <c r="B1543" s="5">
        <v>42363</v>
      </c>
      <c r="C1543" s="2" t="str">
        <f>TEXT(data[[#This Row],[Order Date]],"YYYY")</f>
        <v>2015</v>
      </c>
      <c r="D1543" s="2">
        <v>42368</v>
      </c>
      <c r="E1543" s="2" t="s">
        <v>39</v>
      </c>
      <c r="F1543" s="2" t="s">
        <v>1806</v>
      </c>
      <c r="G1543" s="2" t="s">
        <v>1807</v>
      </c>
      <c r="H1543" s="2" t="s">
        <v>24</v>
      </c>
      <c r="I1543" s="2" t="s">
        <v>25</v>
      </c>
      <c r="J1543" s="2" t="s">
        <v>173</v>
      </c>
      <c r="K1543" s="2" t="s">
        <v>120</v>
      </c>
      <c r="L1543" s="2" t="s">
        <v>67</v>
      </c>
      <c r="M1543" s="2" t="s">
        <v>260</v>
      </c>
      <c r="N1543" s="2" t="s">
        <v>30</v>
      </c>
      <c r="O1543" s="2" t="s">
        <v>31</v>
      </c>
      <c r="P1543" s="2" t="s">
        <v>261</v>
      </c>
      <c r="Q1543" s="2">
        <v>449.56799999999998</v>
      </c>
      <c r="R1543" s="2">
        <v>2</v>
      </c>
      <c r="S1543" s="2">
        <v>56.195999999999998</v>
      </c>
      <c r="T1543" s="2" t="s">
        <v>58</v>
      </c>
      <c r="U1543" s="2" t="s">
        <v>96</v>
      </c>
    </row>
    <row r="1544" spans="1:21" ht="14.25" customHeight="1" x14ac:dyDescent="0.3">
      <c r="A1544" s="2" t="s">
        <v>3728</v>
      </c>
      <c r="B1544" s="5">
        <v>41993</v>
      </c>
      <c r="C1544" s="2" t="str">
        <f>TEXT(data[[#This Row],[Order Date]],"YYYY")</f>
        <v>2014</v>
      </c>
      <c r="D1544" s="2">
        <v>41996</v>
      </c>
      <c r="E1544" s="2" t="s">
        <v>21</v>
      </c>
      <c r="F1544" s="2" t="s">
        <v>2345</v>
      </c>
      <c r="G1544" s="2" t="s">
        <v>2346</v>
      </c>
      <c r="H1544" s="2" t="s">
        <v>90</v>
      </c>
      <c r="I1544" s="2" t="s">
        <v>25</v>
      </c>
      <c r="J1544" s="2" t="s">
        <v>173</v>
      </c>
      <c r="K1544" s="2" t="s">
        <v>120</v>
      </c>
      <c r="L1544" s="2" t="s">
        <v>67</v>
      </c>
      <c r="M1544" s="2" t="s">
        <v>2194</v>
      </c>
      <c r="N1544" s="2" t="s">
        <v>30</v>
      </c>
      <c r="O1544" s="2" t="s">
        <v>36</v>
      </c>
      <c r="P1544" s="2" t="s">
        <v>2195</v>
      </c>
      <c r="Q1544" s="2">
        <v>192.18600000000001</v>
      </c>
      <c r="R1544" s="2">
        <v>3</v>
      </c>
      <c r="S1544" s="2">
        <v>36.3018</v>
      </c>
      <c r="T1544" s="2" t="s">
        <v>33</v>
      </c>
      <c r="U1544" s="2" t="s">
        <v>96</v>
      </c>
    </row>
    <row r="1545" spans="1:21" ht="14.25" customHeight="1" x14ac:dyDescent="0.3">
      <c r="A1545" s="2" t="s">
        <v>3729</v>
      </c>
      <c r="B1545" s="5">
        <v>41846</v>
      </c>
      <c r="C1545" s="2" t="str">
        <f>TEXT(data[[#This Row],[Order Date]],"YYYY")</f>
        <v>2014</v>
      </c>
      <c r="D1545" s="2">
        <v>41852</v>
      </c>
      <c r="E1545" s="2" t="s">
        <v>39</v>
      </c>
      <c r="F1545" s="2" t="s">
        <v>1368</v>
      </c>
      <c r="G1545" s="2" t="s">
        <v>1369</v>
      </c>
      <c r="H1545" s="2" t="s">
        <v>24</v>
      </c>
      <c r="I1545" s="2" t="s">
        <v>25</v>
      </c>
      <c r="J1545" s="2" t="s">
        <v>2138</v>
      </c>
      <c r="K1545" s="2" t="s">
        <v>667</v>
      </c>
      <c r="L1545" s="2" t="s">
        <v>28</v>
      </c>
      <c r="M1545" s="2" t="s">
        <v>1765</v>
      </c>
      <c r="N1545" s="2" t="s">
        <v>30</v>
      </c>
      <c r="O1545" s="2" t="s">
        <v>36</v>
      </c>
      <c r="P1545" s="2" t="s">
        <v>1766</v>
      </c>
      <c r="Q1545" s="2">
        <v>67.88</v>
      </c>
      <c r="R1545" s="2">
        <v>2</v>
      </c>
      <c r="S1545" s="2">
        <v>18.3276</v>
      </c>
      <c r="T1545" s="2" t="s">
        <v>129</v>
      </c>
      <c r="U1545" s="2" t="s">
        <v>71</v>
      </c>
    </row>
    <row r="1546" spans="1:21" ht="14.25" customHeight="1" x14ac:dyDescent="0.3">
      <c r="A1546" s="2" t="s">
        <v>3729</v>
      </c>
      <c r="B1546" s="5">
        <v>41846</v>
      </c>
      <c r="C1546" s="2" t="str">
        <f>TEXT(data[[#This Row],[Order Date]],"YYYY")</f>
        <v>2014</v>
      </c>
      <c r="D1546" s="2">
        <v>41852</v>
      </c>
      <c r="E1546" s="2" t="s">
        <v>39</v>
      </c>
      <c r="F1546" s="2" t="s">
        <v>1368</v>
      </c>
      <c r="G1546" s="2" t="s">
        <v>1369</v>
      </c>
      <c r="H1546" s="2" t="s">
        <v>24</v>
      </c>
      <c r="I1546" s="2" t="s">
        <v>25</v>
      </c>
      <c r="J1546" s="2" t="s">
        <v>2138</v>
      </c>
      <c r="K1546" s="2" t="s">
        <v>667</v>
      </c>
      <c r="L1546" s="2" t="s">
        <v>28</v>
      </c>
      <c r="M1546" s="2" t="s">
        <v>2901</v>
      </c>
      <c r="N1546" s="2" t="s">
        <v>30</v>
      </c>
      <c r="O1546" s="2" t="s">
        <v>56</v>
      </c>
      <c r="P1546" s="2" t="s">
        <v>2902</v>
      </c>
      <c r="Q1546" s="2">
        <v>25.71</v>
      </c>
      <c r="R1546" s="2">
        <v>3</v>
      </c>
      <c r="S1546" s="2">
        <v>9.2555999999999994</v>
      </c>
      <c r="T1546" s="2" t="s">
        <v>129</v>
      </c>
      <c r="U1546" s="2" t="s">
        <v>71</v>
      </c>
    </row>
    <row r="1547" spans="1:21" ht="14.25" customHeight="1" x14ac:dyDescent="0.3">
      <c r="A1547" s="2" t="s">
        <v>3730</v>
      </c>
      <c r="B1547" s="5">
        <v>43080</v>
      </c>
      <c r="C1547" s="2" t="str">
        <f>TEXT(data[[#This Row],[Order Date]],"YYYY")</f>
        <v>2017</v>
      </c>
      <c r="D1547" s="2">
        <v>43086</v>
      </c>
      <c r="E1547" s="2" t="s">
        <v>39</v>
      </c>
      <c r="F1547" s="2" t="s">
        <v>2216</v>
      </c>
      <c r="G1547" s="2" t="s">
        <v>2217</v>
      </c>
      <c r="H1547" s="2" t="s">
        <v>90</v>
      </c>
      <c r="I1547" s="2" t="s">
        <v>25</v>
      </c>
      <c r="J1547" s="2" t="s">
        <v>606</v>
      </c>
      <c r="K1547" s="2" t="s">
        <v>43</v>
      </c>
      <c r="L1547" s="2" t="s">
        <v>28</v>
      </c>
      <c r="M1547" s="2" t="s">
        <v>266</v>
      </c>
      <c r="N1547" s="2" t="s">
        <v>30</v>
      </c>
      <c r="O1547" s="2" t="s">
        <v>45</v>
      </c>
      <c r="P1547" s="2" t="s">
        <v>267</v>
      </c>
      <c r="Q1547" s="2">
        <v>721.875</v>
      </c>
      <c r="R1547" s="2">
        <v>6</v>
      </c>
      <c r="S1547" s="2">
        <v>-420</v>
      </c>
      <c r="T1547" s="2" t="s">
        <v>129</v>
      </c>
      <c r="U1547" s="2" t="s">
        <v>96</v>
      </c>
    </row>
    <row r="1548" spans="1:21" ht="14.25" customHeight="1" x14ac:dyDescent="0.3">
      <c r="A1548" s="2" t="s">
        <v>3730</v>
      </c>
      <c r="B1548" s="5">
        <v>43080</v>
      </c>
      <c r="C1548" s="2" t="str">
        <f>TEXT(data[[#This Row],[Order Date]],"YYYY")</f>
        <v>2017</v>
      </c>
      <c r="D1548" s="2">
        <v>43086</v>
      </c>
      <c r="E1548" s="2" t="s">
        <v>39</v>
      </c>
      <c r="F1548" s="2" t="s">
        <v>2216</v>
      </c>
      <c r="G1548" s="2" t="s">
        <v>2217</v>
      </c>
      <c r="H1548" s="2" t="s">
        <v>90</v>
      </c>
      <c r="I1548" s="2" t="s">
        <v>25</v>
      </c>
      <c r="J1548" s="2" t="s">
        <v>606</v>
      </c>
      <c r="K1548" s="2" t="s">
        <v>43</v>
      </c>
      <c r="L1548" s="2" t="s">
        <v>28</v>
      </c>
      <c r="M1548" s="2" t="s">
        <v>510</v>
      </c>
      <c r="N1548" s="2" t="s">
        <v>30</v>
      </c>
      <c r="O1548" s="2" t="s">
        <v>36</v>
      </c>
      <c r="P1548" s="2" t="s">
        <v>511</v>
      </c>
      <c r="Q1548" s="2">
        <v>64.784000000000006</v>
      </c>
      <c r="R1548" s="2">
        <v>1</v>
      </c>
      <c r="S1548" s="2">
        <v>-12.147</v>
      </c>
      <c r="T1548" s="2" t="s">
        <v>129</v>
      </c>
      <c r="U1548" s="2" t="s">
        <v>96</v>
      </c>
    </row>
    <row r="1549" spans="1:21" ht="14.25" customHeight="1" x14ac:dyDescent="0.3">
      <c r="A1549" s="2" t="s">
        <v>3731</v>
      </c>
      <c r="B1549" s="5">
        <v>42652</v>
      </c>
      <c r="C1549" s="2" t="str">
        <f>TEXT(data[[#This Row],[Order Date]],"YYYY")</f>
        <v>2016</v>
      </c>
      <c r="D1549" s="2">
        <v>42657</v>
      </c>
      <c r="E1549" s="2" t="s">
        <v>39</v>
      </c>
      <c r="F1549" s="2" t="s">
        <v>3436</v>
      </c>
      <c r="G1549" s="2" t="s">
        <v>3437</v>
      </c>
      <c r="H1549" s="2" t="s">
        <v>100</v>
      </c>
      <c r="I1549" s="2" t="s">
        <v>25</v>
      </c>
      <c r="J1549" s="2" t="s">
        <v>519</v>
      </c>
      <c r="K1549" s="2" t="s">
        <v>520</v>
      </c>
      <c r="L1549" s="2" t="s">
        <v>54</v>
      </c>
      <c r="M1549" s="2" t="s">
        <v>1391</v>
      </c>
      <c r="N1549" s="2" t="s">
        <v>30</v>
      </c>
      <c r="O1549" s="2" t="s">
        <v>56</v>
      </c>
      <c r="P1549" s="2" t="s">
        <v>1392</v>
      </c>
      <c r="Q1549" s="2">
        <v>169.56800000000001</v>
      </c>
      <c r="R1549" s="2">
        <v>2</v>
      </c>
      <c r="S1549" s="2">
        <v>0</v>
      </c>
      <c r="T1549" s="2" t="s">
        <v>58</v>
      </c>
      <c r="U1549" s="2" t="s">
        <v>48</v>
      </c>
    </row>
    <row r="1550" spans="1:21" ht="14.25" customHeight="1" x14ac:dyDescent="0.3">
      <c r="A1550" s="2" t="s">
        <v>3732</v>
      </c>
      <c r="B1550" s="5">
        <v>42003</v>
      </c>
      <c r="C1550" s="2" t="str">
        <f>TEXT(data[[#This Row],[Order Date]],"YYYY")</f>
        <v>2014</v>
      </c>
      <c r="D1550" s="2">
        <v>42007</v>
      </c>
      <c r="E1550" s="2" t="s">
        <v>21</v>
      </c>
      <c r="F1550" s="2" t="s">
        <v>3733</v>
      </c>
      <c r="G1550" s="2" t="s">
        <v>3734</v>
      </c>
      <c r="H1550" s="2" t="s">
        <v>90</v>
      </c>
      <c r="I1550" s="2" t="s">
        <v>25</v>
      </c>
      <c r="J1550" s="2" t="s">
        <v>65</v>
      </c>
      <c r="K1550" s="2" t="s">
        <v>66</v>
      </c>
      <c r="L1550" s="2" t="s">
        <v>67</v>
      </c>
      <c r="M1550" s="2" t="s">
        <v>410</v>
      </c>
      <c r="N1550" s="2" t="s">
        <v>30</v>
      </c>
      <c r="O1550" s="2" t="s">
        <v>45</v>
      </c>
      <c r="P1550" s="2" t="s">
        <v>411</v>
      </c>
      <c r="Q1550" s="2">
        <v>523.76400000000001</v>
      </c>
      <c r="R1550" s="2">
        <v>3</v>
      </c>
      <c r="S1550" s="2">
        <v>-192.04679999999999</v>
      </c>
      <c r="T1550" s="2" t="s">
        <v>83</v>
      </c>
      <c r="U1550" s="2" t="s">
        <v>96</v>
      </c>
    </row>
    <row r="1551" spans="1:21" ht="14.25" customHeight="1" x14ac:dyDescent="0.3">
      <c r="A1551" s="2" t="s">
        <v>3735</v>
      </c>
      <c r="B1551" s="5">
        <v>42472</v>
      </c>
      <c r="C1551" s="2" t="str">
        <f>TEXT(data[[#This Row],[Order Date]],"YYYY")</f>
        <v>2016</v>
      </c>
      <c r="D1551" s="2">
        <v>42474</v>
      </c>
      <c r="E1551" s="2" t="s">
        <v>87</v>
      </c>
      <c r="F1551" s="2" t="s">
        <v>2006</v>
      </c>
      <c r="G1551" s="2" t="s">
        <v>2007</v>
      </c>
      <c r="H1551" s="2" t="s">
        <v>24</v>
      </c>
      <c r="I1551" s="2" t="s">
        <v>25</v>
      </c>
      <c r="J1551" s="2" t="s">
        <v>52</v>
      </c>
      <c r="K1551" s="2" t="s">
        <v>53</v>
      </c>
      <c r="L1551" s="2" t="s">
        <v>54</v>
      </c>
      <c r="M1551" s="2" t="s">
        <v>510</v>
      </c>
      <c r="N1551" s="2" t="s">
        <v>30</v>
      </c>
      <c r="O1551" s="2" t="s">
        <v>36</v>
      </c>
      <c r="P1551" s="2" t="s">
        <v>511</v>
      </c>
      <c r="Q1551" s="2">
        <v>194.352</v>
      </c>
      <c r="R1551" s="2">
        <v>3</v>
      </c>
      <c r="S1551" s="2">
        <v>-36.441000000000003</v>
      </c>
      <c r="T1551" s="2" t="s">
        <v>70</v>
      </c>
      <c r="U1551" s="2" t="s">
        <v>113</v>
      </c>
    </row>
    <row r="1552" spans="1:21" ht="14.25" customHeight="1" x14ac:dyDescent="0.3">
      <c r="A1552" s="2" t="s">
        <v>3736</v>
      </c>
      <c r="B1552" s="5">
        <v>42702</v>
      </c>
      <c r="C1552" s="2" t="str">
        <f>TEXT(data[[#This Row],[Order Date]],"YYYY")</f>
        <v>2016</v>
      </c>
      <c r="D1552" s="2">
        <v>42708</v>
      </c>
      <c r="E1552" s="2" t="s">
        <v>39</v>
      </c>
      <c r="F1552" s="2" t="s">
        <v>286</v>
      </c>
      <c r="G1552" s="2" t="s">
        <v>287</v>
      </c>
      <c r="H1552" s="2" t="s">
        <v>90</v>
      </c>
      <c r="I1552" s="2" t="s">
        <v>25</v>
      </c>
      <c r="J1552" s="2" t="s">
        <v>65</v>
      </c>
      <c r="K1552" s="2" t="s">
        <v>66</v>
      </c>
      <c r="L1552" s="2" t="s">
        <v>67</v>
      </c>
      <c r="M1552" s="2" t="s">
        <v>590</v>
      </c>
      <c r="N1552" s="2" t="s">
        <v>30</v>
      </c>
      <c r="O1552" s="2" t="s">
        <v>36</v>
      </c>
      <c r="P1552" s="2" t="s">
        <v>591</v>
      </c>
      <c r="Q1552" s="2">
        <v>347.80200000000002</v>
      </c>
      <c r="R1552" s="2">
        <v>7</v>
      </c>
      <c r="S1552" s="2">
        <v>-24.843</v>
      </c>
      <c r="T1552" s="2" t="s">
        <v>129</v>
      </c>
      <c r="U1552" s="2" t="s">
        <v>34</v>
      </c>
    </row>
    <row r="1553" spans="1:21" ht="14.25" customHeight="1" x14ac:dyDescent="0.3">
      <c r="A1553" s="2" t="s">
        <v>3737</v>
      </c>
      <c r="B1553" s="5">
        <v>42626</v>
      </c>
      <c r="C1553" s="2" t="str">
        <f>TEXT(data[[#This Row],[Order Date]],"YYYY")</f>
        <v>2016</v>
      </c>
      <c r="D1553" s="2">
        <v>42631</v>
      </c>
      <c r="E1553" s="2" t="s">
        <v>39</v>
      </c>
      <c r="F1553" s="2" t="s">
        <v>2925</v>
      </c>
      <c r="G1553" s="2" t="s">
        <v>2926</v>
      </c>
      <c r="H1553" s="2" t="s">
        <v>24</v>
      </c>
      <c r="I1553" s="2" t="s">
        <v>25</v>
      </c>
      <c r="J1553" s="2" t="s">
        <v>840</v>
      </c>
      <c r="K1553" s="2" t="s">
        <v>841</v>
      </c>
      <c r="L1553" s="2" t="s">
        <v>93</v>
      </c>
      <c r="M1553" s="2" t="s">
        <v>94</v>
      </c>
      <c r="N1553" s="2" t="s">
        <v>30</v>
      </c>
      <c r="O1553" s="2" t="s">
        <v>56</v>
      </c>
      <c r="P1553" s="2" t="s">
        <v>95</v>
      </c>
      <c r="Q1553" s="2">
        <v>1336.44</v>
      </c>
      <c r="R1553" s="2">
        <v>14</v>
      </c>
      <c r="S1553" s="2">
        <v>387.56760000000003</v>
      </c>
      <c r="T1553" s="2" t="s">
        <v>58</v>
      </c>
      <c r="U1553" s="2" t="s">
        <v>77</v>
      </c>
    </row>
    <row r="1554" spans="1:21" ht="14.25" customHeight="1" x14ac:dyDescent="0.3">
      <c r="A1554" s="2" t="s">
        <v>3738</v>
      </c>
      <c r="B1554" s="5">
        <v>43068</v>
      </c>
      <c r="C1554" s="2" t="str">
        <f>TEXT(data[[#This Row],[Order Date]],"YYYY")</f>
        <v>2017</v>
      </c>
      <c r="D1554" s="2">
        <v>43072</v>
      </c>
      <c r="E1554" s="2" t="s">
        <v>39</v>
      </c>
      <c r="F1554" s="2" t="s">
        <v>2348</v>
      </c>
      <c r="G1554" s="2" t="s">
        <v>2349</v>
      </c>
      <c r="H1554" s="2" t="s">
        <v>24</v>
      </c>
      <c r="I1554" s="2" t="s">
        <v>25</v>
      </c>
      <c r="J1554" s="2" t="s">
        <v>2269</v>
      </c>
      <c r="K1554" s="2" t="s">
        <v>141</v>
      </c>
      <c r="L1554" s="2" t="s">
        <v>28</v>
      </c>
      <c r="M1554" s="2" t="s">
        <v>35</v>
      </c>
      <c r="N1554" s="2" t="s">
        <v>30</v>
      </c>
      <c r="O1554" s="2" t="s">
        <v>36</v>
      </c>
      <c r="P1554" s="2" t="s">
        <v>37</v>
      </c>
      <c r="Q1554" s="2">
        <v>390.36799999999999</v>
      </c>
      <c r="R1554" s="2">
        <v>2</v>
      </c>
      <c r="S1554" s="2">
        <v>48.795999999999999</v>
      </c>
      <c r="T1554" s="2" t="s">
        <v>83</v>
      </c>
      <c r="U1554" s="2" t="s">
        <v>34</v>
      </c>
    </row>
    <row r="1555" spans="1:21" ht="14.25" customHeight="1" x14ac:dyDescent="0.3">
      <c r="A1555" s="2" t="s">
        <v>3738</v>
      </c>
      <c r="B1555" s="5">
        <v>43068</v>
      </c>
      <c r="C1555" s="2" t="str">
        <f>TEXT(data[[#This Row],[Order Date]],"YYYY")</f>
        <v>2017</v>
      </c>
      <c r="D1555" s="2">
        <v>43072</v>
      </c>
      <c r="E1555" s="2" t="s">
        <v>39</v>
      </c>
      <c r="F1555" s="2" t="s">
        <v>2348</v>
      </c>
      <c r="G1555" s="2" t="s">
        <v>2349</v>
      </c>
      <c r="H1555" s="2" t="s">
        <v>24</v>
      </c>
      <c r="I1555" s="2" t="s">
        <v>25</v>
      </c>
      <c r="J1555" s="2" t="s">
        <v>2269</v>
      </c>
      <c r="K1555" s="2" t="s">
        <v>141</v>
      </c>
      <c r="L1555" s="2" t="s">
        <v>28</v>
      </c>
      <c r="M1555" s="2" t="s">
        <v>308</v>
      </c>
      <c r="N1555" s="2" t="s">
        <v>30</v>
      </c>
      <c r="O1555" s="2" t="s">
        <v>56</v>
      </c>
      <c r="P1555" s="2" t="s">
        <v>2586</v>
      </c>
      <c r="Q1555" s="2">
        <v>101.52</v>
      </c>
      <c r="R1555" s="2">
        <v>5</v>
      </c>
      <c r="S1555" s="2">
        <v>19.035</v>
      </c>
      <c r="T1555" s="2" t="s">
        <v>83</v>
      </c>
      <c r="U1555" s="2" t="s">
        <v>34</v>
      </c>
    </row>
    <row r="1556" spans="1:21" ht="14.25" customHeight="1" x14ac:dyDescent="0.3">
      <c r="A1556" s="2" t="s">
        <v>3739</v>
      </c>
      <c r="B1556" s="5">
        <v>42729</v>
      </c>
      <c r="C1556" s="2" t="str">
        <f>TEXT(data[[#This Row],[Order Date]],"YYYY")</f>
        <v>2016</v>
      </c>
      <c r="D1556" s="2">
        <v>42734</v>
      </c>
      <c r="E1556" s="2" t="s">
        <v>39</v>
      </c>
      <c r="F1556" s="2" t="s">
        <v>3194</v>
      </c>
      <c r="G1556" s="2" t="s">
        <v>3195</v>
      </c>
      <c r="H1556" s="2" t="s">
        <v>90</v>
      </c>
      <c r="I1556" s="2" t="s">
        <v>25</v>
      </c>
      <c r="J1556" s="2" t="s">
        <v>173</v>
      </c>
      <c r="K1556" s="2" t="s">
        <v>120</v>
      </c>
      <c r="L1556" s="2" t="s">
        <v>67</v>
      </c>
      <c r="M1556" s="2" t="s">
        <v>1247</v>
      </c>
      <c r="N1556" s="2" t="s">
        <v>30</v>
      </c>
      <c r="O1556" s="2" t="s">
        <v>45</v>
      </c>
      <c r="P1556" s="2" t="s">
        <v>1248</v>
      </c>
      <c r="Q1556" s="2">
        <v>313.17599999999999</v>
      </c>
      <c r="R1556" s="2">
        <v>2</v>
      </c>
      <c r="S1556" s="2">
        <v>-120.0508</v>
      </c>
      <c r="T1556" s="2" t="s">
        <v>58</v>
      </c>
      <c r="U1556" s="2" t="s">
        <v>96</v>
      </c>
    </row>
    <row r="1557" spans="1:21" ht="14.25" customHeight="1" x14ac:dyDescent="0.3">
      <c r="A1557" s="2" t="s">
        <v>3739</v>
      </c>
      <c r="B1557" s="5">
        <v>42729</v>
      </c>
      <c r="C1557" s="2" t="str">
        <f>TEXT(data[[#This Row],[Order Date]],"YYYY")</f>
        <v>2016</v>
      </c>
      <c r="D1557" s="2">
        <v>42734</v>
      </c>
      <c r="E1557" s="2" t="s">
        <v>39</v>
      </c>
      <c r="F1557" s="2" t="s">
        <v>3194</v>
      </c>
      <c r="G1557" s="2" t="s">
        <v>3195</v>
      </c>
      <c r="H1557" s="2" t="s">
        <v>90</v>
      </c>
      <c r="I1557" s="2" t="s">
        <v>25</v>
      </c>
      <c r="J1557" s="2" t="s">
        <v>173</v>
      </c>
      <c r="K1557" s="2" t="s">
        <v>120</v>
      </c>
      <c r="L1557" s="2" t="s">
        <v>67</v>
      </c>
      <c r="M1557" s="2" t="s">
        <v>795</v>
      </c>
      <c r="N1557" s="2" t="s">
        <v>30</v>
      </c>
      <c r="O1557" s="2" t="s">
        <v>36</v>
      </c>
      <c r="P1557" s="2" t="s">
        <v>796</v>
      </c>
      <c r="Q1557" s="2">
        <v>866.64599999999996</v>
      </c>
      <c r="R1557" s="2">
        <v>3</v>
      </c>
      <c r="S1557" s="2">
        <v>173.32919999999999</v>
      </c>
      <c r="T1557" s="2" t="s">
        <v>58</v>
      </c>
      <c r="U1557" s="2" t="s">
        <v>96</v>
      </c>
    </row>
    <row r="1558" spans="1:21" ht="14.25" customHeight="1" x14ac:dyDescent="0.3">
      <c r="A1558" s="2" t="s">
        <v>3740</v>
      </c>
      <c r="B1558" s="5">
        <v>42621</v>
      </c>
      <c r="C1558" s="2" t="str">
        <f>TEXT(data[[#This Row],[Order Date]],"YYYY")</f>
        <v>2016</v>
      </c>
      <c r="D1558" s="2">
        <v>42626</v>
      </c>
      <c r="E1558" s="2" t="s">
        <v>39</v>
      </c>
      <c r="F1558" s="2" t="s">
        <v>1678</v>
      </c>
      <c r="G1558" s="2" t="s">
        <v>1679</v>
      </c>
      <c r="H1558" s="2" t="s">
        <v>24</v>
      </c>
      <c r="I1558" s="2" t="s">
        <v>25</v>
      </c>
      <c r="J1558" s="2" t="s">
        <v>191</v>
      </c>
      <c r="K1558" s="2" t="s">
        <v>192</v>
      </c>
      <c r="L1558" s="2" t="s">
        <v>54</v>
      </c>
      <c r="M1558" s="2" t="s">
        <v>607</v>
      </c>
      <c r="N1558" s="2" t="s">
        <v>30</v>
      </c>
      <c r="O1558" s="2" t="s">
        <v>56</v>
      </c>
      <c r="P1558" s="2" t="s">
        <v>608</v>
      </c>
      <c r="Q1558" s="2">
        <v>43.13</v>
      </c>
      <c r="R1558" s="2">
        <v>1</v>
      </c>
      <c r="S1558" s="2">
        <v>14.664199999999999</v>
      </c>
      <c r="T1558" s="2" t="s">
        <v>58</v>
      </c>
      <c r="U1558" s="2" t="s">
        <v>77</v>
      </c>
    </row>
    <row r="1559" spans="1:21" ht="14.25" customHeight="1" x14ac:dyDescent="0.3">
      <c r="A1559" s="2" t="s">
        <v>3741</v>
      </c>
      <c r="B1559" s="5">
        <v>42138</v>
      </c>
      <c r="C1559" s="2" t="str">
        <f>TEXT(data[[#This Row],[Order Date]],"YYYY")</f>
        <v>2015</v>
      </c>
      <c r="D1559" s="2">
        <v>42143</v>
      </c>
      <c r="E1559" s="2" t="s">
        <v>39</v>
      </c>
      <c r="F1559" s="2" t="s">
        <v>1068</v>
      </c>
      <c r="G1559" s="2" t="s">
        <v>1069</v>
      </c>
      <c r="H1559" s="2" t="s">
        <v>90</v>
      </c>
      <c r="I1559" s="2" t="s">
        <v>25</v>
      </c>
      <c r="J1559" s="2" t="s">
        <v>3742</v>
      </c>
      <c r="K1559" s="2" t="s">
        <v>53</v>
      </c>
      <c r="L1559" s="2" t="s">
        <v>54</v>
      </c>
      <c r="M1559" s="2" t="s">
        <v>710</v>
      </c>
      <c r="N1559" s="2" t="s">
        <v>30</v>
      </c>
      <c r="O1559" s="2" t="s">
        <v>31</v>
      </c>
      <c r="P1559" s="2" t="s">
        <v>711</v>
      </c>
      <c r="Q1559" s="2">
        <v>509.95749999999998</v>
      </c>
      <c r="R1559" s="2">
        <v>5</v>
      </c>
      <c r="S1559" s="2">
        <v>41.996499999999997</v>
      </c>
      <c r="T1559" s="2" t="s">
        <v>58</v>
      </c>
      <c r="U1559" s="2" t="s">
        <v>161</v>
      </c>
    </row>
    <row r="1560" spans="1:21" ht="14.25" customHeight="1" x14ac:dyDescent="0.3">
      <c r="A1560" s="2" t="s">
        <v>3741</v>
      </c>
      <c r="B1560" s="5">
        <v>42138</v>
      </c>
      <c r="C1560" s="2" t="str">
        <f>TEXT(data[[#This Row],[Order Date]],"YYYY")</f>
        <v>2015</v>
      </c>
      <c r="D1560" s="2">
        <v>42143</v>
      </c>
      <c r="E1560" s="2" t="s">
        <v>39</v>
      </c>
      <c r="F1560" s="2" t="s">
        <v>1068</v>
      </c>
      <c r="G1560" s="2" t="s">
        <v>1069</v>
      </c>
      <c r="H1560" s="2" t="s">
        <v>90</v>
      </c>
      <c r="I1560" s="2" t="s">
        <v>25</v>
      </c>
      <c r="J1560" s="2" t="s">
        <v>3742</v>
      </c>
      <c r="K1560" s="2" t="s">
        <v>53</v>
      </c>
      <c r="L1560" s="2" t="s">
        <v>54</v>
      </c>
      <c r="M1560" s="2" t="s">
        <v>640</v>
      </c>
      <c r="N1560" s="2" t="s">
        <v>30</v>
      </c>
      <c r="O1560" s="2" t="s">
        <v>56</v>
      </c>
      <c r="P1560" s="2" t="s">
        <v>641</v>
      </c>
      <c r="Q1560" s="2">
        <v>122.91</v>
      </c>
      <c r="R1560" s="2">
        <v>3</v>
      </c>
      <c r="S1560" s="2">
        <v>34.4148</v>
      </c>
      <c r="T1560" s="2" t="s">
        <v>58</v>
      </c>
      <c r="U1560" s="2" t="s">
        <v>161</v>
      </c>
    </row>
    <row r="1561" spans="1:21" ht="14.25" customHeight="1" x14ac:dyDescent="0.3">
      <c r="A1561" s="2" t="s">
        <v>3741</v>
      </c>
      <c r="B1561" s="5">
        <v>42138</v>
      </c>
      <c r="C1561" s="2" t="str">
        <f>TEXT(data[[#This Row],[Order Date]],"YYYY")</f>
        <v>2015</v>
      </c>
      <c r="D1561" s="2">
        <v>42143</v>
      </c>
      <c r="E1561" s="2" t="s">
        <v>39</v>
      </c>
      <c r="F1561" s="2" t="s">
        <v>1068</v>
      </c>
      <c r="G1561" s="2" t="s">
        <v>1069</v>
      </c>
      <c r="H1561" s="2" t="s">
        <v>90</v>
      </c>
      <c r="I1561" s="2" t="s">
        <v>25</v>
      </c>
      <c r="J1561" s="2" t="s">
        <v>3742</v>
      </c>
      <c r="K1561" s="2" t="s">
        <v>53</v>
      </c>
      <c r="L1561" s="2" t="s">
        <v>54</v>
      </c>
      <c r="M1561" s="2" t="s">
        <v>1656</v>
      </c>
      <c r="N1561" s="2" t="s">
        <v>30</v>
      </c>
      <c r="O1561" s="2" t="s">
        <v>36</v>
      </c>
      <c r="P1561" s="2" t="s">
        <v>1657</v>
      </c>
      <c r="Q1561" s="2">
        <v>97.567999999999998</v>
      </c>
      <c r="R1561" s="2">
        <v>2</v>
      </c>
      <c r="S1561" s="2">
        <v>-6.0979999999999999</v>
      </c>
      <c r="T1561" s="2" t="s">
        <v>58</v>
      </c>
      <c r="U1561" s="2" t="s">
        <v>161</v>
      </c>
    </row>
    <row r="1562" spans="1:21" ht="14.25" customHeight="1" x14ac:dyDescent="0.3">
      <c r="A1562" s="2" t="s">
        <v>3741</v>
      </c>
      <c r="B1562" s="5">
        <v>42138</v>
      </c>
      <c r="C1562" s="2" t="str">
        <f>TEXT(data[[#This Row],[Order Date]],"YYYY")</f>
        <v>2015</v>
      </c>
      <c r="D1562" s="2">
        <v>42143</v>
      </c>
      <c r="E1562" s="2" t="s">
        <v>39</v>
      </c>
      <c r="F1562" s="2" t="s">
        <v>1068</v>
      </c>
      <c r="G1562" s="2" t="s">
        <v>1069</v>
      </c>
      <c r="H1562" s="2" t="s">
        <v>90</v>
      </c>
      <c r="I1562" s="2" t="s">
        <v>25</v>
      </c>
      <c r="J1562" s="2" t="s">
        <v>3742</v>
      </c>
      <c r="K1562" s="2" t="s">
        <v>53</v>
      </c>
      <c r="L1562" s="2" t="s">
        <v>54</v>
      </c>
      <c r="M1562" s="2" t="s">
        <v>2334</v>
      </c>
      <c r="N1562" s="2" t="s">
        <v>30</v>
      </c>
      <c r="O1562" s="2" t="s">
        <v>36</v>
      </c>
      <c r="P1562" s="2" t="s">
        <v>2335</v>
      </c>
      <c r="Q1562" s="2">
        <v>722.35199999999998</v>
      </c>
      <c r="R1562" s="2">
        <v>3</v>
      </c>
      <c r="S1562" s="2">
        <v>81.264600000000002</v>
      </c>
      <c r="T1562" s="2" t="s">
        <v>58</v>
      </c>
      <c r="U1562" s="2" t="s">
        <v>161</v>
      </c>
    </row>
    <row r="1563" spans="1:21" ht="14.25" customHeight="1" x14ac:dyDescent="0.3">
      <c r="A1563" s="2" t="s">
        <v>3743</v>
      </c>
      <c r="B1563" s="5">
        <v>42520</v>
      </c>
      <c r="C1563" s="2" t="str">
        <f>TEXT(data[[#This Row],[Order Date]],"YYYY")</f>
        <v>2016</v>
      </c>
      <c r="D1563" s="2">
        <v>42527</v>
      </c>
      <c r="E1563" s="2" t="s">
        <v>39</v>
      </c>
      <c r="F1563" s="2" t="s">
        <v>2308</v>
      </c>
      <c r="G1563" s="2" t="s">
        <v>2309</v>
      </c>
      <c r="H1563" s="2" t="s">
        <v>90</v>
      </c>
      <c r="I1563" s="2" t="s">
        <v>25</v>
      </c>
      <c r="J1563" s="2" t="s">
        <v>52</v>
      </c>
      <c r="K1563" s="2" t="s">
        <v>53</v>
      </c>
      <c r="L1563" s="2" t="s">
        <v>54</v>
      </c>
      <c r="M1563" s="2" t="s">
        <v>2281</v>
      </c>
      <c r="N1563" s="2" t="s">
        <v>30</v>
      </c>
      <c r="O1563" s="2" t="s">
        <v>56</v>
      </c>
      <c r="P1563" s="2" t="s">
        <v>2282</v>
      </c>
      <c r="Q1563" s="2">
        <v>167.84</v>
      </c>
      <c r="R1563" s="2">
        <v>8</v>
      </c>
      <c r="S1563" s="2">
        <v>11.748799999999999</v>
      </c>
      <c r="T1563" s="2" t="s">
        <v>47</v>
      </c>
      <c r="U1563" s="2" t="s">
        <v>161</v>
      </c>
    </row>
    <row r="1564" spans="1:21" ht="14.25" customHeight="1" x14ac:dyDescent="0.3">
      <c r="A1564" s="2" t="s">
        <v>3744</v>
      </c>
      <c r="B1564" s="5">
        <v>41737</v>
      </c>
      <c r="C1564" s="2" t="str">
        <f>TEXT(data[[#This Row],[Order Date]],"YYYY")</f>
        <v>2014</v>
      </c>
      <c r="D1564" s="2">
        <v>41741</v>
      </c>
      <c r="E1564" s="2" t="s">
        <v>39</v>
      </c>
      <c r="F1564" s="2" t="s">
        <v>972</v>
      </c>
      <c r="G1564" s="2" t="s">
        <v>973</v>
      </c>
      <c r="H1564" s="2" t="s">
        <v>24</v>
      </c>
      <c r="I1564" s="2" t="s">
        <v>25</v>
      </c>
      <c r="J1564" s="2" t="s">
        <v>2531</v>
      </c>
      <c r="K1564" s="2" t="s">
        <v>231</v>
      </c>
      <c r="L1564" s="2" t="s">
        <v>67</v>
      </c>
      <c r="M1564" s="2" t="s">
        <v>2831</v>
      </c>
      <c r="N1564" s="2" t="s">
        <v>30</v>
      </c>
      <c r="O1564" s="2" t="s">
        <v>45</v>
      </c>
      <c r="P1564" s="2" t="s">
        <v>2832</v>
      </c>
      <c r="Q1564" s="2">
        <v>172.11</v>
      </c>
      <c r="R1564" s="2">
        <v>1</v>
      </c>
      <c r="S1564" s="2">
        <v>-94.660499999999999</v>
      </c>
      <c r="T1564" s="2" t="s">
        <v>83</v>
      </c>
      <c r="U1564" s="2" t="s">
        <v>113</v>
      </c>
    </row>
    <row r="1565" spans="1:21" ht="14.25" customHeight="1" x14ac:dyDescent="0.3">
      <c r="A1565" s="2" t="s">
        <v>3745</v>
      </c>
      <c r="B1565" s="5">
        <v>42885</v>
      </c>
      <c r="C1565" s="2" t="str">
        <f>TEXT(data[[#This Row],[Order Date]],"YYYY")</f>
        <v>2017</v>
      </c>
      <c r="D1565" s="2">
        <v>42889</v>
      </c>
      <c r="E1565" s="2" t="s">
        <v>39</v>
      </c>
      <c r="F1565" s="2" t="s">
        <v>2895</v>
      </c>
      <c r="G1565" s="2" t="s">
        <v>2896</v>
      </c>
      <c r="H1565" s="2" t="s">
        <v>100</v>
      </c>
      <c r="I1565" s="2" t="s">
        <v>25</v>
      </c>
      <c r="J1565" s="2" t="s">
        <v>3746</v>
      </c>
      <c r="K1565" s="2" t="s">
        <v>1517</v>
      </c>
      <c r="L1565" s="2" t="s">
        <v>54</v>
      </c>
      <c r="M1565" s="2" t="s">
        <v>3545</v>
      </c>
      <c r="N1565" s="2" t="s">
        <v>30</v>
      </c>
      <c r="O1565" s="2" t="s">
        <v>56</v>
      </c>
      <c r="P1565" s="2" t="s">
        <v>3546</v>
      </c>
      <c r="Q1565" s="2">
        <v>13.592000000000001</v>
      </c>
      <c r="R1565" s="2">
        <v>1</v>
      </c>
      <c r="S1565" s="2">
        <v>-0.33979999999999999</v>
      </c>
      <c r="T1565" s="2" t="s">
        <v>83</v>
      </c>
      <c r="U1565" s="2" t="s">
        <v>161</v>
      </c>
    </row>
    <row r="1566" spans="1:21" ht="14.25" customHeight="1" x14ac:dyDescent="0.3">
      <c r="A1566" s="2" t="s">
        <v>3747</v>
      </c>
      <c r="B1566" s="5">
        <v>42442</v>
      </c>
      <c r="C1566" s="2" t="str">
        <f>TEXT(data[[#This Row],[Order Date]],"YYYY")</f>
        <v>2016</v>
      </c>
      <c r="D1566" s="2">
        <v>42444</v>
      </c>
      <c r="E1566" s="2" t="s">
        <v>21</v>
      </c>
      <c r="F1566" s="2" t="s">
        <v>2073</v>
      </c>
      <c r="G1566" s="2" t="s">
        <v>2074</v>
      </c>
      <c r="H1566" s="2" t="s">
        <v>90</v>
      </c>
      <c r="I1566" s="2" t="s">
        <v>25</v>
      </c>
      <c r="J1566" s="2" t="s">
        <v>65</v>
      </c>
      <c r="K1566" s="2" t="s">
        <v>66</v>
      </c>
      <c r="L1566" s="2" t="s">
        <v>67</v>
      </c>
      <c r="M1566" s="2" t="s">
        <v>246</v>
      </c>
      <c r="N1566" s="2" t="s">
        <v>30</v>
      </c>
      <c r="O1566" s="2" t="s">
        <v>36</v>
      </c>
      <c r="P1566" s="2" t="s">
        <v>247</v>
      </c>
      <c r="Q1566" s="2">
        <v>386.68</v>
      </c>
      <c r="R1566" s="2">
        <v>2</v>
      </c>
      <c r="S1566" s="2">
        <v>-5.524</v>
      </c>
      <c r="T1566" s="2" t="s">
        <v>70</v>
      </c>
      <c r="U1566" s="2" t="s">
        <v>195</v>
      </c>
    </row>
    <row r="1567" spans="1:21" ht="14.25" customHeight="1" x14ac:dyDescent="0.3">
      <c r="A1567" s="2" t="s">
        <v>3748</v>
      </c>
      <c r="B1567" s="5">
        <v>42835</v>
      </c>
      <c r="C1567" s="2" t="str">
        <f>TEXT(data[[#This Row],[Order Date]],"YYYY")</f>
        <v>2017</v>
      </c>
      <c r="D1567" s="2">
        <v>42839</v>
      </c>
      <c r="E1567" s="2" t="s">
        <v>39</v>
      </c>
      <c r="F1567" s="2" t="s">
        <v>263</v>
      </c>
      <c r="G1567" s="2" t="s">
        <v>264</v>
      </c>
      <c r="H1567" s="2" t="s">
        <v>24</v>
      </c>
      <c r="I1567" s="2" t="s">
        <v>25</v>
      </c>
      <c r="J1567" s="2" t="s">
        <v>65</v>
      </c>
      <c r="K1567" s="2" t="s">
        <v>66</v>
      </c>
      <c r="L1567" s="2" t="s">
        <v>67</v>
      </c>
      <c r="M1567" s="2" t="s">
        <v>870</v>
      </c>
      <c r="N1567" s="2" t="s">
        <v>30</v>
      </c>
      <c r="O1567" s="2" t="s">
        <v>56</v>
      </c>
      <c r="P1567" s="2" t="s">
        <v>871</v>
      </c>
      <c r="Q1567" s="2">
        <v>36.671999999999997</v>
      </c>
      <c r="R1567" s="2">
        <v>3</v>
      </c>
      <c r="S1567" s="2">
        <v>6.4176000000000002</v>
      </c>
      <c r="T1567" s="2" t="s">
        <v>83</v>
      </c>
      <c r="U1567" s="2" t="s">
        <v>113</v>
      </c>
    </row>
    <row r="1568" spans="1:21" ht="14.25" customHeight="1" x14ac:dyDescent="0.3">
      <c r="A1568" s="2" t="s">
        <v>3749</v>
      </c>
      <c r="B1568" s="5">
        <v>42546</v>
      </c>
      <c r="C1568" s="2" t="str">
        <f>TEXT(data[[#This Row],[Order Date]],"YYYY")</f>
        <v>2016</v>
      </c>
      <c r="D1568" s="2">
        <v>42548</v>
      </c>
      <c r="E1568" s="2" t="s">
        <v>21</v>
      </c>
      <c r="F1568" s="2" t="s">
        <v>1170</v>
      </c>
      <c r="G1568" s="2" t="s">
        <v>1171</v>
      </c>
      <c r="H1568" s="2" t="s">
        <v>24</v>
      </c>
      <c r="I1568" s="2" t="s">
        <v>25</v>
      </c>
      <c r="J1568" s="2" t="s">
        <v>101</v>
      </c>
      <c r="K1568" s="2" t="s">
        <v>92</v>
      </c>
      <c r="L1568" s="2" t="s">
        <v>93</v>
      </c>
      <c r="M1568" s="2" t="s">
        <v>135</v>
      </c>
      <c r="N1568" s="2" t="s">
        <v>30</v>
      </c>
      <c r="O1568" s="2" t="s">
        <v>36</v>
      </c>
      <c r="P1568" s="2" t="s">
        <v>136</v>
      </c>
      <c r="Q1568" s="2">
        <v>85.245999999999995</v>
      </c>
      <c r="R1568" s="2">
        <v>2</v>
      </c>
      <c r="S1568" s="2">
        <v>-6.0890000000000004</v>
      </c>
      <c r="T1568" s="2" t="s">
        <v>70</v>
      </c>
      <c r="U1568" s="2" t="s">
        <v>59</v>
      </c>
    </row>
    <row r="1569" spans="1:21" ht="14.25" customHeight="1" x14ac:dyDescent="0.3">
      <c r="A1569" s="2" t="s">
        <v>3749</v>
      </c>
      <c r="B1569" s="5">
        <v>42546</v>
      </c>
      <c r="C1569" s="2" t="str">
        <f>TEXT(data[[#This Row],[Order Date]],"YYYY")</f>
        <v>2016</v>
      </c>
      <c r="D1569" s="2">
        <v>42548</v>
      </c>
      <c r="E1569" s="2" t="s">
        <v>21</v>
      </c>
      <c r="F1569" s="2" t="s">
        <v>1170</v>
      </c>
      <c r="G1569" s="2" t="s">
        <v>1171</v>
      </c>
      <c r="H1569" s="2" t="s">
        <v>24</v>
      </c>
      <c r="I1569" s="2" t="s">
        <v>25</v>
      </c>
      <c r="J1569" s="2" t="s">
        <v>101</v>
      </c>
      <c r="K1569" s="2" t="s">
        <v>92</v>
      </c>
      <c r="L1569" s="2" t="s">
        <v>93</v>
      </c>
      <c r="M1569" s="2" t="s">
        <v>2436</v>
      </c>
      <c r="N1569" s="2" t="s">
        <v>30</v>
      </c>
      <c r="O1569" s="2" t="s">
        <v>56</v>
      </c>
      <c r="P1569" s="2" t="s">
        <v>2437</v>
      </c>
      <c r="Q1569" s="2">
        <v>32.712000000000003</v>
      </c>
      <c r="R1569" s="2">
        <v>2</v>
      </c>
      <c r="S1569" s="2">
        <v>-26.169599999999999</v>
      </c>
      <c r="T1569" s="2" t="s">
        <v>70</v>
      </c>
      <c r="U1569" s="2" t="s">
        <v>59</v>
      </c>
    </row>
    <row r="1570" spans="1:21" ht="14.25" customHeight="1" x14ac:dyDescent="0.3">
      <c r="A1570" s="2" t="s">
        <v>3750</v>
      </c>
      <c r="B1570" s="5">
        <v>42087</v>
      </c>
      <c r="C1570" s="2" t="str">
        <f>TEXT(data[[#This Row],[Order Date]],"YYYY")</f>
        <v>2015</v>
      </c>
      <c r="D1570" s="2">
        <v>42090</v>
      </c>
      <c r="E1570" s="2" t="s">
        <v>21</v>
      </c>
      <c r="F1570" s="2" t="s">
        <v>2058</v>
      </c>
      <c r="G1570" s="2" t="s">
        <v>2059</v>
      </c>
      <c r="H1570" s="2" t="s">
        <v>90</v>
      </c>
      <c r="I1570" s="2" t="s">
        <v>25</v>
      </c>
      <c r="J1570" s="2" t="s">
        <v>3751</v>
      </c>
      <c r="K1570" s="2" t="s">
        <v>192</v>
      </c>
      <c r="L1570" s="2" t="s">
        <v>54</v>
      </c>
      <c r="M1570" s="2" t="s">
        <v>2126</v>
      </c>
      <c r="N1570" s="2" t="s">
        <v>30</v>
      </c>
      <c r="O1570" s="2" t="s">
        <v>56</v>
      </c>
      <c r="P1570" s="2" t="s">
        <v>2127</v>
      </c>
      <c r="Q1570" s="2">
        <v>46.9</v>
      </c>
      <c r="R1570" s="2">
        <v>5</v>
      </c>
      <c r="S1570" s="2">
        <v>13.132</v>
      </c>
      <c r="T1570" s="2" t="s">
        <v>33</v>
      </c>
      <c r="U1570" s="2" t="s">
        <v>195</v>
      </c>
    </row>
    <row r="1571" spans="1:21" ht="14.25" customHeight="1" x14ac:dyDescent="0.3">
      <c r="A1571" s="2" t="s">
        <v>3752</v>
      </c>
      <c r="B1571" s="5">
        <v>42980</v>
      </c>
      <c r="C1571" s="2" t="str">
        <f>TEXT(data[[#This Row],[Order Date]],"YYYY")</f>
        <v>2017</v>
      </c>
      <c r="D1571" s="2">
        <v>42984</v>
      </c>
      <c r="E1571" s="2" t="s">
        <v>39</v>
      </c>
      <c r="F1571" s="2" t="s">
        <v>1506</v>
      </c>
      <c r="G1571" s="2" t="s">
        <v>1507</v>
      </c>
      <c r="H1571" s="2" t="s">
        <v>24</v>
      </c>
      <c r="I1571" s="2" t="s">
        <v>25</v>
      </c>
      <c r="J1571" s="2" t="s">
        <v>52</v>
      </c>
      <c r="K1571" s="2" t="s">
        <v>53</v>
      </c>
      <c r="L1571" s="2" t="s">
        <v>54</v>
      </c>
      <c r="M1571" s="2" t="s">
        <v>1465</v>
      </c>
      <c r="N1571" s="2" t="s">
        <v>30</v>
      </c>
      <c r="O1571" s="2" t="s">
        <v>45</v>
      </c>
      <c r="P1571" s="2" t="s">
        <v>1466</v>
      </c>
      <c r="Q1571" s="2">
        <v>236.52799999999999</v>
      </c>
      <c r="R1571" s="2">
        <v>2</v>
      </c>
      <c r="S1571" s="2">
        <v>-2.9565999999999999</v>
      </c>
      <c r="T1571" s="2" t="s">
        <v>83</v>
      </c>
      <c r="U1571" s="2" t="s">
        <v>77</v>
      </c>
    </row>
    <row r="1572" spans="1:21" ht="14.25" customHeight="1" x14ac:dyDescent="0.3">
      <c r="A1572" s="2" t="s">
        <v>3753</v>
      </c>
      <c r="B1572" s="5">
        <v>42769</v>
      </c>
      <c r="C1572" s="2" t="str">
        <f>TEXT(data[[#This Row],[Order Date]],"YYYY")</f>
        <v>2017</v>
      </c>
      <c r="D1572" s="2">
        <v>42773</v>
      </c>
      <c r="E1572" s="2" t="s">
        <v>21</v>
      </c>
      <c r="F1572" s="2" t="s">
        <v>2489</v>
      </c>
      <c r="G1572" s="2" t="s">
        <v>2490</v>
      </c>
      <c r="H1572" s="2" t="s">
        <v>100</v>
      </c>
      <c r="I1572" s="2" t="s">
        <v>25</v>
      </c>
      <c r="J1572" s="2" t="s">
        <v>133</v>
      </c>
      <c r="K1572" s="2" t="s">
        <v>134</v>
      </c>
      <c r="L1572" s="2" t="s">
        <v>93</v>
      </c>
      <c r="M1572" s="2" t="s">
        <v>1784</v>
      </c>
      <c r="N1572" s="2" t="s">
        <v>30</v>
      </c>
      <c r="O1572" s="2" t="s">
        <v>56</v>
      </c>
      <c r="P1572" s="2" t="s">
        <v>1785</v>
      </c>
      <c r="Q1572" s="2">
        <v>22.2</v>
      </c>
      <c r="R1572" s="2">
        <v>1</v>
      </c>
      <c r="S1572" s="2">
        <v>-26.085000000000001</v>
      </c>
      <c r="T1572" s="2" t="s">
        <v>83</v>
      </c>
      <c r="U1572" s="2" t="s">
        <v>297</v>
      </c>
    </row>
    <row r="1573" spans="1:21" ht="14.25" customHeight="1" x14ac:dyDescent="0.3">
      <c r="A1573" s="2" t="s">
        <v>3754</v>
      </c>
      <c r="B1573" s="5">
        <v>43050</v>
      </c>
      <c r="C1573" s="2" t="str">
        <f>TEXT(data[[#This Row],[Order Date]],"YYYY")</f>
        <v>2017</v>
      </c>
      <c r="D1573" s="2">
        <v>43053</v>
      </c>
      <c r="E1573" s="2" t="s">
        <v>87</v>
      </c>
      <c r="F1573" s="2" t="s">
        <v>2107</v>
      </c>
      <c r="G1573" s="2" t="s">
        <v>2108</v>
      </c>
      <c r="H1573" s="2" t="s">
        <v>24</v>
      </c>
      <c r="I1573" s="2" t="s">
        <v>25</v>
      </c>
      <c r="J1573" s="2" t="s">
        <v>3124</v>
      </c>
      <c r="K1573" s="2" t="s">
        <v>141</v>
      </c>
      <c r="L1573" s="2" t="s">
        <v>28</v>
      </c>
      <c r="M1573" s="2" t="s">
        <v>830</v>
      </c>
      <c r="N1573" s="2" t="s">
        <v>30</v>
      </c>
      <c r="O1573" s="2" t="s">
        <v>56</v>
      </c>
      <c r="P1573" s="2" t="s">
        <v>831</v>
      </c>
      <c r="Q1573" s="2">
        <v>88.92</v>
      </c>
      <c r="R1573" s="2">
        <v>5</v>
      </c>
      <c r="S1573" s="2">
        <v>14.4495</v>
      </c>
      <c r="T1573" s="2" t="s">
        <v>33</v>
      </c>
      <c r="U1573" s="2" t="s">
        <v>34</v>
      </c>
    </row>
    <row r="1574" spans="1:21" ht="14.25" customHeight="1" x14ac:dyDescent="0.3">
      <c r="A1574" s="2" t="s">
        <v>3755</v>
      </c>
      <c r="B1574" s="5">
        <v>42995</v>
      </c>
      <c r="C1574" s="2" t="str">
        <f>TEXT(data[[#This Row],[Order Date]],"YYYY")</f>
        <v>2017</v>
      </c>
      <c r="D1574" s="2">
        <v>43000</v>
      </c>
      <c r="E1574" s="2" t="s">
        <v>21</v>
      </c>
      <c r="F1574" s="2" t="s">
        <v>1782</v>
      </c>
      <c r="G1574" s="2" t="s">
        <v>1783</v>
      </c>
      <c r="H1574" s="2" t="s">
        <v>100</v>
      </c>
      <c r="I1574" s="2" t="s">
        <v>25</v>
      </c>
      <c r="J1574" s="2" t="s">
        <v>101</v>
      </c>
      <c r="K1574" s="2" t="s">
        <v>92</v>
      </c>
      <c r="L1574" s="2" t="s">
        <v>93</v>
      </c>
      <c r="M1574" s="2" t="s">
        <v>1617</v>
      </c>
      <c r="N1574" s="2" t="s">
        <v>30</v>
      </c>
      <c r="O1574" s="2" t="s">
        <v>36</v>
      </c>
      <c r="P1574" s="2" t="s">
        <v>1618</v>
      </c>
      <c r="Q1574" s="2">
        <v>318.43</v>
      </c>
      <c r="R1574" s="2">
        <v>5</v>
      </c>
      <c r="S1574" s="2">
        <v>-77.332999999999998</v>
      </c>
      <c r="T1574" s="2" t="s">
        <v>58</v>
      </c>
      <c r="U1574" s="2" t="s">
        <v>77</v>
      </c>
    </row>
    <row r="1575" spans="1:21" ht="14.25" customHeight="1" x14ac:dyDescent="0.3">
      <c r="A1575" s="2" t="s">
        <v>3756</v>
      </c>
      <c r="B1575" s="5">
        <v>42110</v>
      </c>
      <c r="C1575" s="2" t="str">
        <f>TEXT(data[[#This Row],[Order Date]],"YYYY")</f>
        <v>2015</v>
      </c>
      <c r="D1575" s="2">
        <v>42112</v>
      </c>
      <c r="E1575" s="2" t="s">
        <v>87</v>
      </c>
      <c r="F1575" s="2" t="s">
        <v>892</v>
      </c>
      <c r="G1575" s="2" t="s">
        <v>893</v>
      </c>
      <c r="H1575" s="2" t="s">
        <v>24</v>
      </c>
      <c r="I1575" s="2" t="s">
        <v>25</v>
      </c>
      <c r="J1575" s="2" t="s">
        <v>715</v>
      </c>
      <c r="K1575" s="2" t="s">
        <v>716</v>
      </c>
      <c r="L1575" s="2" t="s">
        <v>28</v>
      </c>
      <c r="M1575" s="2" t="s">
        <v>1831</v>
      </c>
      <c r="N1575" s="2" t="s">
        <v>30</v>
      </c>
      <c r="O1575" s="2" t="s">
        <v>56</v>
      </c>
      <c r="P1575" s="2" t="s">
        <v>1832</v>
      </c>
      <c r="Q1575" s="2">
        <v>1196.8599999999999</v>
      </c>
      <c r="R1575" s="2">
        <v>7</v>
      </c>
      <c r="S1575" s="2">
        <v>119.68600000000001</v>
      </c>
      <c r="T1575" s="2" t="s">
        <v>70</v>
      </c>
      <c r="U1575" s="2" t="s">
        <v>113</v>
      </c>
    </row>
    <row r="1576" spans="1:21" ht="14.25" customHeight="1" x14ac:dyDescent="0.3">
      <c r="A1576" s="2" t="s">
        <v>3756</v>
      </c>
      <c r="B1576" s="5">
        <v>42110</v>
      </c>
      <c r="C1576" s="2" t="str">
        <f>TEXT(data[[#This Row],[Order Date]],"YYYY")</f>
        <v>2015</v>
      </c>
      <c r="D1576" s="2">
        <v>42112</v>
      </c>
      <c r="E1576" s="2" t="s">
        <v>87</v>
      </c>
      <c r="F1576" s="2" t="s">
        <v>892</v>
      </c>
      <c r="G1576" s="2" t="s">
        <v>893</v>
      </c>
      <c r="H1576" s="2" t="s">
        <v>24</v>
      </c>
      <c r="I1576" s="2" t="s">
        <v>25</v>
      </c>
      <c r="J1576" s="2" t="s">
        <v>715</v>
      </c>
      <c r="K1576" s="2" t="s">
        <v>716</v>
      </c>
      <c r="L1576" s="2" t="s">
        <v>28</v>
      </c>
      <c r="M1576" s="2" t="s">
        <v>860</v>
      </c>
      <c r="N1576" s="2" t="s">
        <v>30</v>
      </c>
      <c r="O1576" s="2" t="s">
        <v>31</v>
      </c>
      <c r="P1576" s="2" t="s">
        <v>861</v>
      </c>
      <c r="Q1576" s="2">
        <v>523.26</v>
      </c>
      <c r="R1576" s="2">
        <v>9</v>
      </c>
      <c r="S1576" s="2">
        <v>125.58240000000001</v>
      </c>
      <c r="T1576" s="2" t="s">
        <v>70</v>
      </c>
      <c r="U1576" s="2" t="s">
        <v>113</v>
      </c>
    </row>
    <row r="1577" spans="1:21" ht="14.25" customHeight="1" x14ac:dyDescent="0.3">
      <c r="A1577" s="2" t="s">
        <v>3757</v>
      </c>
      <c r="B1577" s="5">
        <v>43050</v>
      </c>
      <c r="C1577" s="2" t="str">
        <f>TEXT(data[[#This Row],[Order Date]],"YYYY")</f>
        <v>2017</v>
      </c>
      <c r="D1577" s="2">
        <v>43054</v>
      </c>
      <c r="E1577" s="2" t="s">
        <v>21</v>
      </c>
      <c r="F1577" s="2" t="s">
        <v>3381</v>
      </c>
      <c r="G1577" s="2" t="s">
        <v>3382</v>
      </c>
      <c r="H1577" s="2" t="s">
        <v>100</v>
      </c>
      <c r="I1577" s="2" t="s">
        <v>25</v>
      </c>
      <c r="J1577" s="2" t="s">
        <v>52</v>
      </c>
      <c r="K1577" s="2" t="s">
        <v>53</v>
      </c>
      <c r="L1577" s="2" t="s">
        <v>54</v>
      </c>
      <c r="M1577" s="2" t="s">
        <v>895</v>
      </c>
      <c r="N1577" s="2" t="s">
        <v>30</v>
      </c>
      <c r="O1577" s="2" t="s">
        <v>56</v>
      </c>
      <c r="P1577" s="2" t="s">
        <v>896</v>
      </c>
      <c r="Q1577" s="2">
        <v>34.92</v>
      </c>
      <c r="R1577" s="2">
        <v>4</v>
      </c>
      <c r="S1577" s="2">
        <v>11.8728</v>
      </c>
      <c r="T1577" s="2" t="s">
        <v>83</v>
      </c>
      <c r="U1577" s="2" t="s">
        <v>34</v>
      </c>
    </row>
    <row r="1578" spans="1:21" ht="14.25" customHeight="1" x14ac:dyDescent="0.3">
      <c r="A1578" s="2" t="s">
        <v>3758</v>
      </c>
      <c r="B1578" s="5">
        <v>41897</v>
      </c>
      <c r="C1578" s="2" t="str">
        <f>TEXT(data[[#This Row],[Order Date]],"YYYY")</f>
        <v>2014</v>
      </c>
      <c r="D1578" s="2">
        <v>41902</v>
      </c>
      <c r="E1578" s="2" t="s">
        <v>39</v>
      </c>
      <c r="F1578" s="2" t="s">
        <v>3759</v>
      </c>
      <c r="G1578" s="2" t="s">
        <v>3760</v>
      </c>
      <c r="H1578" s="2" t="s">
        <v>24</v>
      </c>
      <c r="I1578" s="2" t="s">
        <v>25</v>
      </c>
      <c r="J1578" s="2" t="s">
        <v>173</v>
      </c>
      <c r="K1578" s="2" t="s">
        <v>120</v>
      </c>
      <c r="L1578" s="2" t="s">
        <v>67</v>
      </c>
      <c r="M1578" s="2" t="s">
        <v>1348</v>
      </c>
      <c r="N1578" s="2" t="s">
        <v>30</v>
      </c>
      <c r="O1578" s="2" t="s">
        <v>56</v>
      </c>
      <c r="P1578" s="2" t="s">
        <v>1349</v>
      </c>
      <c r="Q1578" s="2">
        <v>14.56</v>
      </c>
      <c r="R1578" s="2">
        <v>2</v>
      </c>
      <c r="S1578" s="2">
        <v>6.2607999999999997</v>
      </c>
      <c r="T1578" s="2" t="s">
        <v>58</v>
      </c>
      <c r="U1578" s="2" t="s">
        <v>77</v>
      </c>
    </row>
    <row r="1579" spans="1:21" ht="14.25" customHeight="1" x14ac:dyDescent="0.3">
      <c r="A1579" s="2" t="s">
        <v>3761</v>
      </c>
      <c r="B1579" s="5">
        <v>41645</v>
      </c>
      <c r="C1579" s="2" t="str">
        <f>TEXT(data[[#This Row],[Order Date]],"YYYY")</f>
        <v>2014</v>
      </c>
      <c r="D1579" s="2">
        <v>41649</v>
      </c>
      <c r="E1579" s="2" t="s">
        <v>39</v>
      </c>
      <c r="F1579" s="2" t="s">
        <v>1282</v>
      </c>
      <c r="G1579" s="2" t="s">
        <v>1283</v>
      </c>
      <c r="H1579" s="2" t="s">
        <v>100</v>
      </c>
      <c r="I1579" s="2" t="s">
        <v>25</v>
      </c>
      <c r="J1579" s="2" t="s">
        <v>26</v>
      </c>
      <c r="K1579" s="2" t="s">
        <v>27</v>
      </c>
      <c r="L1579" s="2" t="s">
        <v>28</v>
      </c>
      <c r="M1579" s="2" t="s">
        <v>206</v>
      </c>
      <c r="N1579" s="2" t="s">
        <v>30</v>
      </c>
      <c r="O1579" s="2" t="s">
        <v>36</v>
      </c>
      <c r="P1579" s="2" t="s">
        <v>207</v>
      </c>
      <c r="Q1579" s="2">
        <v>2573.8200000000002</v>
      </c>
      <c r="R1579" s="2">
        <v>9</v>
      </c>
      <c r="S1579" s="2">
        <v>746.40779999999995</v>
      </c>
      <c r="T1579" s="2" t="s">
        <v>83</v>
      </c>
      <c r="U1579" s="2" t="s">
        <v>169</v>
      </c>
    </row>
    <row r="1580" spans="1:21" ht="14.25" customHeight="1" x14ac:dyDescent="0.3">
      <c r="A1580" s="2" t="s">
        <v>3762</v>
      </c>
      <c r="B1580" s="5">
        <v>41988</v>
      </c>
      <c r="C1580" s="2" t="str">
        <f>TEXT(data[[#This Row],[Order Date]],"YYYY")</f>
        <v>2014</v>
      </c>
      <c r="D1580" s="2">
        <v>41990</v>
      </c>
      <c r="E1580" s="2" t="s">
        <v>21</v>
      </c>
      <c r="F1580" s="2" t="s">
        <v>503</v>
      </c>
      <c r="G1580" s="2" t="s">
        <v>504</v>
      </c>
      <c r="H1580" s="2" t="s">
        <v>90</v>
      </c>
      <c r="I1580" s="2" t="s">
        <v>25</v>
      </c>
      <c r="J1580" s="2" t="s">
        <v>65</v>
      </c>
      <c r="K1580" s="2" t="s">
        <v>66</v>
      </c>
      <c r="L1580" s="2" t="s">
        <v>67</v>
      </c>
      <c r="M1580" s="2" t="s">
        <v>1617</v>
      </c>
      <c r="N1580" s="2" t="s">
        <v>30</v>
      </c>
      <c r="O1580" s="2" t="s">
        <v>36</v>
      </c>
      <c r="P1580" s="2" t="s">
        <v>1618</v>
      </c>
      <c r="Q1580" s="2">
        <v>445.80200000000002</v>
      </c>
      <c r="R1580" s="2">
        <v>7</v>
      </c>
      <c r="S1580" s="2">
        <v>-108.2662</v>
      </c>
      <c r="T1580" s="2" t="s">
        <v>70</v>
      </c>
      <c r="U1580" s="2" t="s">
        <v>96</v>
      </c>
    </row>
    <row r="1581" spans="1:21" ht="14.25" customHeight="1" x14ac:dyDescent="0.3">
      <c r="A1581" s="2" t="s">
        <v>3763</v>
      </c>
      <c r="B1581" s="5">
        <v>42357</v>
      </c>
      <c r="C1581" s="2" t="str">
        <f>TEXT(data[[#This Row],[Order Date]],"YYYY")</f>
        <v>2015</v>
      </c>
      <c r="D1581" s="2">
        <v>42362</v>
      </c>
      <c r="E1581" s="2" t="s">
        <v>21</v>
      </c>
      <c r="F1581" s="2" t="s">
        <v>889</v>
      </c>
      <c r="G1581" s="2" t="s">
        <v>890</v>
      </c>
      <c r="H1581" s="2" t="s">
        <v>100</v>
      </c>
      <c r="I1581" s="2" t="s">
        <v>25</v>
      </c>
      <c r="J1581" s="2" t="s">
        <v>741</v>
      </c>
      <c r="K1581" s="2" t="s">
        <v>884</v>
      </c>
      <c r="L1581" s="2" t="s">
        <v>67</v>
      </c>
      <c r="M1581" s="2" t="s">
        <v>306</v>
      </c>
      <c r="N1581" s="2" t="s">
        <v>30</v>
      </c>
      <c r="O1581" s="2" t="s">
        <v>45</v>
      </c>
      <c r="P1581" s="2" t="s">
        <v>307</v>
      </c>
      <c r="Q1581" s="2">
        <v>1053.164</v>
      </c>
      <c r="R1581" s="2">
        <v>4</v>
      </c>
      <c r="S1581" s="2">
        <v>-105.3164</v>
      </c>
      <c r="T1581" s="2" t="s">
        <v>58</v>
      </c>
      <c r="U1581" s="2" t="s">
        <v>96</v>
      </c>
    </row>
    <row r="1582" spans="1:21" ht="14.25" customHeight="1" x14ac:dyDescent="0.3">
      <c r="A1582" s="2" t="s">
        <v>3764</v>
      </c>
      <c r="B1582" s="5">
        <v>42257</v>
      </c>
      <c r="C1582" s="2" t="str">
        <f>TEXT(data[[#This Row],[Order Date]],"YYYY")</f>
        <v>2015</v>
      </c>
      <c r="D1582" s="2">
        <v>42263</v>
      </c>
      <c r="E1582" s="2" t="s">
        <v>39</v>
      </c>
      <c r="F1582" s="2" t="s">
        <v>1535</v>
      </c>
      <c r="G1582" s="2" t="s">
        <v>1536</v>
      </c>
      <c r="H1582" s="2" t="s">
        <v>90</v>
      </c>
      <c r="I1582" s="2" t="s">
        <v>25</v>
      </c>
      <c r="J1582" s="2" t="s">
        <v>52</v>
      </c>
      <c r="K1582" s="2" t="s">
        <v>53</v>
      </c>
      <c r="L1582" s="2" t="s">
        <v>54</v>
      </c>
      <c r="M1582" s="2" t="s">
        <v>167</v>
      </c>
      <c r="N1582" s="2" t="s">
        <v>30</v>
      </c>
      <c r="O1582" s="2" t="s">
        <v>56</v>
      </c>
      <c r="P1582" s="2" t="s">
        <v>168</v>
      </c>
      <c r="Q1582" s="2">
        <v>106.68</v>
      </c>
      <c r="R1582" s="2">
        <v>6</v>
      </c>
      <c r="S1582" s="2">
        <v>33.070799999999998</v>
      </c>
      <c r="T1582" s="2" t="s">
        <v>129</v>
      </c>
      <c r="U1582" s="2" t="s">
        <v>77</v>
      </c>
    </row>
    <row r="1583" spans="1:21" ht="14.25" customHeight="1" x14ac:dyDescent="0.3">
      <c r="A1583" s="2" t="s">
        <v>3765</v>
      </c>
      <c r="B1583" s="5">
        <v>42989</v>
      </c>
      <c r="C1583" s="2" t="str">
        <f>TEXT(data[[#This Row],[Order Date]],"YYYY")</f>
        <v>2017</v>
      </c>
      <c r="D1583" s="2">
        <v>42994</v>
      </c>
      <c r="E1583" s="2" t="s">
        <v>39</v>
      </c>
      <c r="F1583" s="2" t="s">
        <v>3766</v>
      </c>
      <c r="G1583" s="2" t="s">
        <v>3767</v>
      </c>
      <c r="H1583" s="2" t="s">
        <v>24</v>
      </c>
      <c r="I1583" s="2" t="s">
        <v>25</v>
      </c>
      <c r="J1583" s="2" t="s">
        <v>101</v>
      </c>
      <c r="K1583" s="2" t="s">
        <v>92</v>
      </c>
      <c r="L1583" s="2" t="s">
        <v>93</v>
      </c>
      <c r="M1583" s="2" t="s">
        <v>1627</v>
      </c>
      <c r="N1583" s="2" t="s">
        <v>30</v>
      </c>
      <c r="O1583" s="2" t="s">
        <v>45</v>
      </c>
      <c r="P1583" s="2" t="s">
        <v>1628</v>
      </c>
      <c r="Q1583" s="2">
        <v>512.19000000000005</v>
      </c>
      <c r="R1583" s="2">
        <v>5</v>
      </c>
      <c r="S1583" s="2">
        <v>-65.852999999999994</v>
      </c>
      <c r="T1583" s="2" t="s">
        <v>58</v>
      </c>
      <c r="U1583" s="2" t="s">
        <v>77</v>
      </c>
    </row>
    <row r="1584" spans="1:21" ht="14.25" customHeight="1" x14ac:dyDescent="0.3">
      <c r="A1584" s="2" t="s">
        <v>3768</v>
      </c>
      <c r="B1584" s="5">
        <v>42930</v>
      </c>
      <c r="C1584" s="2" t="str">
        <f>TEXT(data[[#This Row],[Order Date]],"YYYY")</f>
        <v>2017</v>
      </c>
      <c r="D1584" s="2">
        <v>42934</v>
      </c>
      <c r="E1584" s="2" t="s">
        <v>39</v>
      </c>
      <c r="F1584" s="2" t="s">
        <v>3769</v>
      </c>
      <c r="G1584" s="2" t="s">
        <v>3770</v>
      </c>
      <c r="H1584" s="2" t="s">
        <v>24</v>
      </c>
      <c r="I1584" s="2" t="s">
        <v>25</v>
      </c>
      <c r="J1584" s="2" t="s">
        <v>3771</v>
      </c>
      <c r="K1584" s="2" t="s">
        <v>53</v>
      </c>
      <c r="L1584" s="2" t="s">
        <v>54</v>
      </c>
      <c r="M1584" s="2" t="s">
        <v>920</v>
      </c>
      <c r="N1584" s="2" t="s">
        <v>30</v>
      </c>
      <c r="O1584" s="2" t="s">
        <v>56</v>
      </c>
      <c r="P1584" s="2" t="s">
        <v>921</v>
      </c>
      <c r="Q1584" s="2">
        <v>276.69</v>
      </c>
      <c r="R1584" s="2">
        <v>3</v>
      </c>
      <c r="S1584" s="2">
        <v>49.804200000000002</v>
      </c>
      <c r="T1584" s="2" t="s">
        <v>83</v>
      </c>
      <c r="U1584" s="2" t="s">
        <v>71</v>
      </c>
    </row>
    <row r="1585" spans="1:21" ht="14.25" customHeight="1" x14ac:dyDescent="0.3">
      <c r="A1585" s="2" t="s">
        <v>3768</v>
      </c>
      <c r="B1585" s="5">
        <v>42930</v>
      </c>
      <c r="C1585" s="2" t="str">
        <f>TEXT(data[[#This Row],[Order Date]],"YYYY")</f>
        <v>2017</v>
      </c>
      <c r="D1585" s="2">
        <v>42934</v>
      </c>
      <c r="E1585" s="2" t="s">
        <v>39</v>
      </c>
      <c r="F1585" s="2" t="s">
        <v>3769</v>
      </c>
      <c r="G1585" s="2" t="s">
        <v>3770</v>
      </c>
      <c r="H1585" s="2" t="s">
        <v>24</v>
      </c>
      <c r="I1585" s="2" t="s">
        <v>25</v>
      </c>
      <c r="J1585" s="2" t="s">
        <v>3771</v>
      </c>
      <c r="K1585" s="2" t="s">
        <v>53</v>
      </c>
      <c r="L1585" s="2" t="s">
        <v>54</v>
      </c>
      <c r="M1585" s="2" t="s">
        <v>271</v>
      </c>
      <c r="N1585" s="2" t="s">
        <v>30</v>
      </c>
      <c r="O1585" s="2" t="s">
        <v>56</v>
      </c>
      <c r="P1585" s="2" t="s">
        <v>272</v>
      </c>
      <c r="Q1585" s="2">
        <v>18.84</v>
      </c>
      <c r="R1585" s="2">
        <v>3</v>
      </c>
      <c r="S1585" s="2">
        <v>7.9127999999999998</v>
      </c>
      <c r="T1585" s="2" t="s">
        <v>83</v>
      </c>
      <c r="U1585" s="2" t="s">
        <v>71</v>
      </c>
    </row>
    <row r="1586" spans="1:21" ht="14.25" customHeight="1" x14ac:dyDescent="0.3">
      <c r="A1586" s="2" t="s">
        <v>3772</v>
      </c>
      <c r="B1586" s="5">
        <v>42930</v>
      </c>
      <c r="C1586" s="2" t="str">
        <f>TEXT(data[[#This Row],[Order Date]],"YYYY")</f>
        <v>2017</v>
      </c>
      <c r="D1586" s="2">
        <v>42934</v>
      </c>
      <c r="E1586" s="2" t="s">
        <v>39</v>
      </c>
      <c r="F1586" s="2" t="s">
        <v>2808</v>
      </c>
      <c r="G1586" s="2" t="s">
        <v>2809</v>
      </c>
      <c r="H1586" s="2" t="s">
        <v>24</v>
      </c>
      <c r="I1586" s="2" t="s">
        <v>25</v>
      </c>
      <c r="J1586" s="2" t="s">
        <v>347</v>
      </c>
      <c r="K1586" s="2" t="s">
        <v>231</v>
      </c>
      <c r="L1586" s="2" t="s">
        <v>67</v>
      </c>
      <c r="M1586" s="2" t="s">
        <v>1400</v>
      </c>
      <c r="N1586" s="2" t="s">
        <v>30</v>
      </c>
      <c r="O1586" s="2" t="s">
        <v>56</v>
      </c>
      <c r="P1586" s="2" t="s">
        <v>1401</v>
      </c>
      <c r="Q1586" s="2">
        <v>396.92</v>
      </c>
      <c r="R1586" s="2">
        <v>5</v>
      </c>
      <c r="S1586" s="2">
        <v>148.845</v>
      </c>
      <c r="T1586" s="2" t="s">
        <v>83</v>
      </c>
      <c r="U1586" s="2" t="s">
        <v>71</v>
      </c>
    </row>
    <row r="1587" spans="1:21" ht="14.25" customHeight="1" x14ac:dyDescent="0.3">
      <c r="A1587" s="2" t="s">
        <v>3773</v>
      </c>
      <c r="B1587" s="5">
        <v>42618</v>
      </c>
      <c r="C1587" s="2" t="str">
        <f>TEXT(data[[#This Row],[Order Date]],"YYYY")</f>
        <v>2016</v>
      </c>
      <c r="D1587" s="2">
        <v>42624</v>
      </c>
      <c r="E1587" s="2" t="s">
        <v>39</v>
      </c>
      <c r="F1587" s="2" t="s">
        <v>1383</v>
      </c>
      <c r="G1587" s="2" t="s">
        <v>1384</v>
      </c>
      <c r="H1587" s="2" t="s">
        <v>24</v>
      </c>
      <c r="I1587" s="2" t="s">
        <v>25</v>
      </c>
      <c r="J1587" s="2" t="s">
        <v>815</v>
      </c>
      <c r="K1587" s="2" t="s">
        <v>231</v>
      </c>
      <c r="L1587" s="2" t="s">
        <v>67</v>
      </c>
      <c r="M1587" s="2" t="s">
        <v>298</v>
      </c>
      <c r="N1587" s="2" t="s">
        <v>30</v>
      </c>
      <c r="O1587" s="2" t="s">
        <v>36</v>
      </c>
      <c r="P1587" s="2" t="s">
        <v>299</v>
      </c>
      <c r="Q1587" s="2">
        <v>85.245999999999995</v>
      </c>
      <c r="R1587" s="2">
        <v>2</v>
      </c>
      <c r="S1587" s="2">
        <v>-1.2178</v>
      </c>
      <c r="T1587" s="2" t="s">
        <v>129</v>
      </c>
      <c r="U1587" s="2" t="s">
        <v>77</v>
      </c>
    </row>
    <row r="1588" spans="1:21" ht="14.25" customHeight="1" x14ac:dyDescent="0.3">
      <c r="A1588" s="2" t="s">
        <v>3774</v>
      </c>
      <c r="B1588" s="5">
        <v>41892</v>
      </c>
      <c r="C1588" s="2" t="str">
        <f>TEXT(data[[#This Row],[Order Date]],"YYYY")</f>
        <v>2014</v>
      </c>
      <c r="D1588" s="2">
        <v>41898</v>
      </c>
      <c r="E1588" s="2" t="s">
        <v>39</v>
      </c>
      <c r="F1588" s="2" t="s">
        <v>2226</v>
      </c>
      <c r="G1588" s="2" t="s">
        <v>2227</v>
      </c>
      <c r="H1588" s="2" t="s">
        <v>24</v>
      </c>
      <c r="I1588" s="2" t="s">
        <v>25</v>
      </c>
      <c r="J1588" s="2" t="s">
        <v>2259</v>
      </c>
      <c r="K1588" s="2" t="s">
        <v>1517</v>
      </c>
      <c r="L1588" s="2" t="s">
        <v>54</v>
      </c>
      <c r="M1588" s="2" t="s">
        <v>1095</v>
      </c>
      <c r="N1588" s="2" t="s">
        <v>30</v>
      </c>
      <c r="O1588" s="2" t="s">
        <v>36</v>
      </c>
      <c r="P1588" s="2" t="s">
        <v>1096</v>
      </c>
      <c r="Q1588" s="2">
        <v>1487.04</v>
      </c>
      <c r="R1588" s="2">
        <v>5</v>
      </c>
      <c r="S1588" s="2">
        <v>148.70400000000001</v>
      </c>
      <c r="T1588" s="2" t="s">
        <v>129</v>
      </c>
      <c r="U1588" s="2" t="s">
        <v>77</v>
      </c>
    </row>
    <row r="1589" spans="1:21" ht="14.25" customHeight="1" x14ac:dyDescent="0.3">
      <c r="A1589" s="2" t="s">
        <v>3775</v>
      </c>
      <c r="B1589" s="5">
        <v>43004</v>
      </c>
      <c r="C1589" s="2" t="str">
        <f>TEXT(data[[#This Row],[Order Date]],"YYYY")</f>
        <v>2017</v>
      </c>
      <c r="D1589" s="2">
        <v>43004</v>
      </c>
      <c r="E1589" s="2" t="s">
        <v>425</v>
      </c>
      <c r="F1589" s="2" t="s">
        <v>3322</v>
      </c>
      <c r="G1589" s="2" t="s">
        <v>3323</v>
      </c>
      <c r="H1589" s="2" t="s">
        <v>90</v>
      </c>
      <c r="I1589" s="2" t="s">
        <v>25</v>
      </c>
      <c r="J1589" s="2" t="s">
        <v>328</v>
      </c>
      <c r="K1589" s="2" t="s">
        <v>53</v>
      </c>
      <c r="L1589" s="2" t="s">
        <v>54</v>
      </c>
      <c r="M1589" s="2" t="s">
        <v>2011</v>
      </c>
      <c r="N1589" s="2" t="s">
        <v>30</v>
      </c>
      <c r="O1589" s="2" t="s">
        <v>56</v>
      </c>
      <c r="P1589" s="2" t="s">
        <v>2012</v>
      </c>
      <c r="Q1589" s="2">
        <v>9.24</v>
      </c>
      <c r="R1589" s="2">
        <v>3</v>
      </c>
      <c r="S1589" s="2">
        <v>2.9567999999999999</v>
      </c>
      <c r="T1589" s="2" t="s">
        <v>430</v>
      </c>
      <c r="U1589" s="2" t="s">
        <v>77</v>
      </c>
    </row>
    <row r="1590" spans="1:21" ht="14.25" customHeight="1" x14ac:dyDescent="0.3">
      <c r="A1590" s="2" t="s">
        <v>3776</v>
      </c>
      <c r="B1590" s="5">
        <v>42538</v>
      </c>
      <c r="C1590" s="2" t="str">
        <f>TEXT(data[[#This Row],[Order Date]],"YYYY")</f>
        <v>2016</v>
      </c>
      <c r="D1590" s="2">
        <v>42540</v>
      </c>
      <c r="E1590" s="2" t="s">
        <v>87</v>
      </c>
      <c r="F1590" s="2" t="s">
        <v>221</v>
      </c>
      <c r="G1590" s="2" t="s">
        <v>222</v>
      </c>
      <c r="H1590" s="2" t="s">
        <v>24</v>
      </c>
      <c r="I1590" s="2" t="s">
        <v>25</v>
      </c>
      <c r="J1590" s="2" t="s">
        <v>3777</v>
      </c>
      <c r="K1590" s="2" t="s">
        <v>180</v>
      </c>
      <c r="L1590" s="2" t="s">
        <v>54</v>
      </c>
      <c r="M1590" s="2" t="s">
        <v>1853</v>
      </c>
      <c r="N1590" s="2" t="s">
        <v>30</v>
      </c>
      <c r="O1590" s="2" t="s">
        <v>56</v>
      </c>
      <c r="P1590" s="2" t="s">
        <v>1854</v>
      </c>
      <c r="Q1590" s="2">
        <v>266.35199999999998</v>
      </c>
      <c r="R1590" s="2">
        <v>3</v>
      </c>
      <c r="S1590" s="2">
        <v>-13.317600000000001</v>
      </c>
      <c r="T1590" s="2" t="s">
        <v>70</v>
      </c>
      <c r="U1590" s="2" t="s">
        <v>59</v>
      </c>
    </row>
    <row r="1591" spans="1:21" ht="14.25" customHeight="1" x14ac:dyDescent="0.3">
      <c r="A1591" s="2" t="s">
        <v>3776</v>
      </c>
      <c r="B1591" s="5">
        <v>42538</v>
      </c>
      <c r="C1591" s="2" t="str">
        <f>TEXT(data[[#This Row],[Order Date]],"YYYY")</f>
        <v>2016</v>
      </c>
      <c r="D1591" s="2">
        <v>42540</v>
      </c>
      <c r="E1591" s="2" t="s">
        <v>87</v>
      </c>
      <c r="F1591" s="2" t="s">
        <v>221</v>
      </c>
      <c r="G1591" s="2" t="s">
        <v>222</v>
      </c>
      <c r="H1591" s="2" t="s">
        <v>24</v>
      </c>
      <c r="I1591" s="2" t="s">
        <v>25</v>
      </c>
      <c r="J1591" s="2" t="s">
        <v>3777</v>
      </c>
      <c r="K1591" s="2" t="s">
        <v>180</v>
      </c>
      <c r="L1591" s="2" t="s">
        <v>54</v>
      </c>
      <c r="M1591" s="2" t="s">
        <v>656</v>
      </c>
      <c r="N1591" s="2" t="s">
        <v>30</v>
      </c>
      <c r="O1591" s="2" t="s">
        <v>36</v>
      </c>
      <c r="P1591" s="2" t="s">
        <v>657</v>
      </c>
      <c r="Q1591" s="2">
        <v>483.13600000000002</v>
      </c>
      <c r="R1591" s="2">
        <v>4</v>
      </c>
      <c r="S1591" s="2">
        <v>54.352800000000002</v>
      </c>
      <c r="T1591" s="2" t="s">
        <v>70</v>
      </c>
      <c r="U1591" s="2" t="s">
        <v>59</v>
      </c>
    </row>
    <row r="1592" spans="1:21" ht="14.25" customHeight="1" x14ac:dyDescent="0.3">
      <c r="A1592" s="2" t="s">
        <v>3778</v>
      </c>
      <c r="B1592" s="5">
        <v>42791</v>
      </c>
      <c r="C1592" s="2" t="str">
        <f>TEXT(data[[#This Row],[Order Date]],"YYYY")</f>
        <v>2017</v>
      </c>
      <c r="D1592" s="2">
        <v>42795</v>
      </c>
      <c r="E1592" s="2" t="s">
        <v>39</v>
      </c>
      <c r="F1592" s="2" t="s">
        <v>3348</v>
      </c>
      <c r="G1592" s="2" t="s">
        <v>3349</v>
      </c>
      <c r="H1592" s="2" t="s">
        <v>24</v>
      </c>
      <c r="I1592" s="2" t="s">
        <v>25</v>
      </c>
      <c r="J1592" s="2" t="s">
        <v>3779</v>
      </c>
      <c r="K1592" s="2" t="s">
        <v>1036</v>
      </c>
      <c r="L1592" s="2" t="s">
        <v>28</v>
      </c>
      <c r="M1592" s="2" t="s">
        <v>1028</v>
      </c>
      <c r="N1592" s="2" t="s">
        <v>30</v>
      </c>
      <c r="O1592" s="2" t="s">
        <v>36</v>
      </c>
      <c r="P1592" s="2" t="s">
        <v>1029</v>
      </c>
      <c r="Q1592" s="2">
        <v>196.78399999999999</v>
      </c>
      <c r="R1592" s="2">
        <v>2</v>
      </c>
      <c r="S1592" s="2">
        <v>-22.138200000000001</v>
      </c>
      <c r="T1592" s="2" t="s">
        <v>83</v>
      </c>
      <c r="U1592" s="2" t="s">
        <v>297</v>
      </c>
    </row>
    <row r="1593" spans="1:21" ht="14.25" customHeight="1" x14ac:dyDescent="0.3">
      <c r="A1593" s="2" t="s">
        <v>3778</v>
      </c>
      <c r="B1593" s="5">
        <v>42791</v>
      </c>
      <c r="C1593" s="2" t="str">
        <f>TEXT(data[[#This Row],[Order Date]],"YYYY")</f>
        <v>2017</v>
      </c>
      <c r="D1593" s="2">
        <v>42795</v>
      </c>
      <c r="E1593" s="2" t="s">
        <v>39</v>
      </c>
      <c r="F1593" s="2" t="s">
        <v>3348</v>
      </c>
      <c r="G1593" s="2" t="s">
        <v>3349</v>
      </c>
      <c r="H1593" s="2" t="s">
        <v>24</v>
      </c>
      <c r="I1593" s="2" t="s">
        <v>25</v>
      </c>
      <c r="J1593" s="2" t="s">
        <v>3779</v>
      </c>
      <c r="K1593" s="2" t="s">
        <v>1036</v>
      </c>
      <c r="L1593" s="2" t="s">
        <v>28</v>
      </c>
      <c r="M1593" s="2" t="s">
        <v>348</v>
      </c>
      <c r="N1593" s="2" t="s">
        <v>30</v>
      </c>
      <c r="O1593" s="2" t="s">
        <v>31</v>
      </c>
      <c r="P1593" s="2" t="s">
        <v>349</v>
      </c>
      <c r="Q1593" s="2">
        <v>231.92</v>
      </c>
      <c r="R1593" s="2">
        <v>5</v>
      </c>
      <c r="S1593" s="2">
        <v>5.798</v>
      </c>
      <c r="T1593" s="2" t="s">
        <v>83</v>
      </c>
      <c r="U1593" s="2" t="s">
        <v>297</v>
      </c>
    </row>
    <row r="1594" spans="1:21" ht="14.25" customHeight="1" x14ac:dyDescent="0.3">
      <c r="A1594" s="2" t="s">
        <v>3780</v>
      </c>
      <c r="B1594" s="5">
        <v>43072</v>
      </c>
      <c r="C1594" s="2" t="str">
        <f>TEXT(data[[#This Row],[Order Date]],"YYYY")</f>
        <v>2017</v>
      </c>
      <c r="D1594" s="2">
        <v>43077</v>
      </c>
      <c r="E1594" s="2" t="s">
        <v>39</v>
      </c>
      <c r="F1594" s="2" t="s">
        <v>1791</v>
      </c>
      <c r="G1594" s="2" t="s">
        <v>1792</v>
      </c>
      <c r="H1594" s="2" t="s">
        <v>24</v>
      </c>
      <c r="I1594" s="2" t="s">
        <v>25</v>
      </c>
      <c r="J1594" s="2" t="s">
        <v>101</v>
      </c>
      <c r="K1594" s="2" t="s">
        <v>92</v>
      </c>
      <c r="L1594" s="2" t="s">
        <v>93</v>
      </c>
      <c r="M1594" s="2" t="s">
        <v>3545</v>
      </c>
      <c r="N1594" s="2" t="s">
        <v>30</v>
      </c>
      <c r="O1594" s="2" t="s">
        <v>56</v>
      </c>
      <c r="P1594" s="2" t="s">
        <v>3546</v>
      </c>
      <c r="Q1594" s="2">
        <v>13.592000000000001</v>
      </c>
      <c r="R1594" s="2">
        <v>2</v>
      </c>
      <c r="S1594" s="2">
        <v>-14.271599999999999</v>
      </c>
      <c r="T1594" s="2" t="s">
        <v>58</v>
      </c>
      <c r="U1594" s="2" t="s">
        <v>96</v>
      </c>
    </row>
    <row r="1595" spans="1:21" ht="14.25" customHeight="1" x14ac:dyDescent="0.3">
      <c r="A1595" s="2" t="s">
        <v>3781</v>
      </c>
      <c r="B1595" s="5">
        <v>43071</v>
      </c>
      <c r="C1595" s="2" t="str">
        <f>TEXT(data[[#This Row],[Order Date]],"YYYY")</f>
        <v>2017</v>
      </c>
      <c r="D1595" s="2">
        <v>43075</v>
      </c>
      <c r="E1595" s="2" t="s">
        <v>39</v>
      </c>
      <c r="F1595" s="2" t="s">
        <v>3782</v>
      </c>
      <c r="G1595" s="2" t="s">
        <v>3783</v>
      </c>
      <c r="H1595" s="2" t="s">
        <v>90</v>
      </c>
      <c r="I1595" s="2" t="s">
        <v>25</v>
      </c>
      <c r="J1595" s="2" t="s">
        <v>265</v>
      </c>
      <c r="K1595" s="2" t="s">
        <v>180</v>
      </c>
      <c r="L1595" s="2" t="s">
        <v>54</v>
      </c>
      <c r="M1595" s="2" t="s">
        <v>2815</v>
      </c>
      <c r="N1595" s="2" t="s">
        <v>30</v>
      </c>
      <c r="O1595" s="2" t="s">
        <v>31</v>
      </c>
      <c r="P1595" s="2" t="s">
        <v>2816</v>
      </c>
      <c r="Q1595" s="2">
        <v>242.352</v>
      </c>
      <c r="R1595" s="2">
        <v>8</v>
      </c>
      <c r="S1595" s="2">
        <v>-363.52800000000002</v>
      </c>
      <c r="T1595" s="2" t="s">
        <v>83</v>
      </c>
      <c r="U1595" s="2" t="s">
        <v>96</v>
      </c>
    </row>
    <row r="1596" spans="1:21" ht="14.25" customHeight="1" x14ac:dyDescent="0.3">
      <c r="A1596" s="2" t="s">
        <v>3781</v>
      </c>
      <c r="B1596" s="5">
        <v>43071</v>
      </c>
      <c r="C1596" s="2" t="str">
        <f>TEXT(data[[#This Row],[Order Date]],"YYYY")</f>
        <v>2017</v>
      </c>
      <c r="D1596" s="2">
        <v>43075</v>
      </c>
      <c r="E1596" s="2" t="s">
        <v>39</v>
      </c>
      <c r="F1596" s="2" t="s">
        <v>3782</v>
      </c>
      <c r="G1596" s="2" t="s">
        <v>3783</v>
      </c>
      <c r="H1596" s="2" t="s">
        <v>90</v>
      </c>
      <c r="I1596" s="2" t="s">
        <v>25</v>
      </c>
      <c r="J1596" s="2" t="s">
        <v>265</v>
      </c>
      <c r="K1596" s="2" t="s">
        <v>180</v>
      </c>
      <c r="L1596" s="2" t="s">
        <v>54</v>
      </c>
      <c r="M1596" s="2" t="s">
        <v>1391</v>
      </c>
      <c r="N1596" s="2" t="s">
        <v>30</v>
      </c>
      <c r="O1596" s="2" t="s">
        <v>56</v>
      </c>
      <c r="P1596" s="2" t="s">
        <v>1392</v>
      </c>
      <c r="Q1596" s="2">
        <v>508.70400000000001</v>
      </c>
      <c r="R1596" s="2">
        <v>6</v>
      </c>
      <c r="S1596" s="2">
        <v>0</v>
      </c>
      <c r="T1596" s="2" t="s">
        <v>83</v>
      </c>
      <c r="U1596" s="2" t="s">
        <v>96</v>
      </c>
    </row>
    <row r="1597" spans="1:21" ht="14.25" customHeight="1" x14ac:dyDescent="0.3">
      <c r="A1597" s="2" t="s">
        <v>3781</v>
      </c>
      <c r="B1597" s="5">
        <v>43071</v>
      </c>
      <c r="C1597" s="2" t="str">
        <f>TEXT(data[[#This Row],[Order Date]],"YYYY")</f>
        <v>2017</v>
      </c>
      <c r="D1597" s="2">
        <v>43075</v>
      </c>
      <c r="E1597" s="2" t="s">
        <v>39</v>
      </c>
      <c r="F1597" s="2" t="s">
        <v>3782</v>
      </c>
      <c r="G1597" s="2" t="s">
        <v>3783</v>
      </c>
      <c r="H1597" s="2" t="s">
        <v>90</v>
      </c>
      <c r="I1597" s="2" t="s">
        <v>25</v>
      </c>
      <c r="J1597" s="2" t="s">
        <v>265</v>
      </c>
      <c r="K1597" s="2" t="s">
        <v>180</v>
      </c>
      <c r="L1597" s="2" t="s">
        <v>54</v>
      </c>
      <c r="M1597" s="2" t="s">
        <v>805</v>
      </c>
      <c r="N1597" s="2" t="s">
        <v>30</v>
      </c>
      <c r="O1597" s="2" t="s">
        <v>36</v>
      </c>
      <c r="P1597" s="2" t="s">
        <v>806</v>
      </c>
      <c r="Q1597" s="2">
        <v>906.68</v>
      </c>
      <c r="R1597" s="2">
        <v>5</v>
      </c>
      <c r="S1597" s="2">
        <v>68.001000000000005</v>
      </c>
      <c r="T1597" s="2" t="s">
        <v>83</v>
      </c>
      <c r="U1597" s="2" t="s">
        <v>96</v>
      </c>
    </row>
    <row r="1598" spans="1:21" ht="14.25" customHeight="1" x14ac:dyDescent="0.3">
      <c r="A1598" s="2" t="s">
        <v>3784</v>
      </c>
      <c r="B1598" s="5">
        <v>42618</v>
      </c>
      <c r="C1598" s="2" t="str">
        <f>TEXT(data[[#This Row],[Order Date]],"YYYY")</f>
        <v>2016</v>
      </c>
      <c r="D1598" s="2">
        <v>42620</v>
      </c>
      <c r="E1598" s="2" t="s">
        <v>87</v>
      </c>
      <c r="F1598" s="2" t="s">
        <v>1823</v>
      </c>
      <c r="G1598" s="2" t="s">
        <v>1824</v>
      </c>
      <c r="H1598" s="2" t="s">
        <v>90</v>
      </c>
      <c r="I1598" s="2" t="s">
        <v>25</v>
      </c>
      <c r="J1598" s="2" t="s">
        <v>101</v>
      </c>
      <c r="K1598" s="2" t="s">
        <v>92</v>
      </c>
      <c r="L1598" s="2" t="s">
        <v>93</v>
      </c>
      <c r="M1598" s="2" t="s">
        <v>1989</v>
      </c>
      <c r="N1598" s="2" t="s">
        <v>30</v>
      </c>
      <c r="O1598" s="2" t="s">
        <v>56</v>
      </c>
      <c r="P1598" s="2" t="s">
        <v>1990</v>
      </c>
      <c r="Q1598" s="2">
        <v>21.204000000000001</v>
      </c>
      <c r="R1598" s="2">
        <v>3</v>
      </c>
      <c r="S1598" s="2">
        <v>-11.6622</v>
      </c>
      <c r="T1598" s="2" t="s">
        <v>70</v>
      </c>
      <c r="U1598" s="2" t="s">
        <v>77</v>
      </c>
    </row>
    <row r="1599" spans="1:21" ht="14.25" customHeight="1" x14ac:dyDescent="0.3">
      <c r="A1599" s="2" t="s">
        <v>3785</v>
      </c>
      <c r="B1599" s="5">
        <v>41769</v>
      </c>
      <c r="C1599" s="2" t="str">
        <f>TEXT(data[[#This Row],[Order Date]],"YYYY")</f>
        <v>2014</v>
      </c>
      <c r="D1599" s="2">
        <v>41773</v>
      </c>
      <c r="E1599" s="2" t="s">
        <v>21</v>
      </c>
      <c r="F1599" s="2" t="s">
        <v>863</v>
      </c>
      <c r="G1599" s="2" t="s">
        <v>864</v>
      </c>
      <c r="H1599" s="2" t="s">
        <v>24</v>
      </c>
      <c r="I1599" s="2" t="s">
        <v>25</v>
      </c>
      <c r="J1599" s="2" t="s">
        <v>65</v>
      </c>
      <c r="K1599" s="2" t="s">
        <v>66</v>
      </c>
      <c r="L1599" s="2" t="s">
        <v>67</v>
      </c>
      <c r="M1599" s="2" t="s">
        <v>1136</v>
      </c>
      <c r="N1599" s="2" t="s">
        <v>30</v>
      </c>
      <c r="O1599" s="2" t="s">
        <v>31</v>
      </c>
      <c r="P1599" s="2" t="s">
        <v>1137</v>
      </c>
      <c r="Q1599" s="2">
        <v>349.96499999999997</v>
      </c>
      <c r="R1599" s="2">
        <v>7</v>
      </c>
      <c r="S1599" s="2">
        <v>-216.97829999999999</v>
      </c>
      <c r="T1599" s="2" t="s">
        <v>83</v>
      </c>
      <c r="U1599" s="2" t="s">
        <v>161</v>
      </c>
    </row>
    <row r="1600" spans="1:21" ht="14.25" customHeight="1" x14ac:dyDescent="0.3">
      <c r="A1600" s="2" t="s">
        <v>3786</v>
      </c>
      <c r="B1600" s="5">
        <v>41944</v>
      </c>
      <c r="C1600" s="2" t="str">
        <f>TEXT(data[[#This Row],[Order Date]],"YYYY")</f>
        <v>2014</v>
      </c>
      <c r="D1600" s="2">
        <v>41948</v>
      </c>
      <c r="E1600" s="2" t="s">
        <v>39</v>
      </c>
      <c r="F1600" s="2" t="s">
        <v>933</v>
      </c>
      <c r="G1600" s="2" t="s">
        <v>934</v>
      </c>
      <c r="H1600" s="2" t="s">
        <v>24</v>
      </c>
      <c r="I1600" s="2" t="s">
        <v>25</v>
      </c>
      <c r="J1600" s="2" t="s">
        <v>730</v>
      </c>
      <c r="K1600" s="2" t="s">
        <v>120</v>
      </c>
      <c r="L1600" s="2" t="s">
        <v>67</v>
      </c>
      <c r="M1600" s="2" t="s">
        <v>1658</v>
      </c>
      <c r="N1600" s="2" t="s">
        <v>30</v>
      </c>
      <c r="O1600" s="2" t="s">
        <v>56</v>
      </c>
      <c r="P1600" s="2" t="s">
        <v>1659</v>
      </c>
      <c r="Q1600" s="2">
        <v>31.68</v>
      </c>
      <c r="R1600" s="2">
        <v>6</v>
      </c>
      <c r="S1600" s="2">
        <v>9.8208000000000002</v>
      </c>
      <c r="T1600" s="2" t="s">
        <v>83</v>
      </c>
      <c r="U1600" s="2" t="s">
        <v>34</v>
      </c>
    </row>
    <row r="1601" spans="1:21" ht="14.25" customHeight="1" x14ac:dyDescent="0.3">
      <c r="A1601" s="2" t="s">
        <v>3787</v>
      </c>
      <c r="B1601" s="5">
        <v>42734</v>
      </c>
      <c r="C1601" s="2" t="str">
        <f>TEXT(data[[#This Row],[Order Date]],"YYYY")</f>
        <v>2016</v>
      </c>
      <c r="D1601" s="2">
        <v>42736</v>
      </c>
      <c r="E1601" s="2" t="s">
        <v>87</v>
      </c>
      <c r="F1601" s="2" t="s">
        <v>1060</v>
      </c>
      <c r="G1601" s="2" t="s">
        <v>1061</v>
      </c>
      <c r="H1601" s="2" t="s">
        <v>24</v>
      </c>
      <c r="I1601" s="2" t="s">
        <v>25</v>
      </c>
      <c r="J1601" s="2" t="s">
        <v>815</v>
      </c>
      <c r="K1601" s="2" t="s">
        <v>66</v>
      </c>
      <c r="L1601" s="2" t="s">
        <v>67</v>
      </c>
      <c r="M1601" s="2" t="s">
        <v>35</v>
      </c>
      <c r="N1601" s="2" t="s">
        <v>30</v>
      </c>
      <c r="O1601" s="2" t="s">
        <v>36</v>
      </c>
      <c r="P1601" s="2" t="s">
        <v>37</v>
      </c>
      <c r="Q1601" s="2">
        <v>170.786</v>
      </c>
      <c r="R1601" s="2">
        <v>1</v>
      </c>
      <c r="S1601" s="2">
        <v>0</v>
      </c>
      <c r="T1601" s="2" t="s">
        <v>70</v>
      </c>
      <c r="U1601" s="2" t="s">
        <v>96</v>
      </c>
    </row>
    <row r="1602" spans="1:21" ht="14.25" customHeight="1" x14ac:dyDescent="0.3">
      <c r="A1602" s="2" t="s">
        <v>3788</v>
      </c>
      <c r="B1602" s="5">
        <v>42616</v>
      </c>
      <c r="C1602" s="2" t="str">
        <f>TEXT(data[[#This Row],[Order Date]],"YYYY")</f>
        <v>2016</v>
      </c>
      <c r="D1602" s="2">
        <v>42620</v>
      </c>
      <c r="E1602" s="2" t="s">
        <v>39</v>
      </c>
      <c r="F1602" s="2" t="s">
        <v>3789</v>
      </c>
      <c r="G1602" s="2" t="s">
        <v>3790</v>
      </c>
      <c r="H1602" s="2" t="s">
        <v>24</v>
      </c>
      <c r="I1602" s="2" t="s">
        <v>25</v>
      </c>
      <c r="J1602" s="2" t="s">
        <v>133</v>
      </c>
      <c r="K1602" s="2" t="s">
        <v>134</v>
      </c>
      <c r="L1602" s="2" t="s">
        <v>93</v>
      </c>
      <c r="M1602" s="2" t="s">
        <v>2743</v>
      </c>
      <c r="N1602" s="2" t="s">
        <v>30</v>
      </c>
      <c r="O1602" s="2" t="s">
        <v>31</v>
      </c>
      <c r="P1602" s="2" t="s">
        <v>2744</v>
      </c>
      <c r="Q1602" s="2">
        <v>198.744</v>
      </c>
      <c r="R1602" s="2">
        <v>4</v>
      </c>
      <c r="S1602" s="2">
        <v>0</v>
      </c>
      <c r="T1602" s="2" t="s">
        <v>83</v>
      </c>
      <c r="U1602" s="2" t="s">
        <v>77</v>
      </c>
    </row>
    <row r="1603" spans="1:21" ht="14.25" customHeight="1" x14ac:dyDescent="0.3">
      <c r="A1603" s="2" t="s">
        <v>3791</v>
      </c>
      <c r="B1603" s="5">
        <v>42399</v>
      </c>
      <c r="C1603" s="2" t="str">
        <f>TEXT(data[[#This Row],[Order Date]],"YYYY")</f>
        <v>2016</v>
      </c>
      <c r="D1603" s="2">
        <v>42401</v>
      </c>
      <c r="E1603" s="2" t="s">
        <v>21</v>
      </c>
      <c r="F1603" s="2" t="s">
        <v>3792</v>
      </c>
      <c r="G1603" s="2" t="s">
        <v>3793</v>
      </c>
      <c r="H1603" s="2" t="s">
        <v>24</v>
      </c>
      <c r="I1603" s="2" t="s">
        <v>25</v>
      </c>
      <c r="J1603" s="2" t="s">
        <v>191</v>
      </c>
      <c r="K1603" s="2" t="s">
        <v>192</v>
      </c>
      <c r="L1603" s="2" t="s">
        <v>54</v>
      </c>
      <c r="M1603" s="2" t="s">
        <v>1918</v>
      </c>
      <c r="N1603" s="2" t="s">
        <v>30</v>
      </c>
      <c r="O1603" s="2" t="s">
        <v>36</v>
      </c>
      <c r="P1603" s="2" t="s">
        <v>1919</v>
      </c>
      <c r="Q1603" s="2">
        <v>435.16800000000001</v>
      </c>
      <c r="R1603" s="2">
        <v>4</v>
      </c>
      <c r="S1603" s="2">
        <v>-59.835599999999999</v>
      </c>
      <c r="T1603" s="2" t="s">
        <v>70</v>
      </c>
      <c r="U1603" s="2" t="s">
        <v>169</v>
      </c>
    </row>
    <row r="1604" spans="1:21" ht="14.25" customHeight="1" x14ac:dyDescent="0.3">
      <c r="A1604" s="2" t="s">
        <v>3791</v>
      </c>
      <c r="B1604" s="5">
        <v>42399</v>
      </c>
      <c r="C1604" s="2" t="str">
        <f>TEXT(data[[#This Row],[Order Date]],"YYYY")</f>
        <v>2016</v>
      </c>
      <c r="D1604" s="2">
        <v>42401</v>
      </c>
      <c r="E1604" s="2" t="s">
        <v>21</v>
      </c>
      <c r="F1604" s="2" t="s">
        <v>3792</v>
      </c>
      <c r="G1604" s="2" t="s">
        <v>3793</v>
      </c>
      <c r="H1604" s="2" t="s">
        <v>24</v>
      </c>
      <c r="I1604" s="2" t="s">
        <v>25</v>
      </c>
      <c r="J1604" s="2" t="s">
        <v>191</v>
      </c>
      <c r="K1604" s="2" t="s">
        <v>192</v>
      </c>
      <c r="L1604" s="2" t="s">
        <v>54</v>
      </c>
      <c r="M1604" s="2" t="s">
        <v>1603</v>
      </c>
      <c r="N1604" s="2" t="s">
        <v>30</v>
      </c>
      <c r="O1604" s="2" t="s">
        <v>31</v>
      </c>
      <c r="P1604" s="2" t="s">
        <v>1604</v>
      </c>
      <c r="Q1604" s="2">
        <v>48.58</v>
      </c>
      <c r="R1604" s="2">
        <v>1</v>
      </c>
      <c r="S1604" s="2">
        <v>7.7728000000000002</v>
      </c>
      <c r="T1604" s="2" t="s">
        <v>70</v>
      </c>
      <c r="U1604" s="2" t="s">
        <v>169</v>
      </c>
    </row>
    <row r="1605" spans="1:21" ht="14.25" customHeight="1" x14ac:dyDescent="0.3">
      <c r="A1605" s="2" t="s">
        <v>3794</v>
      </c>
      <c r="B1605" s="5">
        <v>41933</v>
      </c>
      <c r="C1605" s="2" t="str">
        <f>TEXT(data[[#This Row],[Order Date]],"YYYY")</f>
        <v>2014</v>
      </c>
      <c r="D1605" s="2">
        <v>41938</v>
      </c>
      <c r="E1605" s="2" t="s">
        <v>39</v>
      </c>
      <c r="F1605" s="2" t="s">
        <v>1545</v>
      </c>
      <c r="G1605" s="2" t="s">
        <v>1546</v>
      </c>
      <c r="H1605" s="2" t="s">
        <v>90</v>
      </c>
      <c r="I1605" s="2" t="s">
        <v>25</v>
      </c>
      <c r="J1605" s="2" t="s">
        <v>3795</v>
      </c>
      <c r="K1605" s="2" t="s">
        <v>716</v>
      </c>
      <c r="L1605" s="2" t="s">
        <v>28</v>
      </c>
      <c r="M1605" s="2" t="s">
        <v>1465</v>
      </c>
      <c r="N1605" s="2" t="s">
        <v>30</v>
      </c>
      <c r="O1605" s="2" t="s">
        <v>45</v>
      </c>
      <c r="P1605" s="2" t="s">
        <v>1466</v>
      </c>
      <c r="Q1605" s="2">
        <v>591.32000000000005</v>
      </c>
      <c r="R1605" s="2">
        <v>4</v>
      </c>
      <c r="S1605" s="2">
        <v>112.35080000000001</v>
      </c>
      <c r="T1605" s="2" t="s">
        <v>58</v>
      </c>
      <c r="U1605" s="2" t="s">
        <v>48</v>
      </c>
    </row>
    <row r="1606" spans="1:21" ht="14.25" customHeight="1" x14ac:dyDescent="0.3">
      <c r="A1606" s="2" t="s">
        <v>3796</v>
      </c>
      <c r="B1606" s="5">
        <v>42722</v>
      </c>
      <c r="C1606" s="2" t="str">
        <f>TEXT(data[[#This Row],[Order Date]],"YYYY")</f>
        <v>2016</v>
      </c>
      <c r="D1606" s="2">
        <v>42725</v>
      </c>
      <c r="E1606" s="2" t="s">
        <v>87</v>
      </c>
      <c r="F1606" s="2" t="s">
        <v>171</v>
      </c>
      <c r="G1606" s="2" t="s">
        <v>172</v>
      </c>
      <c r="H1606" s="2" t="s">
        <v>100</v>
      </c>
      <c r="I1606" s="2" t="s">
        <v>25</v>
      </c>
      <c r="J1606" s="2" t="s">
        <v>840</v>
      </c>
      <c r="K1606" s="2" t="s">
        <v>841</v>
      </c>
      <c r="L1606" s="2" t="s">
        <v>93</v>
      </c>
      <c r="M1606" s="2" t="s">
        <v>625</v>
      </c>
      <c r="N1606" s="2" t="s">
        <v>30</v>
      </c>
      <c r="O1606" s="2" t="s">
        <v>36</v>
      </c>
      <c r="P1606" s="2" t="s">
        <v>626</v>
      </c>
      <c r="Q1606" s="2">
        <v>563.94000000000005</v>
      </c>
      <c r="R1606" s="2">
        <v>3</v>
      </c>
      <c r="S1606" s="2">
        <v>112.788</v>
      </c>
      <c r="T1606" s="2" t="s">
        <v>33</v>
      </c>
      <c r="U1606" s="2" t="s">
        <v>96</v>
      </c>
    </row>
    <row r="1607" spans="1:21" ht="14.25" customHeight="1" x14ac:dyDescent="0.3">
      <c r="A1607" s="2" t="s">
        <v>3797</v>
      </c>
      <c r="B1607" s="5">
        <v>42110</v>
      </c>
      <c r="C1607" s="2" t="str">
        <f>TEXT(data[[#This Row],[Order Date]],"YYYY")</f>
        <v>2015</v>
      </c>
      <c r="D1607" s="2">
        <v>42115</v>
      </c>
      <c r="E1607" s="2" t="s">
        <v>39</v>
      </c>
      <c r="F1607" s="2" t="s">
        <v>2124</v>
      </c>
      <c r="G1607" s="2" t="s">
        <v>2125</v>
      </c>
      <c r="H1607" s="2" t="s">
        <v>90</v>
      </c>
      <c r="I1607" s="2" t="s">
        <v>25</v>
      </c>
      <c r="J1607" s="2" t="s">
        <v>173</v>
      </c>
      <c r="K1607" s="2" t="s">
        <v>120</v>
      </c>
      <c r="L1607" s="2" t="s">
        <v>67</v>
      </c>
      <c r="M1607" s="2" t="s">
        <v>121</v>
      </c>
      <c r="N1607" s="2" t="s">
        <v>30</v>
      </c>
      <c r="O1607" s="2" t="s">
        <v>36</v>
      </c>
      <c r="P1607" s="2" t="s">
        <v>122</v>
      </c>
      <c r="Q1607" s="2">
        <v>127.764</v>
      </c>
      <c r="R1607" s="2">
        <v>2</v>
      </c>
      <c r="S1607" s="2">
        <v>2.8391999999999999</v>
      </c>
      <c r="T1607" s="2" t="s">
        <v>58</v>
      </c>
      <c r="U1607" s="2" t="s">
        <v>113</v>
      </c>
    </row>
    <row r="1608" spans="1:21" ht="14.25" customHeight="1" x14ac:dyDescent="0.3">
      <c r="A1608" s="2" t="s">
        <v>3798</v>
      </c>
      <c r="B1608" s="5">
        <v>43055</v>
      </c>
      <c r="C1608" s="2" t="str">
        <f>TEXT(data[[#This Row],[Order Date]],"YYYY")</f>
        <v>2017</v>
      </c>
      <c r="D1608" s="2">
        <v>43061</v>
      </c>
      <c r="E1608" s="2" t="s">
        <v>39</v>
      </c>
      <c r="F1608" s="2" t="s">
        <v>1293</v>
      </c>
      <c r="G1608" s="2" t="s">
        <v>1294</v>
      </c>
      <c r="H1608" s="2" t="s">
        <v>24</v>
      </c>
      <c r="I1608" s="2" t="s">
        <v>25</v>
      </c>
      <c r="J1608" s="2" t="s">
        <v>223</v>
      </c>
      <c r="K1608" s="2" t="s">
        <v>53</v>
      </c>
      <c r="L1608" s="2" t="s">
        <v>54</v>
      </c>
      <c r="M1608" s="2" t="s">
        <v>1496</v>
      </c>
      <c r="N1608" s="2" t="s">
        <v>30</v>
      </c>
      <c r="O1608" s="2" t="s">
        <v>56</v>
      </c>
      <c r="P1608" s="2" t="s">
        <v>1497</v>
      </c>
      <c r="Q1608" s="2">
        <v>17.309999999999999</v>
      </c>
      <c r="R1608" s="2">
        <v>3</v>
      </c>
      <c r="S1608" s="2">
        <v>5.1929999999999996</v>
      </c>
      <c r="T1608" s="2" t="s">
        <v>129</v>
      </c>
      <c r="U1608" s="2" t="s">
        <v>34</v>
      </c>
    </row>
    <row r="1609" spans="1:21" ht="14.25" customHeight="1" x14ac:dyDescent="0.3">
      <c r="A1609" s="2" t="s">
        <v>3799</v>
      </c>
      <c r="B1609" s="5">
        <v>42618</v>
      </c>
      <c r="C1609" s="2" t="str">
        <f>TEXT(data[[#This Row],[Order Date]],"YYYY")</f>
        <v>2016</v>
      </c>
      <c r="D1609" s="2">
        <v>42622</v>
      </c>
      <c r="E1609" s="2" t="s">
        <v>39</v>
      </c>
      <c r="F1609" s="2" t="s">
        <v>3170</v>
      </c>
      <c r="G1609" s="2" t="s">
        <v>3171</v>
      </c>
      <c r="H1609" s="2" t="s">
        <v>24</v>
      </c>
      <c r="I1609" s="2" t="s">
        <v>25</v>
      </c>
      <c r="J1609" s="2" t="s">
        <v>65</v>
      </c>
      <c r="K1609" s="2" t="s">
        <v>66</v>
      </c>
      <c r="L1609" s="2" t="s">
        <v>67</v>
      </c>
      <c r="M1609" s="2" t="s">
        <v>149</v>
      </c>
      <c r="N1609" s="2" t="s">
        <v>30</v>
      </c>
      <c r="O1609" s="2" t="s">
        <v>56</v>
      </c>
      <c r="P1609" s="2" t="s">
        <v>150</v>
      </c>
      <c r="Q1609" s="2">
        <v>58.247999999999998</v>
      </c>
      <c r="R1609" s="2">
        <v>9</v>
      </c>
      <c r="S1609" s="2">
        <v>11.6496</v>
      </c>
      <c r="T1609" s="2" t="s">
        <v>83</v>
      </c>
      <c r="U1609" s="2" t="s">
        <v>77</v>
      </c>
    </row>
    <row r="1610" spans="1:21" ht="14.25" customHeight="1" x14ac:dyDescent="0.3">
      <c r="A1610" s="2" t="s">
        <v>3799</v>
      </c>
      <c r="B1610" s="5">
        <v>42618</v>
      </c>
      <c r="C1610" s="2" t="str">
        <f>TEXT(data[[#This Row],[Order Date]],"YYYY")</f>
        <v>2016</v>
      </c>
      <c r="D1610" s="2">
        <v>42622</v>
      </c>
      <c r="E1610" s="2" t="s">
        <v>39</v>
      </c>
      <c r="F1610" s="2" t="s">
        <v>3170</v>
      </c>
      <c r="G1610" s="2" t="s">
        <v>3171</v>
      </c>
      <c r="H1610" s="2" t="s">
        <v>24</v>
      </c>
      <c r="I1610" s="2" t="s">
        <v>25</v>
      </c>
      <c r="J1610" s="2" t="s">
        <v>65</v>
      </c>
      <c r="K1610" s="2" t="s">
        <v>66</v>
      </c>
      <c r="L1610" s="2" t="s">
        <v>67</v>
      </c>
      <c r="M1610" s="2" t="s">
        <v>135</v>
      </c>
      <c r="N1610" s="2" t="s">
        <v>30</v>
      </c>
      <c r="O1610" s="2" t="s">
        <v>36</v>
      </c>
      <c r="P1610" s="2" t="s">
        <v>217</v>
      </c>
      <c r="Q1610" s="2">
        <v>71.245999999999995</v>
      </c>
      <c r="R1610" s="2">
        <v>2</v>
      </c>
      <c r="S1610" s="2">
        <v>-19.338200000000001</v>
      </c>
      <c r="T1610" s="2" t="s">
        <v>83</v>
      </c>
      <c r="U1610" s="2" t="s">
        <v>77</v>
      </c>
    </row>
    <row r="1611" spans="1:21" ht="14.25" customHeight="1" x14ac:dyDescent="0.3">
      <c r="A1611" s="2" t="s">
        <v>3799</v>
      </c>
      <c r="B1611" s="5">
        <v>42618</v>
      </c>
      <c r="C1611" s="2" t="str">
        <f>TEXT(data[[#This Row],[Order Date]],"YYYY")</f>
        <v>2016</v>
      </c>
      <c r="D1611" s="2">
        <v>42622</v>
      </c>
      <c r="E1611" s="2" t="s">
        <v>39</v>
      </c>
      <c r="F1611" s="2" t="s">
        <v>3170</v>
      </c>
      <c r="G1611" s="2" t="s">
        <v>3171</v>
      </c>
      <c r="H1611" s="2" t="s">
        <v>24</v>
      </c>
      <c r="I1611" s="2" t="s">
        <v>25</v>
      </c>
      <c r="J1611" s="2" t="s">
        <v>65</v>
      </c>
      <c r="K1611" s="2" t="s">
        <v>66</v>
      </c>
      <c r="L1611" s="2" t="s">
        <v>67</v>
      </c>
      <c r="M1611" s="2" t="s">
        <v>981</v>
      </c>
      <c r="N1611" s="2" t="s">
        <v>30</v>
      </c>
      <c r="O1611" s="2" t="s">
        <v>36</v>
      </c>
      <c r="P1611" s="2" t="s">
        <v>982</v>
      </c>
      <c r="Q1611" s="2">
        <v>887.27099999999996</v>
      </c>
      <c r="R1611" s="2">
        <v>3</v>
      </c>
      <c r="S1611" s="2">
        <v>-63.3765</v>
      </c>
      <c r="T1611" s="2" t="s">
        <v>83</v>
      </c>
      <c r="U1611" s="2" t="s">
        <v>77</v>
      </c>
    </row>
    <row r="1612" spans="1:21" ht="14.25" customHeight="1" x14ac:dyDescent="0.3">
      <c r="A1612" s="2" t="s">
        <v>3800</v>
      </c>
      <c r="B1612" s="5">
        <v>42517</v>
      </c>
      <c r="C1612" s="2" t="str">
        <f>TEXT(data[[#This Row],[Order Date]],"YYYY")</f>
        <v>2016</v>
      </c>
      <c r="D1612" s="2">
        <v>42521</v>
      </c>
      <c r="E1612" s="2" t="s">
        <v>39</v>
      </c>
      <c r="F1612" s="2" t="s">
        <v>3298</v>
      </c>
      <c r="G1612" s="2" t="s">
        <v>3299</v>
      </c>
      <c r="H1612" s="2" t="s">
        <v>24</v>
      </c>
      <c r="I1612" s="2" t="s">
        <v>25</v>
      </c>
      <c r="J1612" s="2" t="s">
        <v>133</v>
      </c>
      <c r="K1612" s="2" t="s">
        <v>134</v>
      </c>
      <c r="L1612" s="2" t="s">
        <v>93</v>
      </c>
      <c r="M1612" s="2" t="s">
        <v>2281</v>
      </c>
      <c r="N1612" s="2" t="s">
        <v>30</v>
      </c>
      <c r="O1612" s="2" t="s">
        <v>56</v>
      </c>
      <c r="P1612" s="2" t="s">
        <v>2282</v>
      </c>
      <c r="Q1612" s="2">
        <v>25.175999999999998</v>
      </c>
      <c r="R1612" s="2">
        <v>3</v>
      </c>
      <c r="S1612" s="2">
        <v>-33.358199999999997</v>
      </c>
      <c r="T1612" s="2" t="s">
        <v>83</v>
      </c>
      <c r="U1612" s="2" t="s">
        <v>161</v>
      </c>
    </row>
    <row r="1613" spans="1:21" ht="14.25" customHeight="1" x14ac:dyDescent="0.3">
      <c r="A1613" s="2" t="s">
        <v>3800</v>
      </c>
      <c r="B1613" s="5">
        <v>42517</v>
      </c>
      <c r="C1613" s="2" t="str">
        <f>TEXT(data[[#This Row],[Order Date]],"YYYY")</f>
        <v>2016</v>
      </c>
      <c r="D1613" s="2">
        <v>42521</v>
      </c>
      <c r="E1613" s="2" t="s">
        <v>39</v>
      </c>
      <c r="F1613" s="2" t="s">
        <v>3298</v>
      </c>
      <c r="G1613" s="2" t="s">
        <v>3299</v>
      </c>
      <c r="H1613" s="2" t="s">
        <v>24</v>
      </c>
      <c r="I1613" s="2" t="s">
        <v>25</v>
      </c>
      <c r="J1613" s="2" t="s">
        <v>133</v>
      </c>
      <c r="K1613" s="2" t="s">
        <v>134</v>
      </c>
      <c r="L1613" s="2" t="s">
        <v>93</v>
      </c>
      <c r="M1613" s="2" t="s">
        <v>977</v>
      </c>
      <c r="N1613" s="2" t="s">
        <v>30</v>
      </c>
      <c r="O1613" s="2" t="s">
        <v>56</v>
      </c>
      <c r="P1613" s="2" t="s">
        <v>978</v>
      </c>
      <c r="Q1613" s="2">
        <v>5.5839999999999996</v>
      </c>
      <c r="R1613" s="2">
        <v>2</v>
      </c>
      <c r="S1613" s="2">
        <v>-1.6752</v>
      </c>
      <c r="T1613" s="2" t="s">
        <v>83</v>
      </c>
      <c r="U1613" s="2" t="s">
        <v>161</v>
      </c>
    </row>
    <row r="1614" spans="1:21" ht="14.25" customHeight="1" x14ac:dyDescent="0.3">
      <c r="A1614" s="2" t="s">
        <v>3801</v>
      </c>
      <c r="B1614" s="5">
        <v>42240</v>
      </c>
      <c r="C1614" s="2" t="str">
        <f>TEXT(data[[#This Row],[Order Date]],"YYYY")</f>
        <v>2015</v>
      </c>
      <c r="D1614" s="2">
        <v>42244</v>
      </c>
      <c r="E1614" s="2" t="s">
        <v>21</v>
      </c>
      <c r="F1614" s="2" t="s">
        <v>2136</v>
      </c>
      <c r="G1614" s="2" t="s">
        <v>2137</v>
      </c>
      <c r="H1614" s="2" t="s">
        <v>24</v>
      </c>
      <c r="I1614" s="2" t="s">
        <v>25</v>
      </c>
      <c r="J1614" s="2" t="s">
        <v>173</v>
      </c>
      <c r="K1614" s="2" t="s">
        <v>120</v>
      </c>
      <c r="L1614" s="2" t="s">
        <v>67</v>
      </c>
      <c r="M1614" s="2" t="s">
        <v>650</v>
      </c>
      <c r="N1614" s="2" t="s">
        <v>30</v>
      </c>
      <c r="O1614" s="2" t="s">
        <v>56</v>
      </c>
      <c r="P1614" s="2" t="s">
        <v>651</v>
      </c>
      <c r="Q1614" s="2">
        <v>14.91</v>
      </c>
      <c r="R1614" s="2">
        <v>3</v>
      </c>
      <c r="S1614" s="2">
        <v>4.6220999999999997</v>
      </c>
      <c r="T1614" s="2" t="s">
        <v>83</v>
      </c>
      <c r="U1614" s="2" t="s">
        <v>253</v>
      </c>
    </row>
    <row r="1615" spans="1:21" ht="14.25" customHeight="1" x14ac:dyDescent="0.3">
      <c r="A1615" s="2" t="s">
        <v>3802</v>
      </c>
      <c r="B1615" s="5">
        <v>43035</v>
      </c>
      <c r="C1615" s="2" t="str">
        <f>TEXT(data[[#This Row],[Order Date]],"YYYY")</f>
        <v>2017</v>
      </c>
      <c r="D1615" s="2">
        <v>43037</v>
      </c>
      <c r="E1615" s="2" t="s">
        <v>87</v>
      </c>
      <c r="F1615" s="2" t="s">
        <v>3803</v>
      </c>
      <c r="G1615" s="2" t="s">
        <v>3804</v>
      </c>
      <c r="H1615" s="2" t="s">
        <v>90</v>
      </c>
      <c r="I1615" s="2" t="s">
        <v>25</v>
      </c>
      <c r="J1615" s="2" t="s">
        <v>52</v>
      </c>
      <c r="K1615" s="2" t="s">
        <v>53</v>
      </c>
      <c r="L1615" s="2" t="s">
        <v>54</v>
      </c>
      <c r="M1615" s="2" t="s">
        <v>60</v>
      </c>
      <c r="N1615" s="2" t="s">
        <v>30</v>
      </c>
      <c r="O1615" s="2" t="s">
        <v>45</v>
      </c>
      <c r="P1615" s="2" t="s">
        <v>61</v>
      </c>
      <c r="Q1615" s="2">
        <v>189.57599999999999</v>
      </c>
      <c r="R1615" s="2">
        <v>1</v>
      </c>
      <c r="S1615" s="2">
        <v>9.4787999999999997</v>
      </c>
      <c r="T1615" s="2" t="s">
        <v>70</v>
      </c>
      <c r="U1615" s="2" t="s">
        <v>48</v>
      </c>
    </row>
    <row r="1616" spans="1:21" ht="14.25" customHeight="1" x14ac:dyDescent="0.3">
      <c r="A1616" s="2" t="s">
        <v>3805</v>
      </c>
      <c r="B1616" s="5">
        <v>41968</v>
      </c>
      <c r="C1616" s="2" t="str">
        <f>TEXT(data[[#This Row],[Order Date]],"YYYY")</f>
        <v>2014</v>
      </c>
      <c r="D1616" s="2">
        <v>41972</v>
      </c>
      <c r="E1616" s="2" t="s">
        <v>39</v>
      </c>
      <c r="F1616" s="2" t="s">
        <v>2940</v>
      </c>
      <c r="G1616" s="2" t="s">
        <v>2941</v>
      </c>
      <c r="H1616" s="2" t="s">
        <v>24</v>
      </c>
      <c r="I1616" s="2" t="s">
        <v>25</v>
      </c>
      <c r="J1616" s="2" t="s">
        <v>52</v>
      </c>
      <c r="K1616" s="2" t="s">
        <v>53</v>
      </c>
      <c r="L1616" s="2" t="s">
        <v>54</v>
      </c>
      <c r="M1616" s="2" t="s">
        <v>805</v>
      </c>
      <c r="N1616" s="2" t="s">
        <v>30</v>
      </c>
      <c r="O1616" s="2" t="s">
        <v>36</v>
      </c>
      <c r="P1616" s="2" t="s">
        <v>806</v>
      </c>
      <c r="Q1616" s="2">
        <v>725.34400000000005</v>
      </c>
      <c r="R1616" s="2">
        <v>4</v>
      </c>
      <c r="S1616" s="2">
        <v>54.400799999999997</v>
      </c>
      <c r="T1616" s="2" t="s">
        <v>83</v>
      </c>
      <c r="U1616" s="2" t="s">
        <v>34</v>
      </c>
    </row>
    <row r="1617" spans="1:21" ht="14.25" customHeight="1" x14ac:dyDescent="0.3">
      <c r="A1617" s="2" t="s">
        <v>3806</v>
      </c>
      <c r="B1617" s="5">
        <v>42147</v>
      </c>
      <c r="C1617" s="2" t="str">
        <f>TEXT(data[[#This Row],[Order Date]],"YYYY")</f>
        <v>2015</v>
      </c>
      <c r="D1617" s="2">
        <v>42151</v>
      </c>
      <c r="E1617" s="2" t="s">
        <v>21</v>
      </c>
      <c r="F1617" s="2" t="s">
        <v>392</v>
      </c>
      <c r="G1617" s="2" t="s">
        <v>393</v>
      </c>
      <c r="H1617" s="2" t="s">
        <v>100</v>
      </c>
      <c r="I1617" s="2" t="s">
        <v>25</v>
      </c>
      <c r="J1617" s="2" t="s">
        <v>288</v>
      </c>
      <c r="K1617" s="2" t="s">
        <v>289</v>
      </c>
      <c r="L1617" s="2" t="s">
        <v>93</v>
      </c>
      <c r="M1617" s="2" t="s">
        <v>1147</v>
      </c>
      <c r="N1617" s="2" t="s">
        <v>30</v>
      </c>
      <c r="O1617" s="2" t="s">
        <v>56</v>
      </c>
      <c r="P1617" s="2" t="s">
        <v>1148</v>
      </c>
      <c r="Q1617" s="2">
        <v>75.33</v>
      </c>
      <c r="R1617" s="2">
        <v>9</v>
      </c>
      <c r="S1617" s="2">
        <v>19.585799999999999</v>
      </c>
      <c r="T1617" s="2" t="s">
        <v>83</v>
      </c>
      <c r="U1617" s="2" t="s">
        <v>161</v>
      </c>
    </row>
    <row r="1618" spans="1:21" ht="14.25" customHeight="1" x14ac:dyDescent="0.3">
      <c r="A1618" s="2" t="s">
        <v>3807</v>
      </c>
      <c r="B1618" s="5">
        <v>41728</v>
      </c>
      <c r="C1618" s="2" t="str">
        <f>TEXT(data[[#This Row],[Order Date]],"YYYY")</f>
        <v>2014</v>
      </c>
      <c r="D1618" s="2">
        <v>41730</v>
      </c>
      <c r="E1618" s="2" t="s">
        <v>87</v>
      </c>
      <c r="F1618" s="2" t="s">
        <v>258</v>
      </c>
      <c r="G1618" s="2" t="s">
        <v>259</v>
      </c>
      <c r="H1618" s="2" t="s">
        <v>100</v>
      </c>
      <c r="I1618" s="2" t="s">
        <v>25</v>
      </c>
      <c r="J1618" s="2" t="s">
        <v>2249</v>
      </c>
      <c r="K1618" s="2" t="s">
        <v>92</v>
      </c>
      <c r="L1618" s="2" t="s">
        <v>93</v>
      </c>
      <c r="M1618" s="2" t="s">
        <v>1003</v>
      </c>
      <c r="N1618" s="2" t="s">
        <v>30</v>
      </c>
      <c r="O1618" s="2" t="s">
        <v>36</v>
      </c>
      <c r="P1618" s="2" t="s">
        <v>1004</v>
      </c>
      <c r="Q1618" s="2">
        <v>127.30200000000001</v>
      </c>
      <c r="R1618" s="2">
        <v>7</v>
      </c>
      <c r="S1618" s="2">
        <v>-9.093</v>
      </c>
      <c r="T1618" s="2" t="s">
        <v>70</v>
      </c>
      <c r="U1618" s="2" t="s">
        <v>195</v>
      </c>
    </row>
    <row r="1619" spans="1:21" ht="14.25" customHeight="1" x14ac:dyDescent="0.3">
      <c r="A1619" s="2" t="s">
        <v>3808</v>
      </c>
      <c r="B1619" s="5">
        <v>43098</v>
      </c>
      <c r="C1619" s="2" t="str">
        <f>TEXT(data[[#This Row],[Order Date]],"YYYY")</f>
        <v>2017</v>
      </c>
      <c r="D1619" s="2">
        <v>43101</v>
      </c>
      <c r="E1619" s="2" t="s">
        <v>21</v>
      </c>
      <c r="F1619" s="2" t="s">
        <v>925</v>
      </c>
      <c r="G1619" s="2" t="s">
        <v>926</v>
      </c>
      <c r="H1619" s="2" t="s">
        <v>24</v>
      </c>
      <c r="I1619" s="2" t="s">
        <v>25</v>
      </c>
      <c r="J1619" s="2" t="s">
        <v>865</v>
      </c>
      <c r="K1619" s="2" t="s">
        <v>27</v>
      </c>
      <c r="L1619" s="2" t="s">
        <v>28</v>
      </c>
      <c r="M1619" s="2" t="s">
        <v>394</v>
      </c>
      <c r="N1619" s="2" t="s">
        <v>30</v>
      </c>
      <c r="O1619" s="2" t="s">
        <v>36</v>
      </c>
      <c r="P1619" s="2" t="s">
        <v>395</v>
      </c>
      <c r="Q1619" s="2">
        <v>1207.8399999999999</v>
      </c>
      <c r="R1619" s="2">
        <v>8</v>
      </c>
      <c r="S1619" s="2">
        <v>314.03840000000002</v>
      </c>
      <c r="T1619" s="2" t="s">
        <v>33</v>
      </c>
      <c r="U1619" s="2" t="s">
        <v>96</v>
      </c>
    </row>
    <row r="1620" spans="1:21" ht="14.25" customHeight="1" x14ac:dyDescent="0.3">
      <c r="A1620" s="2" t="s">
        <v>3808</v>
      </c>
      <c r="B1620" s="5">
        <v>43098</v>
      </c>
      <c r="C1620" s="2" t="str">
        <f>TEXT(data[[#This Row],[Order Date]],"YYYY")</f>
        <v>2017</v>
      </c>
      <c r="D1620" s="2">
        <v>43101</v>
      </c>
      <c r="E1620" s="2" t="s">
        <v>21</v>
      </c>
      <c r="F1620" s="2" t="s">
        <v>925</v>
      </c>
      <c r="G1620" s="2" t="s">
        <v>926</v>
      </c>
      <c r="H1620" s="2" t="s">
        <v>24</v>
      </c>
      <c r="I1620" s="2" t="s">
        <v>25</v>
      </c>
      <c r="J1620" s="2" t="s">
        <v>865</v>
      </c>
      <c r="K1620" s="2" t="s">
        <v>27</v>
      </c>
      <c r="L1620" s="2" t="s">
        <v>28</v>
      </c>
      <c r="M1620" s="2" t="s">
        <v>2334</v>
      </c>
      <c r="N1620" s="2" t="s">
        <v>30</v>
      </c>
      <c r="O1620" s="2" t="s">
        <v>36</v>
      </c>
      <c r="P1620" s="2" t="s">
        <v>2335</v>
      </c>
      <c r="Q1620" s="2">
        <v>300.98</v>
      </c>
      <c r="R1620" s="2">
        <v>1</v>
      </c>
      <c r="S1620" s="2">
        <v>87.284199999999998</v>
      </c>
      <c r="T1620" s="2" t="s">
        <v>33</v>
      </c>
      <c r="U1620" s="2" t="s">
        <v>96</v>
      </c>
    </row>
    <row r="1621" spans="1:21" ht="14.25" customHeight="1" x14ac:dyDescent="0.3">
      <c r="A1621" s="2" t="s">
        <v>3808</v>
      </c>
      <c r="B1621" s="5">
        <v>43098</v>
      </c>
      <c r="C1621" s="2" t="str">
        <f>TEXT(data[[#This Row],[Order Date]],"YYYY")</f>
        <v>2017</v>
      </c>
      <c r="D1621" s="2">
        <v>43101</v>
      </c>
      <c r="E1621" s="2" t="s">
        <v>21</v>
      </c>
      <c r="F1621" s="2" t="s">
        <v>925</v>
      </c>
      <c r="G1621" s="2" t="s">
        <v>926</v>
      </c>
      <c r="H1621" s="2" t="s">
        <v>24</v>
      </c>
      <c r="I1621" s="2" t="s">
        <v>25</v>
      </c>
      <c r="J1621" s="2" t="s">
        <v>865</v>
      </c>
      <c r="K1621" s="2" t="s">
        <v>27</v>
      </c>
      <c r="L1621" s="2" t="s">
        <v>28</v>
      </c>
      <c r="M1621" s="2" t="s">
        <v>1090</v>
      </c>
      <c r="N1621" s="2" t="s">
        <v>30</v>
      </c>
      <c r="O1621" s="2" t="s">
        <v>36</v>
      </c>
      <c r="P1621" s="2" t="s">
        <v>1091</v>
      </c>
      <c r="Q1621" s="2">
        <v>258.75</v>
      </c>
      <c r="R1621" s="2">
        <v>3</v>
      </c>
      <c r="S1621" s="2">
        <v>77.625</v>
      </c>
      <c r="T1621" s="2" t="s">
        <v>33</v>
      </c>
      <c r="U1621" s="2" t="s">
        <v>96</v>
      </c>
    </row>
    <row r="1622" spans="1:21" ht="14.25" customHeight="1" x14ac:dyDescent="0.3">
      <c r="A1622" s="2" t="s">
        <v>3809</v>
      </c>
      <c r="B1622" s="5">
        <v>42796</v>
      </c>
      <c r="C1622" s="2" t="str">
        <f>TEXT(data[[#This Row],[Order Date]],"YYYY")</f>
        <v>2017</v>
      </c>
      <c r="D1622" s="2">
        <v>42802</v>
      </c>
      <c r="E1622" s="2" t="s">
        <v>39</v>
      </c>
      <c r="F1622" s="2" t="s">
        <v>2921</v>
      </c>
      <c r="G1622" s="2" t="s">
        <v>2922</v>
      </c>
      <c r="H1622" s="2" t="s">
        <v>90</v>
      </c>
      <c r="I1622" s="2" t="s">
        <v>25</v>
      </c>
      <c r="J1622" s="2" t="s">
        <v>230</v>
      </c>
      <c r="K1622" s="2" t="s">
        <v>200</v>
      </c>
      <c r="L1622" s="2" t="s">
        <v>67</v>
      </c>
      <c r="M1622" s="2" t="s">
        <v>2310</v>
      </c>
      <c r="N1622" s="2" t="s">
        <v>30</v>
      </c>
      <c r="O1622" s="2" t="s">
        <v>31</v>
      </c>
      <c r="P1622" s="2" t="s">
        <v>2311</v>
      </c>
      <c r="Q1622" s="2">
        <v>441.96</v>
      </c>
      <c r="R1622" s="2">
        <v>2</v>
      </c>
      <c r="S1622" s="2">
        <v>101.6508</v>
      </c>
      <c r="T1622" s="2" t="s">
        <v>129</v>
      </c>
      <c r="U1622" s="2" t="s">
        <v>195</v>
      </c>
    </row>
    <row r="1623" spans="1:21" ht="14.25" customHeight="1" x14ac:dyDescent="0.3">
      <c r="A1623" s="2" t="s">
        <v>3810</v>
      </c>
      <c r="B1623" s="5">
        <v>42099</v>
      </c>
      <c r="C1623" s="2" t="str">
        <f>TEXT(data[[#This Row],[Order Date]],"YYYY")</f>
        <v>2015</v>
      </c>
      <c r="D1623" s="2">
        <v>42105</v>
      </c>
      <c r="E1623" s="2" t="s">
        <v>39</v>
      </c>
      <c r="F1623" s="2" t="s">
        <v>2774</v>
      </c>
      <c r="G1623" s="2" t="s">
        <v>2775</v>
      </c>
      <c r="H1623" s="2" t="s">
        <v>90</v>
      </c>
      <c r="I1623" s="2" t="s">
        <v>25</v>
      </c>
      <c r="J1623" s="2" t="s">
        <v>52</v>
      </c>
      <c r="K1623" s="2" t="s">
        <v>53</v>
      </c>
      <c r="L1623" s="2" t="s">
        <v>54</v>
      </c>
      <c r="M1623" s="2" t="s">
        <v>1095</v>
      </c>
      <c r="N1623" s="2" t="s">
        <v>30</v>
      </c>
      <c r="O1623" s="2" t="s">
        <v>36</v>
      </c>
      <c r="P1623" s="2" t="s">
        <v>1096</v>
      </c>
      <c r="Q1623" s="2">
        <v>892.22400000000005</v>
      </c>
      <c r="R1623" s="2">
        <v>3</v>
      </c>
      <c r="S1623" s="2">
        <v>89.222399999999993</v>
      </c>
      <c r="T1623" s="2" t="s">
        <v>129</v>
      </c>
      <c r="U1623" s="2" t="s">
        <v>113</v>
      </c>
    </row>
    <row r="1624" spans="1:21" ht="14.25" customHeight="1" x14ac:dyDescent="0.3">
      <c r="A1624" s="2" t="s">
        <v>3811</v>
      </c>
      <c r="B1624" s="5">
        <v>42444</v>
      </c>
      <c r="C1624" s="2" t="str">
        <f>TEXT(data[[#This Row],[Order Date]],"YYYY")</f>
        <v>2016</v>
      </c>
      <c r="D1624" s="2">
        <v>42445</v>
      </c>
      <c r="E1624" s="2" t="s">
        <v>87</v>
      </c>
      <c r="F1624" s="2" t="s">
        <v>3812</v>
      </c>
      <c r="G1624" s="2" t="s">
        <v>3813</v>
      </c>
      <c r="H1624" s="2" t="s">
        <v>90</v>
      </c>
      <c r="I1624" s="2" t="s">
        <v>25</v>
      </c>
      <c r="J1624" s="2" t="s">
        <v>328</v>
      </c>
      <c r="K1624" s="2" t="s">
        <v>53</v>
      </c>
      <c r="L1624" s="2" t="s">
        <v>54</v>
      </c>
      <c r="M1624" s="2" t="s">
        <v>981</v>
      </c>
      <c r="N1624" s="2" t="s">
        <v>30</v>
      </c>
      <c r="O1624" s="2" t="s">
        <v>36</v>
      </c>
      <c r="P1624" s="2" t="s">
        <v>982</v>
      </c>
      <c r="Q1624" s="2">
        <v>1352.0319999999999</v>
      </c>
      <c r="R1624" s="2">
        <v>4</v>
      </c>
      <c r="S1624" s="2">
        <v>84.501999999999995</v>
      </c>
      <c r="T1624" s="2" t="s">
        <v>123</v>
      </c>
      <c r="U1624" s="2" t="s">
        <v>195</v>
      </c>
    </row>
    <row r="1625" spans="1:21" ht="14.25" customHeight="1" x14ac:dyDescent="0.3">
      <c r="A1625" s="2" t="s">
        <v>3814</v>
      </c>
      <c r="B1625" s="5">
        <v>42365</v>
      </c>
      <c r="C1625" s="2" t="str">
        <f>TEXT(data[[#This Row],[Order Date]],"YYYY")</f>
        <v>2015</v>
      </c>
      <c r="D1625" s="2">
        <v>42369</v>
      </c>
      <c r="E1625" s="2" t="s">
        <v>39</v>
      </c>
      <c r="F1625" s="2" t="s">
        <v>2679</v>
      </c>
      <c r="G1625" s="2" t="s">
        <v>2680</v>
      </c>
      <c r="H1625" s="2" t="s">
        <v>90</v>
      </c>
      <c r="I1625" s="2" t="s">
        <v>25</v>
      </c>
      <c r="J1625" s="2" t="s">
        <v>1770</v>
      </c>
      <c r="K1625" s="2" t="s">
        <v>231</v>
      </c>
      <c r="L1625" s="2" t="s">
        <v>67</v>
      </c>
      <c r="M1625" s="2" t="s">
        <v>922</v>
      </c>
      <c r="N1625" s="2" t="s">
        <v>30</v>
      </c>
      <c r="O1625" s="2" t="s">
        <v>45</v>
      </c>
      <c r="P1625" s="2" t="s">
        <v>923</v>
      </c>
      <c r="Q1625" s="2">
        <v>1548.99</v>
      </c>
      <c r="R1625" s="2">
        <v>9</v>
      </c>
      <c r="S1625" s="2">
        <v>-464.697</v>
      </c>
      <c r="T1625" s="2" t="s">
        <v>83</v>
      </c>
      <c r="U1625" s="2" t="s">
        <v>96</v>
      </c>
    </row>
    <row r="1626" spans="1:21" ht="14.25" customHeight="1" x14ac:dyDescent="0.3">
      <c r="A1626" s="2" t="s">
        <v>3815</v>
      </c>
      <c r="B1626" s="5">
        <v>42338</v>
      </c>
      <c r="C1626" s="2" t="str">
        <f>TEXT(data[[#This Row],[Order Date]],"YYYY")</f>
        <v>2015</v>
      </c>
      <c r="D1626" s="2">
        <v>42340</v>
      </c>
      <c r="E1626" s="2" t="s">
        <v>21</v>
      </c>
      <c r="F1626" s="2" t="s">
        <v>3816</v>
      </c>
      <c r="G1626" s="2" t="s">
        <v>3817</v>
      </c>
      <c r="H1626" s="2" t="s">
        <v>24</v>
      </c>
      <c r="I1626" s="2" t="s">
        <v>25</v>
      </c>
      <c r="J1626" s="2" t="s">
        <v>2419</v>
      </c>
      <c r="K1626" s="2" t="s">
        <v>1340</v>
      </c>
      <c r="L1626" s="2" t="s">
        <v>54</v>
      </c>
      <c r="M1626" s="2" t="s">
        <v>2965</v>
      </c>
      <c r="N1626" s="2" t="s">
        <v>30</v>
      </c>
      <c r="O1626" s="2" t="s">
        <v>56</v>
      </c>
      <c r="P1626" s="2" t="s">
        <v>2966</v>
      </c>
      <c r="Q1626" s="2">
        <v>80.959999999999994</v>
      </c>
      <c r="R1626" s="2">
        <v>4</v>
      </c>
      <c r="S1626" s="2">
        <v>29.145600000000002</v>
      </c>
      <c r="T1626" s="2" t="s">
        <v>70</v>
      </c>
      <c r="U1626" s="2" t="s">
        <v>34</v>
      </c>
    </row>
    <row r="1627" spans="1:21" ht="14.25" customHeight="1" x14ac:dyDescent="0.3">
      <c r="A1627" s="2" t="s">
        <v>3818</v>
      </c>
      <c r="B1627" s="5">
        <v>41744</v>
      </c>
      <c r="C1627" s="2" t="str">
        <f>TEXT(data[[#This Row],[Order Date]],"YYYY")</f>
        <v>2014</v>
      </c>
      <c r="D1627" s="2">
        <v>41744</v>
      </c>
      <c r="E1627" s="2" t="s">
        <v>425</v>
      </c>
      <c r="F1627" s="2" t="s">
        <v>131</v>
      </c>
      <c r="G1627" s="2" t="s">
        <v>132</v>
      </c>
      <c r="H1627" s="2" t="s">
        <v>100</v>
      </c>
      <c r="I1627" s="2" t="s">
        <v>25</v>
      </c>
      <c r="J1627" s="2" t="s">
        <v>52</v>
      </c>
      <c r="K1627" s="2" t="s">
        <v>53</v>
      </c>
      <c r="L1627" s="2" t="s">
        <v>54</v>
      </c>
      <c r="M1627" s="2" t="s">
        <v>354</v>
      </c>
      <c r="N1627" s="2" t="s">
        <v>30</v>
      </c>
      <c r="O1627" s="2" t="s">
        <v>56</v>
      </c>
      <c r="P1627" s="2" t="s">
        <v>355</v>
      </c>
      <c r="Q1627" s="2">
        <v>187.76</v>
      </c>
      <c r="R1627" s="2">
        <v>4</v>
      </c>
      <c r="S1627" s="2">
        <v>76.9816</v>
      </c>
      <c r="T1627" s="2" t="s">
        <v>430</v>
      </c>
      <c r="U1627" s="2" t="s">
        <v>113</v>
      </c>
    </row>
    <row r="1628" spans="1:21" ht="14.25" customHeight="1" x14ac:dyDescent="0.3">
      <c r="A1628" s="2" t="s">
        <v>3819</v>
      </c>
      <c r="B1628" s="5">
        <v>41646</v>
      </c>
      <c r="C1628" s="2" t="str">
        <f>TEXT(data[[#This Row],[Order Date]],"YYYY")</f>
        <v>2014</v>
      </c>
      <c r="D1628" s="2">
        <v>41651</v>
      </c>
      <c r="E1628" s="2" t="s">
        <v>39</v>
      </c>
      <c r="F1628" s="2" t="s">
        <v>2844</v>
      </c>
      <c r="G1628" s="2" t="s">
        <v>2845</v>
      </c>
      <c r="H1628" s="2" t="s">
        <v>24</v>
      </c>
      <c r="I1628" s="2" t="s">
        <v>25</v>
      </c>
      <c r="J1628" s="2" t="s">
        <v>1868</v>
      </c>
      <c r="K1628" s="2" t="s">
        <v>92</v>
      </c>
      <c r="L1628" s="2" t="s">
        <v>93</v>
      </c>
      <c r="M1628" s="2" t="s">
        <v>551</v>
      </c>
      <c r="N1628" s="2" t="s">
        <v>30</v>
      </c>
      <c r="O1628" s="2" t="s">
        <v>56</v>
      </c>
      <c r="P1628" s="2" t="s">
        <v>552</v>
      </c>
      <c r="Q1628" s="2">
        <v>76.727999999999994</v>
      </c>
      <c r="R1628" s="2">
        <v>3</v>
      </c>
      <c r="S1628" s="2">
        <v>-53.709600000000002</v>
      </c>
      <c r="T1628" s="2" t="s">
        <v>58</v>
      </c>
      <c r="U1628" s="2" t="s">
        <v>169</v>
      </c>
    </row>
    <row r="1629" spans="1:21" ht="14.25" customHeight="1" x14ac:dyDescent="0.3">
      <c r="A1629" s="2" t="s">
        <v>3820</v>
      </c>
      <c r="B1629" s="5">
        <v>41934</v>
      </c>
      <c r="C1629" s="2" t="str">
        <f>TEXT(data[[#This Row],[Order Date]],"YYYY")</f>
        <v>2014</v>
      </c>
      <c r="D1629" s="2">
        <v>41938</v>
      </c>
      <c r="E1629" s="2" t="s">
        <v>39</v>
      </c>
      <c r="F1629" s="2" t="s">
        <v>3821</v>
      </c>
      <c r="G1629" s="2" t="s">
        <v>3822</v>
      </c>
      <c r="H1629" s="2" t="s">
        <v>90</v>
      </c>
      <c r="I1629" s="2" t="s">
        <v>25</v>
      </c>
      <c r="J1629" s="2" t="s">
        <v>3823</v>
      </c>
      <c r="K1629" s="2" t="s">
        <v>1406</v>
      </c>
      <c r="L1629" s="2" t="s">
        <v>28</v>
      </c>
      <c r="M1629" s="2" t="s">
        <v>2395</v>
      </c>
      <c r="N1629" s="2" t="s">
        <v>30</v>
      </c>
      <c r="O1629" s="2" t="s">
        <v>56</v>
      </c>
      <c r="P1629" s="2" t="s">
        <v>2396</v>
      </c>
      <c r="Q1629" s="2">
        <v>129.91999999999999</v>
      </c>
      <c r="R1629" s="2">
        <v>4</v>
      </c>
      <c r="S1629" s="2">
        <v>10.393599999999999</v>
      </c>
      <c r="T1629" s="2" t="s">
        <v>83</v>
      </c>
      <c r="U1629" s="2" t="s">
        <v>48</v>
      </c>
    </row>
    <row r="1630" spans="1:21" ht="14.25" customHeight="1" x14ac:dyDescent="0.3">
      <c r="A1630" s="2" t="s">
        <v>3824</v>
      </c>
      <c r="B1630" s="5">
        <v>42335</v>
      </c>
      <c r="C1630" s="2" t="str">
        <f>TEXT(data[[#This Row],[Order Date]],"YYYY")</f>
        <v>2015</v>
      </c>
      <c r="D1630" s="2">
        <v>42337</v>
      </c>
      <c r="E1630" s="2" t="s">
        <v>21</v>
      </c>
      <c r="F1630" s="2" t="s">
        <v>3033</v>
      </c>
      <c r="G1630" s="2" t="s">
        <v>3034</v>
      </c>
      <c r="H1630" s="2" t="s">
        <v>100</v>
      </c>
      <c r="I1630" s="2" t="s">
        <v>25</v>
      </c>
      <c r="J1630" s="2" t="s">
        <v>1357</v>
      </c>
      <c r="K1630" s="2" t="s">
        <v>434</v>
      </c>
      <c r="L1630" s="2" t="s">
        <v>67</v>
      </c>
      <c r="M1630" s="2" t="s">
        <v>2400</v>
      </c>
      <c r="N1630" s="2" t="s">
        <v>30</v>
      </c>
      <c r="O1630" s="2" t="s">
        <v>31</v>
      </c>
      <c r="P1630" s="2" t="s">
        <v>2401</v>
      </c>
      <c r="Q1630" s="2">
        <v>170.98</v>
      </c>
      <c r="R1630" s="2">
        <v>1</v>
      </c>
      <c r="S1630" s="2">
        <v>32.486199999999997</v>
      </c>
      <c r="T1630" s="2" t="s">
        <v>70</v>
      </c>
      <c r="U1630" s="2" t="s">
        <v>34</v>
      </c>
    </row>
    <row r="1631" spans="1:21" ht="14.25" customHeight="1" x14ac:dyDescent="0.3">
      <c r="A1631" s="2" t="s">
        <v>3824</v>
      </c>
      <c r="B1631" s="5">
        <v>42335</v>
      </c>
      <c r="C1631" s="2" t="str">
        <f>TEXT(data[[#This Row],[Order Date]],"YYYY")</f>
        <v>2015</v>
      </c>
      <c r="D1631" s="2">
        <v>42337</v>
      </c>
      <c r="E1631" s="2" t="s">
        <v>21</v>
      </c>
      <c r="F1631" s="2" t="s">
        <v>3033</v>
      </c>
      <c r="G1631" s="2" t="s">
        <v>3034</v>
      </c>
      <c r="H1631" s="2" t="s">
        <v>100</v>
      </c>
      <c r="I1631" s="2" t="s">
        <v>25</v>
      </c>
      <c r="J1631" s="2" t="s">
        <v>1357</v>
      </c>
      <c r="K1631" s="2" t="s">
        <v>434</v>
      </c>
      <c r="L1631" s="2" t="s">
        <v>67</v>
      </c>
      <c r="M1631" s="2" t="s">
        <v>3825</v>
      </c>
      <c r="N1631" s="2" t="s">
        <v>30</v>
      </c>
      <c r="O1631" s="2" t="s">
        <v>56</v>
      </c>
      <c r="P1631" s="2" t="s">
        <v>3826</v>
      </c>
      <c r="Q1631" s="2">
        <v>38.97</v>
      </c>
      <c r="R1631" s="2">
        <v>3</v>
      </c>
      <c r="S1631" s="2">
        <v>4.6764000000000001</v>
      </c>
      <c r="T1631" s="2" t="s">
        <v>70</v>
      </c>
      <c r="U1631" s="2" t="s">
        <v>34</v>
      </c>
    </row>
    <row r="1632" spans="1:21" ht="14.25" customHeight="1" x14ac:dyDescent="0.3">
      <c r="A1632" s="2" t="s">
        <v>3824</v>
      </c>
      <c r="B1632" s="5">
        <v>42335</v>
      </c>
      <c r="C1632" s="2" t="str">
        <f>TEXT(data[[#This Row],[Order Date]],"YYYY")</f>
        <v>2015</v>
      </c>
      <c r="D1632" s="2">
        <v>42337</v>
      </c>
      <c r="E1632" s="2" t="s">
        <v>21</v>
      </c>
      <c r="F1632" s="2" t="s">
        <v>3033</v>
      </c>
      <c r="G1632" s="2" t="s">
        <v>3034</v>
      </c>
      <c r="H1632" s="2" t="s">
        <v>100</v>
      </c>
      <c r="I1632" s="2" t="s">
        <v>25</v>
      </c>
      <c r="J1632" s="2" t="s">
        <v>1357</v>
      </c>
      <c r="K1632" s="2" t="s">
        <v>434</v>
      </c>
      <c r="L1632" s="2" t="s">
        <v>67</v>
      </c>
      <c r="M1632" s="2" t="s">
        <v>1134</v>
      </c>
      <c r="N1632" s="2" t="s">
        <v>30</v>
      </c>
      <c r="O1632" s="2" t="s">
        <v>45</v>
      </c>
      <c r="P1632" s="2" t="s">
        <v>1135</v>
      </c>
      <c r="Q1632" s="2">
        <v>446.06799999999998</v>
      </c>
      <c r="R1632" s="2">
        <v>4</v>
      </c>
      <c r="S1632" s="2">
        <v>0</v>
      </c>
      <c r="T1632" s="2" t="s">
        <v>70</v>
      </c>
      <c r="U1632" s="2" t="s">
        <v>34</v>
      </c>
    </row>
    <row r="1633" spans="1:21" ht="14.25" customHeight="1" x14ac:dyDescent="0.3">
      <c r="A1633" s="2" t="s">
        <v>3827</v>
      </c>
      <c r="B1633" s="5">
        <v>42004</v>
      </c>
      <c r="C1633" s="2" t="str">
        <f>TEXT(data[[#This Row],[Order Date]],"YYYY")</f>
        <v>2014</v>
      </c>
      <c r="D1633" s="2">
        <v>42011</v>
      </c>
      <c r="E1633" s="2" t="s">
        <v>39</v>
      </c>
      <c r="F1633" s="2" t="s">
        <v>2295</v>
      </c>
      <c r="G1633" s="2" t="s">
        <v>2296</v>
      </c>
      <c r="H1633" s="2" t="s">
        <v>100</v>
      </c>
      <c r="I1633" s="2" t="s">
        <v>25</v>
      </c>
      <c r="J1633" s="2" t="s">
        <v>1644</v>
      </c>
      <c r="K1633" s="2" t="s">
        <v>1645</v>
      </c>
      <c r="L1633" s="2" t="s">
        <v>67</v>
      </c>
      <c r="M1633" s="2" t="s">
        <v>1380</v>
      </c>
      <c r="N1633" s="2" t="s">
        <v>30</v>
      </c>
      <c r="O1633" s="2" t="s">
        <v>31</v>
      </c>
      <c r="P1633" s="2" t="s">
        <v>1381</v>
      </c>
      <c r="Q1633" s="2">
        <v>341.96</v>
      </c>
      <c r="R1633" s="2">
        <v>2</v>
      </c>
      <c r="S1633" s="2">
        <v>78.650800000000004</v>
      </c>
      <c r="T1633" s="2" t="s">
        <v>47</v>
      </c>
      <c r="U1633" s="2" t="s">
        <v>96</v>
      </c>
    </row>
    <row r="1634" spans="1:21" ht="14.25" customHeight="1" x14ac:dyDescent="0.3">
      <c r="A1634" s="2" t="s">
        <v>3827</v>
      </c>
      <c r="B1634" s="5">
        <v>42004</v>
      </c>
      <c r="C1634" s="2" t="str">
        <f>TEXT(data[[#This Row],[Order Date]],"YYYY")</f>
        <v>2014</v>
      </c>
      <c r="D1634" s="2">
        <v>42011</v>
      </c>
      <c r="E1634" s="2" t="s">
        <v>39</v>
      </c>
      <c r="F1634" s="2" t="s">
        <v>2295</v>
      </c>
      <c r="G1634" s="2" t="s">
        <v>2296</v>
      </c>
      <c r="H1634" s="2" t="s">
        <v>100</v>
      </c>
      <c r="I1634" s="2" t="s">
        <v>25</v>
      </c>
      <c r="J1634" s="2" t="s">
        <v>1644</v>
      </c>
      <c r="K1634" s="2" t="s">
        <v>1645</v>
      </c>
      <c r="L1634" s="2" t="s">
        <v>67</v>
      </c>
      <c r="M1634" s="2" t="s">
        <v>104</v>
      </c>
      <c r="N1634" s="2" t="s">
        <v>30</v>
      </c>
      <c r="O1634" s="2" t="s">
        <v>36</v>
      </c>
      <c r="P1634" s="2" t="s">
        <v>105</v>
      </c>
      <c r="Q1634" s="2">
        <v>605.88</v>
      </c>
      <c r="R1634" s="2">
        <v>6</v>
      </c>
      <c r="S1634" s="2">
        <v>151.47</v>
      </c>
      <c r="T1634" s="2" t="s">
        <v>47</v>
      </c>
      <c r="U1634" s="2" t="s">
        <v>96</v>
      </c>
    </row>
    <row r="1635" spans="1:21" ht="14.25" customHeight="1" x14ac:dyDescent="0.3">
      <c r="A1635" s="2" t="s">
        <v>3828</v>
      </c>
      <c r="B1635" s="5">
        <v>42699</v>
      </c>
      <c r="C1635" s="2" t="str">
        <f>TEXT(data[[#This Row],[Order Date]],"YYYY")</f>
        <v>2016</v>
      </c>
      <c r="D1635" s="2">
        <v>42703</v>
      </c>
      <c r="E1635" s="2" t="s">
        <v>39</v>
      </c>
      <c r="F1635" s="2" t="s">
        <v>1935</v>
      </c>
      <c r="G1635" s="2" t="s">
        <v>1936</v>
      </c>
      <c r="H1635" s="2" t="s">
        <v>90</v>
      </c>
      <c r="I1635" s="2" t="s">
        <v>25</v>
      </c>
      <c r="J1635" s="2" t="s">
        <v>477</v>
      </c>
      <c r="K1635" s="2" t="s">
        <v>289</v>
      </c>
      <c r="L1635" s="2" t="s">
        <v>93</v>
      </c>
      <c r="M1635" s="2" t="s">
        <v>784</v>
      </c>
      <c r="N1635" s="2" t="s">
        <v>30</v>
      </c>
      <c r="O1635" s="2" t="s">
        <v>45</v>
      </c>
      <c r="P1635" s="2" t="s">
        <v>785</v>
      </c>
      <c r="Q1635" s="2">
        <v>1568.61</v>
      </c>
      <c r="R1635" s="2">
        <v>9</v>
      </c>
      <c r="S1635" s="2">
        <v>329.40809999999999</v>
      </c>
      <c r="T1635" s="2" t="s">
        <v>83</v>
      </c>
      <c r="U1635" s="2" t="s">
        <v>34</v>
      </c>
    </row>
    <row r="1636" spans="1:21" ht="14.25" customHeight="1" x14ac:dyDescent="0.3">
      <c r="A1636" s="2" t="s">
        <v>3829</v>
      </c>
      <c r="B1636" s="5">
        <v>42931</v>
      </c>
      <c r="C1636" s="2" t="str">
        <f>TEXT(data[[#This Row],[Order Date]],"YYYY")</f>
        <v>2017</v>
      </c>
      <c r="D1636" s="2">
        <v>42933</v>
      </c>
      <c r="E1636" s="2" t="s">
        <v>87</v>
      </c>
      <c r="F1636" s="2" t="s">
        <v>1809</v>
      </c>
      <c r="G1636" s="2" t="s">
        <v>1810</v>
      </c>
      <c r="H1636" s="2" t="s">
        <v>90</v>
      </c>
      <c r="I1636" s="2" t="s">
        <v>25</v>
      </c>
      <c r="J1636" s="2" t="s">
        <v>1481</v>
      </c>
      <c r="K1636" s="2" t="s">
        <v>716</v>
      </c>
      <c r="L1636" s="2" t="s">
        <v>28</v>
      </c>
      <c r="M1636" s="2" t="s">
        <v>410</v>
      </c>
      <c r="N1636" s="2" t="s">
        <v>30</v>
      </c>
      <c r="O1636" s="2" t="s">
        <v>45</v>
      </c>
      <c r="P1636" s="2" t="s">
        <v>411</v>
      </c>
      <c r="Q1636" s="2">
        <v>872.94</v>
      </c>
      <c r="R1636" s="2">
        <v>3</v>
      </c>
      <c r="S1636" s="2">
        <v>157.1292</v>
      </c>
      <c r="T1636" s="2" t="s">
        <v>70</v>
      </c>
      <c r="U1636" s="2" t="s">
        <v>71</v>
      </c>
    </row>
    <row r="1637" spans="1:21" ht="14.25" customHeight="1" x14ac:dyDescent="0.3">
      <c r="A1637" s="2" t="s">
        <v>3830</v>
      </c>
      <c r="B1637" s="5">
        <v>42451</v>
      </c>
      <c r="C1637" s="2" t="str">
        <f>TEXT(data[[#This Row],[Order Date]],"YYYY")</f>
        <v>2016</v>
      </c>
      <c r="D1637" s="2">
        <v>42451</v>
      </c>
      <c r="E1637" s="2" t="s">
        <v>425</v>
      </c>
      <c r="F1637" s="2" t="s">
        <v>1403</v>
      </c>
      <c r="G1637" s="2" t="s">
        <v>1404</v>
      </c>
      <c r="H1637" s="2" t="s">
        <v>24</v>
      </c>
      <c r="I1637" s="2" t="s">
        <v>25</v>
      </c>
      <c r="J1637" s="2" t="s">
        <v>191</v>
      </c>
      <c r="K1637" s="2" t="s">
        <v>192</v>
      </c>
      <c r="L1637" s="2" t="s">
        <v>54</v>
      </c>
      <c r="M1637" s="2" t="s">
        <v>1513</v>
      </c>
      <c r="N1637" s="2" t="s">
        <v>30</v>
      </c>
      <c r="O1637" s="2" t="s">
        <v>36</v>
      </c>
      <c r="P1637" s="2" t="s">
        <v>1514</v>
      </c>
      <c r="Q1637" s="2">
        <v>167.88800000000001</v>
      </c>
      <c r="R1637" s="2">
        <v>7</v>
      </c>
      <c r="S1637" s="2">
        <v>14.690200000000001</v>
      </c>
      <c r="T1637" s="2" t="s">
        <v>430</v>
      </c>
      <c r="U1637" s="2" t="s">
        <v>195</v>
      </c>
    </row>
    <row r="1638" spans="1:21" ht="14.25" customHeight="1" x14ac:dyDescent="0.3">
      <c r="A1638" s="2" t="s">
        <v>3831</v>
      </c>
      <c r="B1638" s="5">
        <v>43083</v>
      </c>
      <c r="C1638" s="2" t="str">
        <f>TEXT(data[[#This Row],[Order Date]],"YYYY")</f>
        <v>2017</v>
      </c>
      <c r="D1638" s="2">
        <v>43087</v>
      </c>
      <c r="E1638" s="2" t="s">
        <v>39</v>
      </c>
      <c r="F1638" s="2" t="s">
        <v>1737</v>
      </c>
      <c r="G1638" s="2" t="s">
        <v>1738</v>
      </c>
      <c r="H1638" s="2" t="s">
        <v>100</v>
      </c>
      <c r="I1638" s="2" t="s">
        <v>25</v>
      </c>
      <c r="J1638" s="2" t="s">
        <v>471</v>
      </c>
      <c r="K1638" s="2" t="s">
        <v>434</v>
      </c>
      <c r="L1638" s="2" t="s">
        <v>67</v>
      </c>
      <c r="M1638" s="2" t="s">
        <v>306</v>
      </c>
      <c r="N1638" s="2" t="s">
        <v>30</v>
      </c>
      <c r="O1638" s="2" t="s">
        <v>45</v>
      </c>
      <c r="P1638" s="2" t="s">
        <v>307</v>
      </c>
      <c r="Q1638" s="2">
        <v>526.58199999999999</v>
      </c>
      <c r="R1638" s="2">
        <v>2</v>
      </c>
      <c r="S1638" s="2">
        <v>-52.658200000000001</v>
      </c>
      <c r="T1638" s="2" t="s">
        <v>83</v>
      </c>
      <c r="U1638" s="2" t="s">
        <v>96</v>
      </c>
    </row>
    <row r="1639" spans="1:21" ht="14.25" customHeight="1" x14ac:dyDescent="0.3">
      <c r="A1639" s="2" t="s">
        <v>3832</v>
      </c>
      <c r="B1639" s="5">
        <v>42608</v>
      </c>
      <c r="C1639" s="2" t="str">
        <f>TEXT(data[[#This Row],[Order Date]],"YYYY")</f>
        <v>2016</v>
      </c>
      <c r="D1639" s="2">
        <v>42615</v>
      </c>
      <c r="E1639" s="2" t="s">
        <v>39</v>
      </c>
      <c r="F1639" s="2" t="s">
        <v>1287</v>
      </c>
      <c r="G1639" s="2" t="s">
        <v>1288</v>
      </c>
      <c r="H1639" s="2" t="s">
        <v>24</v>
      </c>
      <c r="I1639" s="2" t="s">
        <v>25</v>
      </c>
      <c r="J1639" s="2" t="s">
        <v>288</v>
      </c>
      <c r="K1639" s="2" t="s">
        <v>289</v>
      </c>
      <c r="L1639" s="2" t="s">
        <v>93</v>
      </c>
      <c r="M1639" s="2" t="s">
        <v>1040</v>
      </c>
      <c r="N1639" s="2" t="s">
        <v>30</v>
      </c>
      <c r="O1639" s="2" t="s">
        <v>45</v>
      </c>
      <c r="P1639" s="2" t="s">
        <v>1041</v>
      </c>
      <c r="Q1639" s="2">
        <v>447.84</v>
      </c>
      <c r="R1639" s="2">
        <v>4</v>
      </c>
      <c r="S1639" s="2">
        <v>98.524799999999999</v>
      </c>
      <c r="T1639" s="2" t="s">
        <v>47</v>
      </c>
      <c r="U1639" s="2" t="s">
        <v>253</v>
      </c>
    </row>
    <row r="1640" spans="1:21" ht="14.25" customHeight="1" x14ac:dyDescent="0.3">
      <c r="A1640" s="2" t="s">
        <v>3833</v>
      </c>
      <c r="B1640" s="5">
        <v>43036</v>
      </c>
      <c r="C1640" s="2" t="str">
        <f>TEXT(data[[#This Row],[Order Date]],"YYYY")</f>
        <v>2017</v>
      </c>
      <c r="D1640" s="2">
        <v>43038</v>
      </c>
      <c r="E1640" s="2" t="s">
        <v>21</v>
      </c>
      <c r="F1640" s="2" t="s">
        <v>2654</v>
      </c>
      <c r="G1640" s="2" t="s">
        <v>2655</v>
      </c>
      <c r="H1640" s="2" t="s">
        <v>24</v>
      </c>
      <c r="I1640" s="2" t="s">
        <v>25</v>
      </c>
      <c r="J1640" s="2" t="s">
        <v>1911</v>
      </c>
      <c r="K1640" s="2" t="s">
        <v>1036</v>
      </c>
      <c r="L1640" s="2" t="s">
        <v>28</v>
      </c>
      <c r="M1640" s="2" t="s">
        <v>2055</v>
      </c>
      <c r="N1640" s="2" t="s">
        <v>30</v>
      </c>
      <c r="O1640" s="2" t="s">
        <v>56</v>
      </c>
      <c r="P1640" s="2" t="s">
        <v>2056</v>
      </c>
      <c r="Q1640" s="2">
        <v>77.951999999999998</v>
      </c>
      <c r="R1640" s="2">
        <v>3</v>
      </c>
      <c r="S1640" s="2">
        <v>15.590400000000001</v>
      </c>
      <c r="T1640" s="2" t="s">
        <v>70</v>
      </c>
      <c r="U1640" s="2" t="s">
        <v>48</v>
      </c>
    </row>
    <row r="1641" spans="1:21" ht="14.25" customHeight="1" x14ac:dyDescent="0.3">
      <c r="A1641" s="2" t="s">
        <v>3834</v>
      </c>
      <c r="B1641" s="5">
        <v>42257</v>
      </c>
      <c r="C1641" s="2" t="str">
        <f>TEXT(data[[#This Row],[Order Date]],"YYYY")</f>
        <v>2015</v>
      </c>
      <c r="D1641" s="2">
        <v>42261</v>
      </c>
      <c r="E1641" s="2" t="s">
        <v>39</v>
      </c>
      <c r="F1641" s="2" t="s">
        <v>3733</v>
      </c>
      <c r="G1641" s="2" t="s">
        <v>3734</v>
      </c>
      <c r="H1641" s="2" t="s">
        <v>90</v>
      </c>
      <c r="I1641" s="2" t="s">
        <v>25</v>
      </c>
      <c r="J1641" s="2" t="s">
        <v>2330</v>
      </c>
      <c r="K1641" s="2" t="s">
        <v>92</v>
      </c>
      <c r="L1641" s="2" t="s">
        <v>93</v>
      </c>
      <c r="M1641" s="2" t="s">
        <v>1600</v>
      </c>
      <c r="N1641" s="2" t="s">
        <v>30</v>
      </c>
      <c r="O1641" s="2" t="s">
        <v>36</v>
      </c>
      <c r="P1641" s="2" t="s">
        <v>1601</v>
      </c>
      <c r="Q1641" s="2">
        <v>179.886</v>
      </c>
      <c r="R1641" s="2">
        <v>1</v>
      </c>
      <c r="S1641" s="2">
        <v>-2.5697999999999999</v>
      </c>
      <c r="T1641" s="2" t="s">
        <v>83</v>
      </c>
      <c r="U1641" s="2" t="s">
        <v>77</v>
      </c>
    </row>
    <row r="1642" spans="1:21" ht="14.25" customHeight="1" x14ac:dyDescent="0.3">
      <c r="A1642" s="2" t="s">
        <v>3835</v>
      </c>
      <c r="B1642" s="5">
        <v>42899</v>
      </c>
      <c r="C1642" s="2" t="str">
        <f>TEXT(data[[#This Row],[Order Date]],"YYYY")</f>
        <v>2017</v>
      </c>
      <c r="D1642" s="2">
        <v>42905</v>
      </c>
      <c r="E1642" s="2" t="s">
        <v>39</v>
      </c>
      <c r="F1642" s="2" t="s">
        <v>3542</v>
      </c>
      <c r="G1642" s="2" t="s">
        <v>3543</v>
      </c>
      <c r="H1642" s="2" t="s">
        <v>100</v>
      </c>
      <c r="I1642" s="2" t="s">
        <v>25</v>
      </c>
      <c r="J1642" s="2" t="s">
        <v>191</v>
      </c>
      <c r="K1642" s="2" t="s">
        <v>192</v>
      </c>
      <c r="L1642" s="2" t="s">
        <v>54</v>
      </c>
      <c r="M1642" s="2" t="s">
        <v>1617</v>
      </c>
      <c r="N1642" s="2" t="s">
        <v>30</v>
      </c>
      <c r="O1642" s="2" t="s">
        <v>36</v>
      </c>
      <c r="P1642" s="2" t="s">
        <v>1618</v>
      </c>
      <c r="Q1642" s="2">
        <v>291.13600000000002</v>
      </c>
      <c r="R1642" s="2">
        <v>4</v>
      </c>
      <c r="S1642" s="2">
        <v>-25.474399999999999</v>
      </c>
      <c r="T1642" s="2" t="s">
        <v>129</v>
      </c>
      <c r="U1642" s="2" t="s">
        <v>59</v>
      </c>
    </row>
    <row r="1643" spans="1:21" ht="14.25" customHeight="1" x14ac:dyDescent="0.3">
      <c r="A1643" s="2" t="s">
        <v>3836</v>
      </c>
      <c r="B1643" s="5">
        <v>42173</v>
      </c>
      <c r="C1643" s="2" t="str">
        <f>TEXT(data[[#This Row],[Order Date]],"YYYY")</f>
        <v>2015</v>
      </c>
      <c r="D1643" s="2">
        <v>42179</v>
      </c>
      <c r="E1643" s="2" t="s">
        <v>39</v>
      </c>
      <c r="F1643" s="2" t="s">
        <v>452</v>
      </c>
      <c r="G1643" s="2" t="s">
        <v>453</v>
      </c>
      <c r="H1643" s="2" t="s">
        <v>24</v>
      </c>
      <c r="I1643" s="2" t="s">
        <v>25</v>
      </c>
      <c r="J1643" s="2" t="s">
        <v>689</v>
      </c>
      <c r="K1643" s="2" t="s">
        <v>716</v>
      </c>
      <c r="L1643" s="2" t="s">
        <v>28</v>
      </c>
      <c r="M1643" s="2" t="s">
        <v>2318</v>
      </c>
      <c r="N1643" s="2" t="s">
        <v>30</v>
      </c>
      <c r="O1643" s="2" t="s">
        <v>56</v>
      </c>
      <c r="P1643" s="2" t="s">
        <v>2319</v>
      </c>
      <c r="Q1643" s="2">
        <v>60.84</v>
      </c>
      <c r="R1643" s="2">
        <v>3</v>
      </c>
      <c r="S1643" s="2">
        <v>19.468800000000002</v>
      </c>
      <c r="T1643" s="2" t="s">
        <v>129</v>
      </c>
      <c r="U1643" s="2" t="s">
        <v>59</v>
      </c>
    </row>
    <row r="1644" spans="1:21" ht="14.25" customHeight="1" x14ac:dyDescent="0.3">
      <c r="A1644" s="2" t="s">
        <v>3837</v>
      </c>
      <c r="B1644" s="5">
        <v>42338</v>
      </c>
      <c r="C1644" s="2" t="str">
        <f>TEXT(data[[#This Row],[Order Date]],"YYYY")</f>
        <v>2015</v>
      </c>
      <c r="D1644" s="2">
        <v>42341</v>
      </c>
      <c r="E1644" s="2" t="s">
        <v>87</v>
      </c>
      <c r="F1644" s="2" t="s">
        <v>1220</v>
      </c>
      <c r="G1644" s="2" t="s">
        <v>1221</v>
      </c>
      <c r="H1644" s="2" t="s">
        <v>90</v>
      </c>
      <c r="I1644" s="2" t="s">
        <v>25</v>
      </c>
      <c r="J1644" s="2" t="s">
        <v>606</v>
      </c>
      <c r="K1644" s="2" t="s">
        <v>1036</v>
      </c>
      <c r="L1644" s="2" t="s">
        <v>28</v>
      </c>
      <c r="M1644" s="2" t="s">
        <v>2140</v>
      </c>
      <c r="N1644" s="2" t="s">
        <v>30</v>
      </c>
      <c r="O1644" s="2" t="s">
        <v>56</v>
      </c>
      <c r="P1644" s="2" t="s">
        <v>2141</v>
      </c>
      <c r="Q1644" s="2">
        <v>17.088000000000001</v>
      </c>
      <c r="R1644" s="2">
        <v>2</v>
      </c>
      <c r="S1644" s="2">
        <v>1.0680000000000001</v>
      </c>
      <c r="T1644" s="2" t="s">
        <v>33</v>
      </c>
      <c r="U1644" s="2" t="s">
        <v>34</v>
      </c>
    </row>
    <row r="1645" spans="1:21" ht="14.25" customHeight="1" x14ac:dyDescent="0.3">
      <c r="A1645" s="2" t="s">
        <v>3838</v>
      </c>
      <c r="B1645" s="5">
        <v>43052</v>
      </c>
      <c r="C1645" s="2" t="str">
        <f>TEXT(data[[#This Row],[Order Date]],"YYYY")</f>
        <v>2017</v>
      </c>
      <c r="D1645" s="2">
        <v>43055</v>
      </c>
      <c r="E1645" s="2" t="s">
        <v>21</v>
      </c>
      <c r="F1645" s="2" t="s">
        <v>1111</v>
      </c>
      <c r="G1645" s="2" t="s">
        <v>1112</v>
      </c>
      <c r="H1645" s="2" t="s">
        <v>90</v>
      </c>
      <c r="I1645" s="2" t="s">
        <v>25</v>
      </c>
      <c r="J1645" s="2" t="s">
        <v>2954</v>
      </c>
      <c r="K1645" s="2" t="s">
        <v>120</v>
      </c>
      <c r="L1645" s="2" t="s">
        <v>67</v>
      </c>
      <c r="M1645" s="2" t="s">
        <v>2973</v>
      </c>
      <c r="N1645" s="2" t="s">
        <v>30</v>
      </c>
      <c r="O1645" s="2" t="s">
        <v>56</v>
      </c>
      <c r="P1645" s="2" t="s">
        <v>2974</v>
      </c>
      <c r="Q1645" s="2">
        <v>154.94999999999999</v>
      </c>
      <c r="R1645" s="2">
        <v>3</v>
      </c>
      <c r="S1645" s="2">
        <v>30.99</v>
      </c>
      <c r="T1645" s="2" t="s">
        <v>33</v>
      </c>
      <c r="U1645" s="2" t="s">
        <v>34</v>
      </c>
    </row>
    <row r="1646" spans="1:21" ht="14.25" customHeight="1" x14ac:dyDescent="0.3">
      <c r="A1646" s="2" t="s">
        <v>3839</v>
      </c>
      <c r="B1646" s="5">
        <v>42959</v>
      </c>
      <c r="C1646" s="2" t="str">
        <f>TEXT(data[[#This Row],[Order Date]],"YYYY")</f>
        <v>2017</v>
      </c>
      <c r="D1646" s="2">
        <v>42959</v>
      </c>
      <c r="E1646" s="2" t="s">
        <v>425</v>
      </c>
      <c r="F1646" s="2" t="s">
        <v>1935</v>
      </c>
      <c r="G1646" s="2" t="s">
        <v>1936</v>
      </c>
      <c r="H1646" s="2" t="s">
        <v>90</v>
      </c>
      <c r="I1646" s="2" t="s">
        <v>25</v>
      </c>
      <c r="J1646" s="2" t="s">
        <v>157</v>
      </c>
      <c r="K1646" s="2" t="s">
        <v>1089</v>
      </c>
      <c r="L1646" s="2" t="s">
        <v>67</v>
      </c>
      <c r="M1646" s="2" t="s">
        <v>514</v>
      </c>
      <c r="N1646" s="2" t="s">
        <v>30</v>
      </c>
      <c r="O1646" s="2" t="s">
        <v>36</v>
      </c>
      <c r="P1646" s="2" t="s">
        <v>515</v>
      </c>
      <c r="Q1646" s="2">
        <v>1779.9</v>
      </c>
      <c r="R1646" s="2">
        <v>5</v>
      </c>
      <c r="S1646" s="2">
        <v>373.779</v>
      </c>
      <c r="T1646" s="2" t="s">
        <v>430</v>
      </c>
      <c r="U1646" s="2" t="s">
        <v>253</v>
      </c>
    </row>
    <row r="1647" spans="1:21" ht="14.25" customHeight="1" x14ac:dyDescent="0.3">
      <c r="A1647" s="2" t="s">
        <v>3840</v>
      </c>
      <c r="B1647" s="5">
        <v>42678</v>
      </c>
      <c r="C1647" s="2" t="str">
        <f>TEXT(data[[#This Row],[Order Date]],"YYYY")</f>
        <v>2016</v>
      </c>
      <c r="D1647" s="2">
        <v>42680</v>
      </c>
      <c r="E1647" s="2" t="s">
        <v>21</v>
      </c>
      <c r="F1647" s="2" t="s">
        <v>3841</v>
      </c>
      <c r="G1647" s="2" t="s">
        <v>3842</v>
      </c>
      <c r="H1647" s="2" t="s">
        <v>90</v>
      </c>
      <c r="I1647" s="2" t="s">
        <v>25</v>
      </c>
      <c r="J1647" s="2" t="s">
        <v>1527</v>
      </c>
      <c r="K1647" s="2" t="s">
        <v>1036</v>
      </c>
      <c r="L1647" s="2" t="s">
        <v>28</v>
      </c>
      <c r="M1647" s="2" t="s">
        <v>368</v>
      </c>
      <c r="N1647" s="2" t="s">
        <v>30</v>
      </c>
      <c r="O1647" s="2" t="s">
        <v>45</v>
      </c>
      <c r="P1647" s="2" t="s">
        <v>369</v>
      </c>
      <c r="Q1647" s="2">
        <v>876.3</v>
      </c>
      <c r="R1647" s="2">
        <v>10</v>
      </c>
      <c r="S1647" s="2">
        <v>-292.10000000000002</v>
      </c>
      <c r="T1647" s="2" t="s">
        <v>70</v>
      </c>
      <c r="U1647" s="2" t="s">
        <v>34</v>
      </c>
    </row>
    <row r="1648" spans="1:21" ht="14.25" customHeight="1" x14ac:dyDescent="0.3">
      <c r="A1648" s="2" t="s">
        <v>3843</v>
      </c>
      <c r="B1648" s="5">
        <v>42507</v>
      </c>
      <c r="C1648" s="2" t="str">
        <f>TEXT(data[[#This Row],[Order Date]],"YYYY")</f>
        <v>2016</v>
      </c>
      <c r="D1648" s="2">
        <v>42510</v>
      </c>
      <c r="E1648" s="2" t="s">
        <v>87</v>
      </c>
      <c r="F1648" s="2" t="s">
        <v>3844</v>
      </c>
      <c r="G1648" s="2" t="s">
        <v>3845</v>
      </c>
      <c r="H1648" s="2" t="s">
        <v>24</v>
      </c>
      <c r="I1648" s="2" t="s">
        <v>25</v>
      </c>
      <c r="J1648" s="2" t="s">
        <v>133</v>
      </c>
      <c r="K1648" s="2" t="s">
        <v>134</v>
      </c>
      <c r="L1648" s="2" t="s">
        <v>93</v>
      </c>
      <c r="M1648" s="2" t="s">
        <v>1542</v>
      </c>
      <c r="N1648" s="2" t="s">
        <v>30</v>
      </c>
      <c r="O1648" s="2" t="s">
        <v>56</v>
      </c>
      <c r="P1648" s="2" t="s">
        <v>1543</v>
      </c>
      <c r="Q1648" s="2">
        <v>22.608000000000001</v>
      </c>
      <c r="R1648" s="2">
        <v>3</v>
      </c>
      <c r="S1648" s="2">
        <v>-10.1736</v>
      </c>
      <c r="T1648" s="2" t="s">
        <v>33</v>
      </c>
      <c r="U1648" s="2" t="s">
        <v>161</v>
      </c>
    </row>
    <row r="1649" spans="1:21" ht="14.25" customHeight="1" x14ac:dyDescent="0.3">
      <c r="A1649" s="2" t="s">
        <v>3846</v>
      </c>
      <c r="B1649" s="5">
        <v>42818</v>
      </c>
      <c r="C1649" s="2" t="str">
        <f>TEXT(data[[#This Row],[Order Date]],"YYYY")</f>
        <v>2017</v>
      </c>
      <c r="D1649" s="2">
        <v>42821</v>
      </c>
      <c r="E1649" s="2" t="s">
        <v>87</v>
      </c>
      <c r="F1649" s="2" t="s">
        <v>2031</v>
      </c>
      <c r="G1649" s="2" t="s">
        <v>2032</v>
      </c>
      <c r="H1649" s="2" t="s">
        <v>90</v>
      </c>
      <c r="I1649" s="2" t="s">
        <v>25</v>
      </c>
      <c r="J1649" s="2" t="s">
        <v>173</v>
      </c>
      <c r="K1649" s="2" t="s">
        <v>120</v>
      </c>
      <c r="L1649" s="2" t="s">
        <v>67</v>
      </c>
      <c r="M1649" s="2" t="s">
        <v>488</v>
      </c>
      <c r="N1649" s="2" t="s">
        <v>30</v>
      </c>
      <c r="O1649" s="2" t="s">
        <v>36</v>
      </c>
      <c r="P1649" s="2" t="s">
        <v>489</v>
      </c>
      <c r="Q1649" s="2">
        <v>207.846</v>
      </c>
      <c r="R1649" s="2">
        <v>3</v>
      </c>
      <c r="S1649" s="2">
        <v>2.3094000000000001</v>
      </c>
      <c r="T1649" s="2" t="s">
        <v>33</v>
      </c>
      <c r="U1649" s="2" t="s">
        <v>195</v>
      </c>
    </row>
    <row r="1650" spans="1:21" ht="14.25" customHeight="1" x14ac:dyDescent="0.3">
      <c r="A1650" s="2" t="s">
        <v>3847</v>
      </c>
      <c r="B1650" s="5">
        <v>41722</v>
      </c>
      <c r="C1650" s="2" t="str">
        <f>TEXT(data[[#This Row],[Order Date]],"YYYY")</f>
        <v>2014</v>
      </c>
      <c r="D1650" s="2">
        <v>41727</v>
      </c>
      <c r="E1650" s="2" t="s">
        <v>21</v>
      </c>
      <c r="F1650" s="2" t="s">
        <v>1162</v>
      </c>
      <c r="G1650" s="2" t="s">
        <v>1163</v>
      </c>
      <c r="H1650" s="2" t="s">
        <v>24</v>
      </c>
      <c r="I1650" s="2" t="s">
        <v>25</v>
      </c>
      <c r="J1650" s="2" t="s">
        <v>1133</v>
      </c>
      <c r="K1650" s="2" t="s">
        <v>53</v>
      </c>
      <c r="L1650" s="2" t="s">
        <v>54</v>
      </c>
      <c r="M1650" s="2" t="s">
        <v>2965</v>
      </c>
      <c r="N1650" s="2" t="s">
        <v>30</v>
      </c>
      <c r="O1650" s="2" t="s">
        <v>56</v>
      </c>
      <c r="P1650" s="2" t="s">
        <v>2966</v>
      </c>
      <c r="Q1650" s="2">
        <v>40.479999999999997</v>
      </c>
      <c r="R1650" s="2">
        <v>2</v>
      </c>
      <c r="S1650" s="2">
        <v>14.572800000000001</v>
      </c>
      <c r="T1650" s="2" t="s">
        <v>58</v>
      </c>
      <c r="U1650" s="2" t="s">
        <v>195</v>
      </c>
    </row>
    <row r="1651" spans="1:21" ht="14.25" customHeight="1" x14ac:dyDescent="0.3">
      <c r="A1651" s="2" t="s">
        <v>3848</v>
      </c>
      <c r="B1651" s="5">
        <v>42414</v>
      </c>
      <c r="C1651" s="2" t="str">
        <f>TEXT(data[[#This Row],[Order Date]],"YYYY")</f>
        <v>2016</v>
      </c>
      <c r="D1651" s="2">
        <v>42415</v>
      </c>
      <c r="E1651" s="2" t="s">
        <v>87</v>
      </c>
      <c r="F1651" s="2" t="s">
        <v>189</v>
      </c>
      <c r="G1651" s="2" t="s">
        <v>190</v>
      </c>
      <c r="H1651" s="2" t="s">
        <v>24</v>
      </c>
      <c r="I1651" s="2" t="s">
        <v>25</v>
      </c>
      <c r="J1651" s="2" t="s">
        <v>2522</v>
      </c>
      <c r="K1651" s="2" t="s">
        <v>1089</v>
      </c>
      <c r="L1651" s="2" t="s">
        <v>67</v>
      </c>
      <c r="M1651" s="2" t="s">
        <v>915</v>
      </c>
      <c r="N1651" s="2" t="s">
        <v>30</v>
      </c>
      <c r="O1651" s="2" t="s">
        <v>45</v>
      </c>
      <c r="P1651" s="2" t="s">
        <v>916</v>
      </c>
      <c r="Q1651" s="2">
        <v>550.43100000000004</v>
      </c>
      <c r="R1651" s="2">
        <v>3</v>
      </c>
      <c r="S1651" s="2">
        <v>-47.1798</v>
      </c>
      <c r="T1651" s="2" t="s">
        <v>123</v>
      </c>
      <c r="U1651" s="2" t="s">
        <v>297</v>
      </c>
    </row>
    <row r="1652" spans="1:21" ht="14.25" customHeight="1" x14ac:dyDescent="0.3">
      <c r="A1652" s="2" t="s">
        <v>3848</v>
      </c>
      <c r="B1652" s="5">
        <v>42414</v>
      </c>
      <c r="C1652" s="2" t="str">
        <f>TEXT(data[[#This Row],[Order Date]],"YYYY")</f>
        <v>2016</v>
      </c>
      <c r="D1652" s="2">
        <v>42415</v>
      </c>
      <c r="E1652" s="2" t="s">
        <v>87</v>
      </c>
      <c r="F1652" s="2" t="s">
        <v>189</v>
      </c>
      <c r="G1652" s="2" t="s">
        <v>190</v>
      </c>
      <c r="H1652" s="2" t="s">
        <v>24</v>
      </c>
      <c r="I1652" s="2" t="s">
        <v>25</v>
      </c>
      <c r="J1652" s="2" t="s">
        <v>2522</v>
      </c>
      <c r="K1652" s="2" t="s">
        <v>1089</v>
      </c>
      <c r="L1652" s="2" t="s">
        <v>67</v>
      </c>
      <c r="M1652" s="2" t="s">
        <v>337</v>
      </c>
      <c r="N1652" s="2" t="s">
        <v>30</v>
      </c>
      <c r="O1652" s="2" t="s">
        <v>56</v>
      </c>
      <c r="P1652" s="2" t="s">
        <v>338</v>
      </c>
      <c r="Q1652" s="2">
        <v>10.56</v>
      </c>
      <c r="R1652" s="2">
        <v>6</v>
      </c>
      <c r="S1652" s="2">
        <v>4.6463999999999999</v>
      </c>
      <c r="T1652" s="2" t="s">
        <v>123</v>
      </c>
      <c r="U1652" s="2" t="s">
        <v>297</v>
      </c>
    </row>
    <row r="1653" spans="1:21" ht="14.25" customHeight="1" x14ac:dyDescent="0.3">
      <c r="A1653" s="2" t="s">
        <v>3849</v>
      </c>
      <c r="B1653" s="5">
        <v>42894</v>
      </c>
      <c r="C1653" s="2" t="str">
        <f>TEXT(data[[#This Row],[Order Date]],"YYYY")</f>
        <v>2017</v>
      </c>
      <c r="D1653" s="2">
        <v>42896</v>
      </c>
      <c r="E1653" s="2" t="s">
        <v>87</v>
      </c>
      <c r="F1653" s="2" t="s">
        <v>228</v>
      </c>
      <c r="G1653" s="2" t="s">
        <v>229</v>
      </c>
      <c r="H1653" s="2" t="s">
        <v>100</v>
      </c>
      <c r="I1653" s="2" t="s">
        <v>25</v>
      </c>
      <c r="J1653" s="2" t="s">
        <v>52</v>
      </c>
      <c r="K1653" s="2" t="s">
        <v>53</v>
      </c>
      <c r="L1653" s="2" t="s">
        <v>54</v>
      </c>
      <c r="M1653" s="2" t="s">
        <v>81</v>
      </c>
      <c r="N1653" s="2" t="s">
        <v>30</v>
      </c>
      <c r="O1653" s="2" t="s">
        <v>31</v>
      </c>
      <c r="P1653" s="2" t="s">
        <v>82</v>
      </c>
      <c r="Q1653" s="2">
        <v>1497.6659999999999</v>
      </c>
      <c r="R1653" s="2">
        <v>2</v>
      </c>
      <c r="S1653" s="2">
        <v>140.95679999999999</v>
      </c>
      <c r="T1653" s="2" t="s">
        <v>70</v>
      </c>
      <c r="U1653" s="2" t="s">
        <v>59</v>
      </c>
    </row>
    <row r="1654" spans="1:21" ht="14.25" customHeight="1" x14ac:dyDescent="0.3">
      <c r="A1654" s="2" t="s">
        <v>3850</v>
      </c>
      <c r="B1654" s="5">
        <v>41775</v>
      </c>
      <c r="C1654" s="2" t="str">
        <f>TEXT(data[[#This Row],[Order Date]],"YYYY")</f>
        <v>2014</v>
      </c>
      <c r="D1654" s="2">
        <v>41782</v>
      </c>
      <c r="E1654" s="2" t="s">
        <v>39</v>
      </c>
      <c r="F1654" s="2" t="s">
        <v>3851</v>
      </c>
      <c r="G1654" s="2" t="s">
        <v>3852</v>
      </c>
      <c r="H1654" s="2" t="s">
        <v>90</v>
      </c>
      <c r="I1654" s="2" t="s">
        <v>25</v>
      </c>
      <c r="J1654" s="2" t="s">
        <v>52</v>
      </c>
      <c r="K1654" s="2" t="s">
        <v>53</v>
      </c>
      <c r="L1654" s="2" t="s">
        <v>54</v>
      </c>
      <c r="M1654" s="2" t="s">
        <v>1892</v>
      </c>
      <c r="N1654" s="2" t="s">
        <v>30</v>
      </c>
      <c r="O1654" s="2" t="s">
        <v>36</v>
      </c>
      <c r="P1654" s="2" t="s">
        <v>1893</v>
      </c>
      <c r="Q1654" s="2">
        <v>232.88</v>
      </c>
      <c r="R1654" s="2">
        <v>5</v>
      </c>
      <c r="S1654" s="2">
        <v>17.466000000000001</v>
      </c>
      <c r="T1654" s="2" t="s">
        <v>47</v>
      </c>
      <c r="U1654" s="2" t="s">
        <v>161</v>
      </c>
    </row>
    <row r="1655" spans="1:21" ht="14.25" customHeight="1" x14ac:dyDescent="0.3">
      <c r="A1655" s="2" t="s">
        <v>3853</v>
      </c>
      <c r="B1655" s="5">
        <v>42038</v>
      </c>
      <c r="C1655" s="2" t="str">
        <f>TEXT(data[[#This Row],[Order Date]],"YYYY")</f>
        <v>2015</v>
      </c>
      <c r="D1655" s="2">
        <v>42042</v>
      </c>
      <c r="E1655" s="2" t="s">
        <v>39</v>
      </c>
      <c r="F1655" s="2" t="s">
        <v>3851</v>
      </c>
      <c r="G1655" s="2" t="s">
        <v>3852</v>
      </c>
      <c r="H1655" s="2" t="s">
        <v>90</v>
      </c>
      <c r="I1655" s="2" t="s">
        <v>25</v>
      </c>
      <c r="J1655" s="2" t="s">
        <v>2856</v>
      </c>
      <c r="K1655" s="2" t="s">
        <v>120</v>
      </c>
      <c r="L1655" s="2" t="s">
        <v>67</v>
      </c>
      <c r="M1655" s="2" t="s">
        <v>104</v>
      </c>
      <c r="N1655" s="2" t="s">
        <v>30</v>
      </c>
      <c r="O1655" s="2" t="s">
        <v>36</v>
      </c>
      <c r="P1655" s="2" t="s">
        <v>105</v>
      </c>
      <c r="Q1655" s="2">
        <v>90.882000000000005</v>
      </c>
      <c r="R1655" s="2">
        <v>1</v>
      </c>
      <c r="S1655" s="2">
        <v>15.147</v>
      </c>
      <c r="T1655" s="2" t="s">
        <v>83</v>
      </c>
      <c r="U1655" s="2" t="s">
        <v>297</v>
      </c>
    </row>
    <row r="1656" spans="1:21" ht="14.25" customHeight="1" x14ac:dyDescent="0.3">
      <c r="A1656" s="2" t="s">
        <v>3854</v>
      </c>
      <c r="B1656" s="5">
        <v>42120</v>
      </c>
      <c r="C1656" s="2" t="str">
        <f>TEXT(data[[#This Row],[Order Date]],"YYYY")</f>
        <v>2015</v>
      </c>
      <c r="D1656" s="2">
        <v>42125</v>
      </c>
      <c r="E1656" s="2" t="s">
        <v>39</v>
      </c>
      <c r="F1656" s="2" t="s">
        <v>1960</v>
      </c>
      <c r="G1656" s="2" t="s">
        <v>1961</v>
      </c>
      <c r="H1656" s="2" t="s">
        <v>90</v>
      </c>
      <c r="I1656" s="2" t="s">
        <v>25</v>
      </c>
      <c r="J1656" s="2" t="s">
        <v>639</v>
      </c>
      <c r="K1656" s="2" t="s">
        <v>53</v>
      </c>
      <c r="L1656" s="2" t="s">
        <v>54</v>
      </c>
      <c r="M1656" s="2" t="s">
        <v>2008</v>
      </c>
      <c r="N1656" s="2" t="s">
        <v>30</v>
      </c>
      <c r="O1656" s="2" t="s">
        <v>36</v>
      </c>
      <c r="P1656" s="2" t="s">
        <v>2009</v>
      </c>
      <c r="Q1656" s="2">
        <v>63.936</v>
      </c>
      <c r="R1656" s="2">
        <v>3</v>
      </c>
      <c r="S1656" s="2">
        <v>6.3936000000000002</v>
      </c>
      <c r="T1656" s="2" t="s">
        <v>58</v>
      </c>
      <c r="U1656" s="2" t="s">
        <v>113</v>
      </c>
    </row>
    <row r="1657" spans="1:21" ht="14.25" customHeight="1" x14ac:dyDescent="0.3">
      <c r="A1657" s="2" t="s">
        <v>3855</v>
      </c>
      <c r="B1657" s="5">
        <v>42107</v>
      </c>
      <c r="C1657" s="2" t="str">
        <f>TEXT(data[[#This Row],[Order Date]],"YYYY")</f>
        <v>2015</v>
      </c>
      <c r="D1657" s="2">
        <v>42111</v>
      </c>
      <c r="E1657" s="2" t="s">
        <v>21</v>
      </c>
      <c r="F1657" s="2" t="s">
        <v>2963</v>
      </c>
      <c r="G1657" s="2" t="s">
        <v>2964</v>
      </c>
      <c r="H1657" s="2" t="s">
        <v>24</v>
      </c>
      <c r="I1657" s="2" t="s">
        <v>25</v>
      </c>
      <c r="J1657" s="2" t="s">
        <v>52</v>
      </c>
      <c r="K1657" s="2" t="s">
        <v>53</v>
      </c>
      <c r="L1657" s="2" t="s">
        <v>54</v>
      </c>
      <c r="M1657" s="2" t="s">
        <v>1284</v>
      </c>
      <c r="N1657" s="2" t="s">
        <v>30</v>
      </c>
      <c r="O1657" s="2" t="s">
        <v>45</v>
      </c>
      <c r="P1657" s="2" t="s">
        <v>1285</v>
      </c>
      <c r="Q1657" s="2">
        <v>241.56800000000001</v>
      </c>
      <c r="R1657" s="2">
        <v>2</v>
      </c>
      <c r="S1657" s="2">
        <v>-15.098000000000001</v>
      </c>
      <c r="T1657" s="2" t="s">
        <v>83</v>
      </c>
      <c r="U1657" s="2" t="s">
        <v>113</v>
      </c>
    </row>
    <row r="1658" spans="1:21" ht="14.25" customHeight="1" x14ac:dyDescent="0.3">
      <c r="A1658" s="2" t="s">
        <v>3856</v>
      </c>
      <c r="B1658" s="5">
        <v>42272</v>
      </c>
      <c r="C1658" s="2" t="str">
        <f>TEXT(data[[#This Row],[Order Date]],"YYYY")</f>
        <v>2015</v>
      </c>
      <c r="D1658" s="2">
        <v>42277</v>
      </c>
      <c r="E1658" s="2" t="s">
        <v>39</v>
      </c>
      <c r="F1658" s="2" t="s">
        <v>2024</v>
      </c>
      <c r="G1658" s="2" t="s">
        <v>2025</v>
      </c>
      <c r="H1658" s="2" t="s">
        <v>90</v>
      </c>
      <c r="I1658" s="2" t="s">
        <v>25</v>
      </c>
      <c r="J1658" s="2" t="s">
        <v>191</v>
      </c>
      <c r="K1658" s="2" t="s">
        <v>192</v>
      </c>
      <c r="L1658" s="2" t="s">
        <v>54</v>
      </c>
      <c r="M1658" s="2" t="s">
        <v>1279</v>
      </c>
      <c r="N1658" s="2" t="s">
        <v>30</v>
      </c>
      <c r="O1658" s="2" t="s">
        <v>36</v>
      </c>
      <c r="P1658" s="2" t="s">
        <v>1280</v>
      </c>
      <c r="Q1658" s="2">
        <v>307.13600000000002</v>
      </c>
      <c r="R1658" s="2">
        <v>4</v>
      </c>
      <c r="S1658" s="2">
        <v>-11.5176</v>
      </c>
      <c r="T1658" s="2" t="s">
        <v>58</v>
      </c>
      <c r="U1658" s="2" t="s">
        <v>77</v>
      </c>
    </row>
    <row r="1659" spans="1:21" ht="14.25" customHeight="1" x14ac:dyDescent="0.3">
      <c r="A1659" s="2" t="s">
        <v>3857</v>
      </c>
      <c r="B1659" s="5">
        <v>41726</v>
      </c>
      <c r="C1659" s="2" t="str">
        <f>TEXT(data[[#This Row],[Order Date]],"YYYY")</f>
        <v>2014</v>
      </c>
      <c r="D1659" s="2">
        <v>41731</v>
      </c>
      <c r="E1659" s="2" t="s">
        <v>39</v>
      </c>
      <c r="F1659" s="2" t="s">
        <v>3128</v>
      </c>
      <c r="G1659" s="2" t="s">
        <v>3129</v>
      </c>
      <c r="H1659" s="2" t="s">
        <v>24</v>
      </c>
      <c r="I1659" s="2" t="s">
        <v>25</v>
      </c>
      <c r="J1659" s="2" t="s">
        <v>800</v>
      </c>
      <c r="K1659" s="2" t="s">
        <v>801</v>
      </c>
      <c r="L1659" s="2" t="s">
        <v>93</v>
      </c>
      <c r="M1659" s="2" t="s">
        <v>1671</v>
      </c>
      <c r="N1659" s="2" t="s">
        <v>30</v>
      </c>
      <c r="O1659" s="2" t="s">
        <v>45</v>
      </c>
      <c r="P1659" s="2" t="s">
        <v>1672</v>
      </c>
      <c r="Q1659" s="2">
        <v>1184.72</v>
      </c>
      <c r="R1659" s="2">
        <v>4</v>
      </c>
      <c r="S1659" s="2">
        <v>106.62479999999999</v>
      </c>
      <c r="T1659" s="2" t="s">
        <v>58</v>
      </c>
      <c r="U1659" s="2" t="s">
        <v>195</v>
      </c>
    </row>
    <row r="1660" spans="1:21" ht="14.25" customHeight="1" x14ac:dyDescent="0.3">
      <c r="A1660" s="2" t="s">
        <v>3858</v>
      </c>
      <c r="B1660" s="5">
        <v>42937</v>
      </c>
      <c r="C1660" s="2" t="str">
        <f>TEXT(data[[#This Row],[Order Date]],"YYYY")</f>
        <v>2017</v>
      </c>
      <c r="D1660" s="2">
        <v>42941</v>
      </c>
      <c r="E1660" s="2" t="s">
        <v>39</v>
      </c>
      <c r="F1660" s="2" t="s">
        <v>3859</v>
      </c>
      <c r="G1660" s="2" t="s">
        <v>3860</v>
      </c>
      <c r="H1660" s="2" t="s">
        <v>24</v>
      </c>
      <c r="I1660" s="2" t="s">
        <v>25</v>
      </c>
      <c r="J1660" s="2" t="s">
        <v>2243</v>
      </c>
      <c r="K1660" s="2" t="s">
        <v>92</v>
      </c>
      <c r="L1660" s="2" t="s">
        <v>93</v>
      </c>
      <c r="M1660" s="2" t="s">
        <v>1249</v>
      </c>
      <c r="N1660" s="2" t="s">
        <v>30</v>
      </c>
      <c r="O1660" s="2" t="s">
        <v>45</v>
      </c>
      <c r="P1660" s="2" t="s">
        <v>1250</v>
      </c>
      <c r="Q1660" s="2">
        <v>124.404</v>
      </c>
      <c r="R1660" s="2">
        <v>4</v>
      </c>
      <c r="S1660" s="2">
        <v>-21.3264</v>
      </c>
      <c r="T1660" s="2" t="s">
        <v>83</v>
      </c>
      <c r="U1660" s="2" t="s">
        <v>71</v>
      </c>
    </row>
    <row r="1661" spans="1:21" ht="14.25" customHeight="1" x14ac:dyDescent="0.3">
      <c r="A1661" s="2" t="s">
        <v>3861</v>
      </c>
      <c r="B1661" s="5">
        <v>42427</v>
      </c>
      <c r="C1661" s="2" t="str">
        <f>TEXT(data[[#This Row],[Order Date]],"YYYY")</f>
        <v>2016</v>
      </c>
      <c r="D1661" s="2">
        <v>42431</v>
      </c>
      <c r="E1661" s="2" t="s">
        <v>39</v>
      </c>
      <c r="F1661" s="2" t="s">
        <v>3862</v>
      </c>
      <c r="G1661" s="2" t="s">
        <v>3863</v>
      </c>
      <c r="H1661" s="2" t="s">
        <v>24</v>
      </c>
      <c r="I1661" s="2" t="s">
        <v>25</v>
      </c>
      <c r="J1661" s="2" t="s">
        <v>101</v>
      </c>
      <c r="K1661" s="2" t="s">
        <v>92</v>
      </c>
      <c r="L1661" s="2" t="s">
        <v>93</v>
      </c>
      <c r="M1661" s="2" t="s">
        <v>2795</v>
      </c>
      <c r="N1661" s="2" t="s">
        <v>30</v>
      </c>
      <c r="O1661" s="2" t="s">
        <v>56</v>
      </c>
      <c r="P1661" s="2" t="s">
        <v>2796</v>
      </c>
      <c r="Q1661" s="2">
        <v>16.192</v>
      </c>
      <c r="R1661" s="2">
        <v>2</v>
      </c>
      <c r="S1661" s="2">
        <v>-6.8815999999999997</v>
      </c>
      <c r="T1661" s="2" t="s">
        <v>83</v>
      </c>
      <c r="U1661" s="2" t="s">
        <v>297</v>
      </c>
    </row>
    <row r="1662" spans="1:21" ht="14.25" customHeight="1" x14ac:dyDescent="0.3">
      <c r="A1662" s="2" t="s">
        <v>3864</v>
      </c>
      <c r="B1662" s="5">
        <v>42199</v>
      </c>
      <c r="C1662" s="2" t="str">
        <f>TEXT(data[[#This Row],[Order Date]],"YYYY")</f>
        <v>2015</v>
      </c>
      <c r="D1662" s="2">
        <v>42204</v>
      </c>
      <c r="E1662" s="2" t="s">
        <v>21</v>
      </c>
      <c r="F1662" s="2" t="s">
        <v>3865</v>
      </c>
      <c r="G1662" s="2" t="s">
        <v>3866</v>
      </c>
      <c r="H1662" s="2" t="s">
        <v>24</v>
      </c>
      <c r="I1662" s="2" t="s">
        <v>25</v>
      </c>
      <c r="J1662" s="2" t="s">
        <v>914</v>
      </c>
      <c r="K1662" s="2" t="s">
        <v>520</v>
      </c>
      <c r="L1662" s="2" t="s">
        <v>54</v>
      </c>
      <c r="M1662" s="2" t="s">
        <v>246</v>
      </c>
      <c r="N1662" s="2" t="s">
        <v>30</v>
      </c>
      <c r="O1662" s="2" t="s">
        <v>36</v>
      </c>
      <c r="P1662" s="2" t="s">
        <v>247</v>
      </c>
      <c r="Q1662" s="2">
        <v>441.92</v>
      </c>
      <c r="R1662" s="2">
        <v>2</v>
      </c>
      <c r="S1662" s="2">
        <v>49.716000000000001</v>
      </c>
      <c r="T1662" s="2" t="s">
        <v>58</v>
      </c>
      <c r="U1662" s="2" t="s">
        <v>71</v>
      </c>
    </row>
    <row r="1663" spans="1:21" ht="14.25" customHeight="1" x14ac:dyDescent="0.3">
      <c r="A1663" s="2" t="s">
        <v>3864</v>
      </c>
      <c r="B1663" s="5">
        <v>42199</v>
      </c>
      <c r="C1663" s="2" t="str">
        <f>TEXT(data[[#This Row],[Order Date]],"YYYY")</f>
        <v>2015</v>
      </c>
      <c r="D1663" s="2">
        <v>42204</v>
      </c>
      <c r="E1663" s="2" t="s">
        <v>21</v>
      </c>
      <c r="F1663" s="2" t="s">
        <v>3865</v>
      </c>
      <c r="G1663" s="2" t="s">
        <v>3866</v>
      </c>
      <c r="H1663" s="2" t="s">
        <v>24</v>
      </c>
      <c r="I1663" s="2" t="s">
        <v>25</v>
      </c>
      <c r="J1663" s="2" t="s">
        <v>914</v>
      </c>
      <c r="K1663" s="2" t="s">
        <v>520</v>
      </c>
      <c r="L1663" s="2" t="s">
        <v>54</v>
      </c>
      <c r="M1663" s="2" t="s">
        <v>2479</v>
      </c>
      <c r="N1663" s="2" t="s">
        <v>30</v>
      </c>
      <c r="O1663" s="2" t="s">
        <v>31</v>
      </c>
      <c r="P1663" s="2" t="s">
        <v>2480</v>
      </c>
      <c r="Q1663" s="2">
        <v>127.764</v>
      </c>
      <c r="R1663" s="2">
        <v>6</v>
      </c>
      <c r="S1663" s="2">
        <v>-191.64599999999999</v>
      </c>
      <c r="T1663" s="2" t="s">
        <v>58</v>
      </c>
      <c r="U1663" s="2" t="s">
        <v>71</v>
      </c>
    </row>
    <row r="1664" spans="1:21" ht="14.25" customHeight="1" x14ac:dyDescent="0.3">
      <c r="A1664" s="2" t="s">
        <v>3867</v>
      </c>
      <c r="B1664" s="5">
        <v>42646</v>
      </c>
      <c r="C1664" s="2" t="str">
        <f>TEXT(data[[#This Row],[Order Date]],"YYYY")</f>
        <v>2016</v>
      </c>
      <c r="D1664" s="2">
        <v>42650</v>
      </c>
      <c r="E1664" s="2" t="s">
        <v>39</v>
      </c>
      <c r="F1664" s="2" t="s">
        <v>2301</v>
      </c>
      <c r="G1664" s="2" t="s">
        <v>2302</v>
      </c>
      <c r="H1664" s="2" t="s">
        <v>100</v>
      </c>
      <c r="I1664" s="2" t="s">
        <v>25</v>
      </c>
      <c r="J1664" s="2" t="s">
        <v>3265</v>
      </c>
      <c r="K1664" s="2" t="s">
        <v>53</v>
      </c>
      <c r="L1664" s="2" t="s">
        <v>54</v>
      </c>
      <c r="M1664" s="2" t="s">
        <v>206</v>
      </c>
      <c r="N1664" s="2" t="s">
        <v>30</v>
      </c>
      <c r="O1664" s="2" t="s">
        <v>36</v>
      </c>
      <c r="P1664" s="2" t="s">
        <v>207</v>
      </c>
      <c r="Q1664" s="2">
        <v>915.13599999999997</v>
      </c>
      <c r="R1664" s="2">
        <v>4</v>
      </c>
      <c r="S1664" s="2">
        <v>102.9528</v>
      </c>
      <c r="T1664" s="2" t="s">
        <v>83</v>
      </c>
      <c r="U1664" s="2" t="s">
        <v>48</v>
      </c>
    </row>
    <row r="1665" spans="1:21" ht="14.25" customHeight="1" x14ac:dyDescent="0.3">
      <c r="A1665" s="2" t="s">
        <v>3868</v>
      </c>
      <c r="B1665" s="5">
        <v>42703</v>
      </c>
      <c r="C1665" s="2" t="str">
        <f>TEXT(data[[#This Row],[Order Date]],"YYYY")</f>
        <v>2016</v>
      </c>
      <c r="D1665" s="2">
        <v>42708</v>
      </c>
      <c r="E1665" s="2" t="s">
        <v>21</v>
      </c>
      <c r="F1665" s="2" t="s">
        <v>2113</v>
      </c>
      <c r="G1665" s="2" t="s">
        <v>2114</v>
      </c>
      <c r="H1665" s="2" t="s">
        <v>100</v>
      </c>
      <c r="I1665" s="2" t="s">
        <v>25</v>
      </c>
      <c r="J1665" s="2" t="s">
        <v>179</v>
      </c>
      <c r="K1665" s="2" t="s">
        <v>134</v>
      </c>
      <c r="L1665" s="2" t="s">
        <v>93</v>
      </c>
      <c r="M1665" s="2" t="s">
        <v>3676</v>
      </c>
      <c r="N1665" s="2" t="s">
        <v>30</v>
      </c>
      <c r="O1665" s="2" t="s">
        <v>56</v>
      </c>
      <c r="P1665" s="2" t="s">
        <v>3677</v>
      </c>
      <c r="Q1665" s="2">
        <v>242.17599999999999</v>
      </c>
      <c r="R1665" s="2">
        <v>4</v>
      </c>
      <c r="S1665" s="2">
        <v>-302.72000000000003</v>
      </c>
      <c r="T1665" s="2" t="s">
        <v>58</v>
      </c>
      <c r="U1665" s="2" t="s">
        <v>34</v>
      </c>
    </row>
    <row r="1666" spans="1:21" ht="14.25" customHeight="1" x14ac:dyDescent="0.3">
      <c r="A1666" s="2" t="s">
        <v>3869</v>
      </c>
      <c r="B1666" s="5">
        <v>42535</v>
      </c>
      <c r="C1666" s="2" t="str">
        <f>TEXT(data[[#This Row],[Order Date]],"YYYY")</f>
        <v>2016</v>
      </c>
      <c r="D1666" s="2">
        <v>42542</v>
      </c>
      <c r="E1666" s="2" t="s">
        <v>39</v>
      </c>
      <c r="F1666" s="2" t="s">
        <v>3870</v>
      </c>
      <c r="G1666" s="2" t="s">
        <v>3871</v>
      </c>
      <c r="H1666" s="2" t="s">
        <v>90</v>
      </c>
      <c r="I1666" s="2" t="s">
        <v>25</v>
      </c>
      <c r="J1666" s="2" t="s">
        <v>65</v>
      </c>
      <c r="K1666" s="2" t="s">
        <v>66</v>
      </c>
      <c r="L1666" s="2" t="s">
        <v>67</v>
      </c>
      <c r="M1666" s="2" t="s">
        <v>2819</v>
      </c>
      <c r="N1666" s="2" t="s">
        <v>30</v>
      </c>
      <c r="O1666" s="2" t="s">
        <v>45</v>
      </c>
      <c r="P1666" s="2" t="s">
        <v>2820</v>
      </c>
      <c r="Q1666" s="2">
        <v>337.17599999999999</v>
      </c>
      <c r="R1666" s="2">
        <v>2</v>
      </c>
      <c r="S1666" s="2">
        <v>-118.0116</v>
      </c>
      <c r="T1666" s="2" t="s">
        <v>47</v>
      </c>
      <c r="U1666" s="2" t="s">
        <v>59</v>
      </c>
    </row>
    <row r="1667" spans="1:21" ht="14.25" customHeight="1" x14ac:dyDescent="0.3">
      <c r="A1667" s="2" t="s">
        <v>3872</v>
      </c>
      <c r="B1667" s="5">
        <v>43072</v>
      </c>
      <c r="C1667" s="2" t="str">
        <f>TEXT(data[[#This Row],[Order Date]],"YYYY")</f>
        <v>2017</v>
      </c>
      <c r="D1667" s="2">
        <v>43075</v>
      </c>
      <c r="E1667" s="2" t="s">
        <v>21</v>
      </c>
      <c r="F1667" s="2" t="s">
        <v>177</v>
      </c>
      <c r="G1667" s="2" t="s">
        <v>178</v>
      </c>
      <c r="H1667" s="2" t="s">
        <v>24</v>
      </c>
      <c r="I1667" s="2" t="s">
        <v>25</v>
      </c>
      <c r="J1667" s="2" t="s">
        <v>3873</v>
      </c>
      <c r="K1667" s="2" t="s">
        <v>180</v>
      </c>
      <c r="L1667" s="2" t="s">
        <v>54</v>
      </c>
      <c r="M1667" s="2" t="s">
        <v>315</v>
      </c>
      <c r="N1667" s="2" t="s">
        <v>30</v>
      </c>
      <c r="O1667" s="2" t="s">
        <v>56</v>
      </c>
      <c r="P1667" s="2" t="s">
        <v>316</v>
      </c>
      <c r="Q1667" s="2">
        <v>23.376000000000001</v>
      </c>
      <c r="R1667" s="2">
        <v>3</v>
      </c>
      <c r="S1667" s="2">
        <v>7.0128000000000004</v>
      </c>
      <c r="T1667" s="2" t="s">
        <v>33</v>
      </c>
      <c r="U1667" s="2" t="s">
        <v>96</v>
      </c>
    </row>
    <row r="1668" spans="1:21" ht="14.25" customHeight="1" x14ac:dyDescent="0.3">
      <c r="A1668" s="2" t="s">
        <v>3872</v>
      </c>
      <c r="B1668" s="5">
        <v>43072</v>
      </c>
      <c r="C1668" s="2" t="str">
        <f>TEXT(data[[#This Row],[Order Date]],"YYYY")</f>
        <v>2017</v>
      </c>
      <c r="D1668" s="2">
        <v>43075</v>
      </c>
      <c r="E1668" s="2" t="s">
        <v>21</v>
      </c>
      <c r="F1668" s="2" t="s">
        <v>177</v>
      </c>
      <c r="G1668" s="2" t="s">
        <v>178</v>
      </c>
      <c r="H1668" s="2" t="s">
        <v>24</v>
      </c>
      <c r="I1668" s="2" t="s">
        <v>25</v>
      </c>
      <c r="J1668" s="2" t="s">
        <v>3873</v>
      </c>
      <c r="K1668" s="2" t="s">
        <v>180</v>
      </c>
      <c r="L1668" s="2" t="s">
        <v>54</v>
      </c>
      <c r="M1668" s="2" t="s">
        <v>1311</v>
      </c>
      <c r="N1668" s="2" t="s">
        <v>30</v>
      </c>
      <c r="O1668" s="2" t="s">
        <v>56</v>
      </c>
      <c r="P1668" s="2" t="s">
        <v>1312</v>
      </c>
      <c r="Q1668" s="2">
        <v>16.72</v>
      </c>
      <c r="R1668" s="2">
        <v>5</v>
      </c>
      <c r="S1668" s="2">
        <v>3.3439999999999999</v>
      </c>
      <c r="T1668" s="2" t="s">
        <v>33</v>
      </c>
      <c r="U1668" s="2" t="s">
        <v>96</v>
      </c>
    </row>
    <row r="1669" spans="1:21" ht="14.25" customHeight="1" x14ac:dyDescent="0.3">
      <c r="A1669" s="2" t="s">
        <v>3872</v>
      </c>
      <c r="B1669" s="5">
        <v>43072</v>
      </c>
      <c r="C1669" s="2" t="str">
        <f>TEXT(data[[#This Row],[Order Date]],"YYYY")</f>
        <v>2017</v>
      </c>
      <c r="D1669" s="2">
        <v>43075</v>
      </c>
      <c r="E1669" s="2" t="s">
        <v>21</v>
      </c>
      <c r="F1669" s="2" t="s">
        <v>177</v>
      </c>
      <c r="G1669" s="2" t="s">
        <v>178</v>
      </c>
      <c r="H1669" s="2" t="s">
        <v>24</v>
      </c>
      <c r="I1669" s="2" t="s">
        <v>25</v>
      </c>
      <c r="J1669" s="2" t="s">
        <v>3873</v>
      </c>
      <c r="K1669" s="2" t="s">
        <v>180</v>
      </c>
      <c r="L1669" s="2" t="s">
        <v>54</v>
      </c>
      <c r="M1669" s="2" t="s">
        <v>2795</v>
      </c>
      <c r="N1669" s="2" t="s">
        <v>30</v>
      </c>
      <c r="O1669" s="2" t="s">
        <v>56</v>
      </c>
      <c r="P1669" s="2" t="s">
        <v>2796</v>
      </c>
      <c r="Q1669" s="2">
        <v>16.192</v>
      </c>
      <c r="R1669" s="2">
        <v>1</v>
      </c>
      <c r="S1669" s="2">
        <v>4.6551999999999998</v>
      </c>
      <c r="T1669" s="2" t="s">
        <v>33</v>
      </c>
      <c r="U1669" s="2" t="s">
        <v>96</v>
      </c>
    </row>
    <row r="1670" spans="1:21" ht="14.25" customHeight="1" x14ac:dyDescent="0.3">
      <c r="A1670" s="2" t="s">
        <v>3874</v>
      </c>
      <c r="B1670" s="5">
        <v>42729</v>
      </c>
      <c r="C1670" s="2" t="str">
        <f>TEXT(data[[#This Row],[Order Date]],"YYYY")</f>
        <v>2016</v>
      </c>
      <c r="D1670" s="2">
        <v>42733</v>
      </c>
      <c r="E1670" s="2" t="s">
        <v>39</v>
      </c>
      <c r="F1670" s="2" t="s">
        <v>3875</v>
      </c>
      <c r="G1670" s="2" t="s">
        <v>3876</v>
      </c>
      <c r="H1670" s="2" t="s">
        <v>24</v>
      </c>
      <c r="I1670" s="2" t="s">
        <v>25</v>
      </c>
      <c r="J1670" s="2" t="s">
        <v>1911</v>
      </c>
      <c r="K1670" s="2" t="s">
        <v>1058</v>
      </c>
      <c r="L1670" s="2" t="s">
        <v>28</v>
      </c>
      <c r="M1670" s="2" t="s">
        <v>705</v>
      </c>
      <c r="N1670" s="2" t="s">
        <v>30</v>
      </c>
      <c r="O1670" s="2" t="s">
        <v>56</v>
      </c>
      <c r="P1670" s="2" t="s">
        <v>706</v>
      </c>
      <c r="Q1670" s="2">
        <v>343.85</v>
      </c>
      <c r="R1670" s="2">
        <v>5</v>
      </c>
      <c r="S1670" s="2">
        <v>137.54</v>
      </c>
      <c r="T1670" s="2" t="s">
        <v>83</v>
      </c>
      <c r="U1670" s="2" t="s">
        <v>96</v>
      </c>
    </row>
    <row r="1671" spans="1:21" ht="14.25" customHeight="1" x14ac:dyDescent="0.3">
      <c r="A1671" s="2" t="s">
        <v>3877</v>
      </c>
      <c r="B1671" s="5">
        <v>42960</v>
      </c>
      <c r="C1671" s="2" t="str">
        <f>TEXT(data[[#This Row],[Order Date]],"YYYY")</f>
        <v>2017</v>
      </c>
      <c r="D1671" s="2">
        <v>42965</v>
      </c>
      <c r="E1671" s="2" t="s">
        <v>39</v>
      </c>
      <c r="F1671" s="2" t="s">
        <v>3878</v>
      </c>
      <c r="G1671" s="2" t="s">
        <v>3879</v>
      </c>
      <c r="H1671" s="2" t="s">
        <v>24</v>
      </c>
      <c r="I1671" s="2" t="s">
        <v>25</v>
      </c>
      <c r="J1671" s="2" t="s">
        <v>140</v>
      </c>
      <c r="K1671" s="2" t="s">
        <v>141</v>
      </c>
      <c r="L1671" s="2" t="s">
        <v>28</v>
      </c>
      <c r="M1671" s="2" t="s">
        <v>1123</v>
      </c>
      <c r="N1671" s="2" t="s">
        <v>30</v>
      </c>
      <c r="O1671" s="2" t="s">
        <v>56</v>
      </c>
      <c r="P1671" s="2" t="s">
        <v>1124</v>
      </c>
      <c r="Q1671" s="2">
        <v>31.984000000000002</v>
      </c>
      <c r="R1671" s="2">
        <v>1</v>
      </c>
      <c r="S1671" s="2">
        <v>0</v>
      </c>
      <c r="T1671" s="2" t="s">
        <v>58</v>
      </c>
      <c r="U1671" s="2" t="s">
        <v>253</v>
      </c>
    </row>
    <row r="1672" spans="1:21" ht="14.25" customHeight="1" x14ac:dyDescent="0.3">
      <c r="A1672" s="2" t="s">
        <v>3877</v>
      </c>
      <c r="B1672" s="5">
        <v>42960</v>
      </c>
      <c r="C1672" s="2" t="str">
        <f>TEXT(data[[#This Row],[Order Date]],"YYYY")</f>
        <v>2017</v>
      </c>
      <c r="D1672" s="2">
        <v>42965</v>
      </c>
      <c r="E1672" s="2" t="s">
        <v>39</v>
      </c>
      <c r="F1672" s="2" t="s">
        <v>3878</v>
      </c>
      <c r="G1672" s="2" t="s">
        <v>3879</v>
      </c>
      <c r="H1672" s="2" t="s">
        <v>24</v>
      </c>
      <c r="I1672" s="2" t="s">
        <v>25</v>
      </c>
      <c r="J1672" s="2" t="s">
        <v>140</v>
      </c>
      <c r="K1672" s="2" t="s">
        <v>141</v>
      </c>
      <c r="L1672" s="2" t="s">
        <v>28</v>
      </c>
      <c r="M1672" s="2" t="s">
        <v>3591</v>
      </c>
      <c r="N1672" s="2" t="s">
        <v>30</v>
      </c>
      <c r="O1672" s="2" t="s">
        <v>36</v>
      </c>
      <c r="P1672" s="2" t="s">
        <v>3592</v>
      </c>
      <c r="Q1672" s="2">
        <v>423.64800000000002</v>
      </c>
      <c r="R1672" s="2">
        <v>2</v>
      </c>
      <c r="S1672" s="2">
        <v>47.660400000000003</v>
      </c>
      <c r="T1672" s="2" t="s">
        <v>58</v>
      </c>
      <c r="U1672" s="2" t="s">
        <v>253</v>
      </c>
    </row>
    <row r="1673" spans="1:21" ht="14.25" customHeight="1" x14ac:dyDescent="0.3">
      <c r="A1673" s="2" t="s">
        <v>3880</v>
      </c>
      <c r="B1673" s="5">
        <v>42707</v>
      </c>
      <c r="C1673" s="2" t="str">
        <f>TEXT(data[[#This Row],[Order Date]],"YYYY")</f>
        <v>2016</v>
      </c>
      <c r="D1673" s="2">
        <v>42711</v>
      </c>
      <c r="E1673" s="2" t="s">
        <v>39</v>
      </c>
      <c r="F1673" s="2" t="s">
        <v>2853</v>
      </c>
      <c r="G1673" s="2" t="s">
        <v>2854</v>
      </c>
      <c r="H1673" s="2" t="s">
        <v>24</v>
      </c>
      <c r="I1673" s="2" t="s">
        <v>25</v>
      </c>
      <c r="J1673" s="2" t="s">
        <v>3881</v>
      </c>
      <c r="K1673" s="2" t="s">
        <v>53</v>
      </c>
      <c r="L1673" s="2" t="s">
        <v>54</v>
      </c>
      <c r="M1673" s="2" t="s">
        <v>1040</v>
      </c>
      <c r="N1673" s="2" t="s">
        <v>30</v>
      </c>
      <c r="O1673" s="2" t="s">
        <v>45</v>
      </c>
      <c r="P1673" s="2" t="s">
        <v>1041</v>
      </c>
      <c r="Q1673" s="2">
        <v>268.70400000000001</v>
      </c>
      <c r="R1673" s="2">
        <v>3</v>
      </c>
      <c r="S1673" s="2">
        <v>6.7176</v>
      </c>
      <c r="T1673" s="2" t="s">
        <v>83</v>
      </c>
      <c r="U1673" s="2" t="s">
        <v>96</v>
      </c>
    </row>
    <row r="1674" spans="1:21" ht="14.25" customHeight="1" x14ac:dyDescent="0.3">
      <c r="A1674" s="2" t="s">
        <v>3880</v>
      </c>
      <c r="B1674" s="5">
        <v>42707</v>
      </c>
      <c r="C1674" s="2" t="str">
        <f>TEXT(data[[#This Row],[Order Date]],"YYYY")</f>
        <v>2016</v>
      </c>
      <c r="D1674" s="2">
        <v>42711</v>
      </c>
      <c r="E1674" s="2" t="s">
        <v>39</v>
      </c>
      <c r="F1674" s="2" t="s">
        <v>2853</v>
      </c>
      <c r="G1674" s="2" t="s">
        <v>2854</v>
      </c>
      <c r="H1674" s="2" t="s">
        <v>24</v>
      </c>
      <c r="I1674" s="2" t="s">
        <v>25</v>
      </c>
      <c r="J1674" s="2" t="s">
        <v>3881</v>
      </c>
      <c r="K1674" s="2" t="s">
        <v>53</v>
      </c>
      <c r="L1674" s="2" t="s">
        <v>54</v>
      </c>
      <c r="M1674" s="2" t="s">
        <v>542</v>
      </c>
      <c r="N1674" s="2" t="s">
        <v>30</v>
      </c>
      <c r="O1674" s="2" t="s">
        <v>31</v>
      </c>
      <c r="P1674" s="2" t="s">
        <v>543</v>
      </c>
      <c r="Q1674" s="2">
        <v>205.666</v>
      </c>
      <c r="R1674" s="2">
        <v>2</v>
      </c>
      <c r="S1674" s="2">
        <v>-12.098000000000001</v>
      </c>
      <c r="T1674" s="2" t="s">
        <v>83</v>
      </c>
      <c r="U1674" s="2" t="s">
        <v>96</v>
      </c>
    </row>
    <row r="1675" spans="1:21" ht="14.25" customHeight="1" x14ac:dyDescent="0.3">
      <c r="A1675" s="2" t="s">
        <v>3882</v>
      </c>
      <c r="B1675" s="5">
        <v>42488</v>
      </c>
      <c r="C1675" s="2" t="str">
        <f>TEXT(data[[#This Row],[Order Date]],"YYYY")</f>
        <v>2016</v>
      </c>
      <c r="D1675" s="2">
        <v>42490</v>
      </c>
      <c r="E1675" s="2" t="s">
        <v>21</v>
      </c>
      <c r="F1675" s="2" t="s">
        <v>3789</v>
      </c>
      <c r="G1675" s="2" t="s">
        <v>3790</v>
      </c>
      <c r="H1675" s="2" t="s">
        <v>24</v>
      </c>
      <c r="I1675" s="2" t="s">
        <v>25</v>
      </c>
      <c r="J1675" s="2" t="s">
        <v>3657</v>
      </c>
      <c r="K1675" s="2" t="s">
        <v>134</v>
      </c>
      <c r="L1675" s="2" t="s">
        <v>93</v>
      </c>
      <c r="M1675" s="2" t="s">
        <v>967</v>
      </c>
      <c r="N1675" s="2" t="s">
        <v>30</v>
      </c>
      <c r="O1675" s="2" t="s">
        <v>56</v>
      </c>
      <c r="P1675" s="2" t="s">
        <v>968</v>
      </c>
      <c r="Q1675" s="2">
        <v>30.344000000000001</v>
      </c>
      <c r="R1675" s="2">
        <v>2</v>
      </c>
      <c r="S1675" s="2">
        <v>-31.8612</v>
      </c>
      <c r="T1675" s="2" t="s">
        <v>70</v>
      </c>
      <c r="U1675" s="2" t="s">
        <v>113</v>
      </c>
    </row>
    <row r="1676" spans="1:21" ht="14.25" customHeight="1" x14ac:dyDescent="0.3">
      <c r="A1676" s="2" t="s">
        <v>3883</v>
      </c>
      <c r="B1676" s="5">
        <v>42328</v>
      </c>
      <c r="C1676" s="2" t="str">
        <f>TEXT(data[[#This Row],[Order Date]],"YYYY")</f>
        <v>2015</v>
      </c>
      <c r="D1676" s="2">
        <v>42332</v>
      </c>
      <c r="E1676" s="2" t="s">
        <v>39</v>
      </c>
      <c r="F1676" s="2" t="s">
        <v>3884</v>
      </c>
      <c r="G1676" s="2" t="s">
        <v>3885</v>
      </c>
      <c r="H1676" s="2" t="s">
        <v>100</v>
      </c>
      <c r="I1676" s="2" t="s">
        <v>25</v>
      </c>
      <c r="J1676" s="2" t="s">
        <v>65</v>
      </c>
      <c r="K1676" s="2" t="s">
        <v>66</v>
      </c>
      <c r="L1676" s="2" t="s">
        <v>67</v>
      </c>
      <c r="M1676" s="2" t="s">
        <v>1028</v>
      </c>
      <c r="N1676" s="2" t="s">
        <v>30</v>
      </c>
      <c r="O1676" s="2" t="s">
        <v>36</v>
      </c>
      <c r="P1676" s="2" t="s">
        <v>1029</v>
      </c>
      <c r="Q1676" s="2">
        <v>344.37200000000001</v>
      </c>
      <c r="R1676" s="2">
        <v>4</v>
      </c>
      <c r="S1676" s="2">
        <v>-93.472399999999993</v>
      </c>
      <c r="T1676" s="2" t="s">
        <v>83</v>
      </c>
      <c r="U1676" s="2" t="s">
        <v>34</v>
      </c>
    </row>
    <row r="1677" spans="1:21" ht="14.25" customHeight="1" x14ac:dyDescent="0.3">
      <c r="A1677" s="2" t="s">
        <v>3886</v>
      </c>
      <c r="B1677" s="5">
        <v>43059</v>
      </c>
      <c r="C1677" s="2" t="str">
        <f>TEXT(data[[#This Row],[Order Date]],"YYYY")</f>
        <v>2017</v>
      </c>
      <c r="D1677" s="2">
        <v>43063</v>
      </c>
      <c r="E1677" s="2" t="s">
        <v>21</v>
      </c>
      <c r="F1677" s="2" t="s">
        <v>1529</v>
      </c>
      <c r="G1677" s="2" t="s">
        <v>1530</v>
      </c>
      <c r="H1677" s="2" t="s">
        <v>90</v>
      </c>
      <c r="I1677" s="2" t="s">
        <v>25</v>
      </c>
      <c r="J1677" s="2" t="s">
        <v>173</v>
      </c>
      <c r="K1677" s="2" t="s">
        <v>120</v>
      </c>
      <c r="L1677" s="2" t="s">
        <v>67</v>
      </c>
      <c r="M1677" s="2" t="s">
        <v>3545</v>
      </c>
      <c r="N1677" s="2" t="s">
        <v>30</v>
      </c>
      <c r="O1677" s="2" t="s">
        <v>56</v>
      </c>
      <c r="P1677" s="2" t="s">
        <v>3546</v>
      </c>
      <c r="Q1677" s="2">
        <v>50.97</v>
      </c>
      <c r="R1677" s="2">
        <v>3</v>
      </c>
      <c r="S1677" s="2">
        <v>9.1745999999999999</v>
      </c>
      <c r="T1677" s="2" t="s">
        <v>83</v>
      </c>
      <c r="U1677" s="2" t="s">
        <v>34</v>
      </c>
    </row>
    <row r="1678" spans="1:21" ht="14.25" customHeight="1" x14ac:dyDescent="0.3">
      <c r="A1678" s="2" t="s">
        <v>3887</v>
      </c>
      <c r="B1678" s="5">
        <v>42941</v>
      </c>
      <c r="C1678" s="2" t="str">
        <f>TEXT(data[[#This Row],[Order Date]],"YYYY")</f>
        <v>2017</v>
      </c>
      <c r="D1678" s="2">
        <v>42943</v>
      </c>
      <c r="E1678" s="2" t="s">
        <v>87</v>
      </c>
      <c r="F1678" s="2" t="s">
        <v>3888</v>
      </c>
      <c r="G1678" s="2" t="s">
        <v>3889</v>
      </c>
      <c r="H1678" s="2" t="s">
        <v>100</v>
      </c>
      <c r="I1678" s="2" t="s">
        <v>25</v>
      </c>
      <c r="J1678" s="2" t="s">
        <v>1739</v>
      </c>
      <c r="K1678" s="2" t="s">
        <v>92</v>
      </c>
      <c r="L1678" s="2" t="s">
        <v>93</v>
      </c>
      <c r="M1678" s="2" t="s">
        <v>1567</v>
      </c>
      <c r="N1678" s="2" t="s">
        <v>30</v>
      </c>
      <c r="O1678" s="2" t="s">
        <v>45</v>
      </c>
      <c r="P1678" s="2" t="s">
        <v>1568</v>
      </c>
      <c r="Q1678" s="2">
        <v>298.11599999999999</v>
      </c>
      <c r="R1678" s="2">
        <v>6</v>
      </c>
      <c r="S1678" s="2">
        <v>-4.2587999999999999</v>
      </c>
      <c r="T1678" s="2" t="s">
        <v>70</v>
      </c>
      <c r="U1678" s="2" t="s">
        <v>71</v>
      </c>
    </row>
    <row r="1679" spans="1:21" ht="14.25" customHeight="1" x14ac:dyDescent="0.3">
      <c r="A1679" s="2" t="s">
        <v>3890</v>
      </c>
      <c r="B1679" s="5">
        <v>42566</v>
      </c>
      <c r="C1679" s="2" t="str">
        <f>TEXT(data[[#This Row],[Order Date]],"YYYY")</f>
        <v>2016</v>
      </c>
      <c r="D1679" s="2">
        <v>42571</v>
      </c>
      <c r="E1679" s="2" t="s">
        <v>39</v>
      </c>
      <c r="F1679" s="2" t="s">
        <v>2412</v>
      </c>
      <c r="G1679" s="2" t="s">
        <v>2413</v>
      </c>
      <c r="H1679" s="2" t="s">
        <v>90</v>
      </c>
      <c r="I1679" s="2" t="s">
        <v>25</v>
      </c>
      <c r="J1679" s="2" t="s">
        <v>3398</v>
      </c>
      <c r="K1679" s="2" t="s">
        <v>1517</v>
      </c>
      <c r="L1679" s="2" t="s">
        <v>54</v>
      </c>
      <c r="M1679" s="2" t="s">
        <v>466</v>
      </c>
      <c r="N1679" s="2" t="s">
        <v>30</v>
      </c>
      <c r="O1679" s="2" t="s">
        <v>36</v>
      </c>
      <c r="P1679" s="2" t="s">
        <v>467</v>
      </c>
      <c r="Q1679" s="2">
        <v>230.28</v>
      </c>
      <c r="R1679" s="2">
        <v>3</v>
      </c>
      <c r="S1679" s="2">
        <v>23.027999999999999</v>
      </c>
      <c r="T1679" s="2" t="s">
        <v>58</v>
      </c>
      <c r="U1679" s="2" t="s">
        <v>71</v>
      </c>
    </row>
    <row r="1680" spans="1:21" ht="14.25" customHeight="1" x14ac:dyDescent="0.3">
      <c r="A1680" s="2" t="s">
        <v>3891</v>
      </c>
      <c r="B1680" s="5">
        <v>42718</v>
      </c>
      <c r="C1680" s="2" t="str">
        <f>TEXT(data[[#This Row],[Order Date]],"YYYY")</f>
        <v>2016</v>
      </c>
      <c r="D1680" s="2">
        <v>42721</v>
      </c>
      <c r="E1680" s="2" t="s">
        <v>87</v>
      </c>
      <c r="F1680" s="2" t="s">
        <v>286</v>
      </c>
      <c r="G1680" s="2" t="s">
        <v>287</v>
      </c>
      <c r="H1680" s="2" t="s">
        <v>90</v>
      </c>
      <c r="I1680" s="2" t="s">
        <v>25</v>
      </c>
      <c r="J1680" s="2" t="s">
        <v>639</v>
      </c>
      <c r="K1680" s="2" t="s">
        <v>53</v>
      </c>
      <c r="L1680" s="2" t="s">
        <v>54</v>
      </c>
      <c r="M1680" s="2" t="s">
        <v>135</v>
      </c>
      <c r="N1680" s="2" t="s">
        <v>30</v>
      </c>
      <c r="O1680" s="2" t="s">
        <v>36</v>
      </c>
      <c r="P1680" s="2" t="s">
        <v>217</v>
      </c>
      <c r="Q1680" s="2">
        <v>81.424000000000007</v>
      </c>
      <c r="R1680" s="2">
        <v>2</v>
      </c>
      <c r="S1680" s="2">
        <v>-9.1601999999999997</v>
      </c>
      <c r="T1680" s="2" t="s">
        <v>33</v>
      </c>
      <c r="U1680" s="2" t="s">
        <v>96</v>
      </c>
    </row>
    <row r="1681" spans="1:21" ht="14.25" customHeight="1" x14ac:dyDescent="0.3">
      <c r="A1681" s="2" t="s">
        <v>3892</v>
      </c>
      <c r="B1681" s="5">
        <v>41699</v>
      </c>
      <c r="C1681" s="2" t="str">
        <f>TEXT(data[[#This Row],[Order Date]],"YYYY")</f>
        <v>2014</v>
      </c>
      <c r="D1681" s="2">
        <v>41703</v>
      </c>
      <c r="E1681" s="2" t="s">
        <v>39</v>
      </c>
      <c r="F1681" s="2" t="s">
        <v>2136</v>
      </c>
      <c r="G1681" s="2" t="s">
        <v>2137</v>
      </c>
      <c r="H1681" s="2" t="s">
        <v>24</v>
      </c>
      <c r="I1681" s="2" t="s">
        <v>25</v>
      </c>
      <c r="J1681" s="2" t="s">
        <v>1374</v>
      </c>
      <c r="K1681" s="2" t="s">
        <v>92</v>
      </c>
      <c r="L1681" s="2" t="s">
        <v>93</v>
      </c>
      <c r="M1681" s="2" t="s">
        <v>1090</v>
      </c>
      <c r="N1681" s="2" t="s">
        <v>30</v>
      </c>
      <c r="O1681" s="2" t="s">
        <v>36</v>
      </c>
      <c r="P1681" s="2" t="s">
        <v>1091</v>
      </c>
      <c r="Q1681" s="2">
        <v>362.25</v>
      </c>
      <c r="R1681" s="2">
        <v>6</v>
      </c>
      <c r="S1681" s="2">
        <v>0</v>
      </c>
      <c r="T1681" s="2" t="s">
        <v>83</v>
      </c>
      <c r="U1681" s="2" t="s">
        <v>195</v>
      </c>
    </row>
    <row r="1682" spans="1:21" ht="14.25" customHeight="1" x14ac:dyDescent="0.3">
      <c r="A1682" s="2" t="s">
        <v>3892</v>
      </c>
      <c r="B1682" s="5">
        <v>41699</v>
      </c>
      <c r="C1682" s="2" t="str">
        <f>TEXT(data[[#This Row],[Order Date]],"YYYY")</f>
        <v>2014</v>
      </c>
      <c r="D1682" s="2">
        <v>41703</v>
      </c>
      <c r="E1682" s="2" t="s">
        <v>39</v>
      </c>
      <c r="F1682" s="2" t="s">
        <v>2136</v>
      </c>
      <c r="G1682" s="2" t="s">
        <v>2137</v>
      </c>
      <c r="H1682" s="2" t="s">
        <v>24</v>
      </c>
      <c r="I1682" s="2" t="s">
        <v>25</v>
      </c>
      <c r="J1682" s="2" t="s">
        <v>1374</v>
      </c>
      <c r="K1682" s="2" t="s">
        <v>92</v>
      </c>
      <c r="L1682" s="2" t="s">
        <v>93</v>
      </c>
      <c r="M1682" s="2" t="s">
        <v>943</v>
      </c>
      <c r="N1682" s="2" t="s">
        <v>30</v>
      </c>
      <c r="O1682" s="2" t="s">
        <v>56</v>
      </c>
      <c r="P1682" s="2" t="s">
        <v>944</v>
      </c>
      <c r="Q1682" s="2">
        <v>63.552</v>
      </c>
      <c r="R1682" s="2">
        <v>6</v>
      </c>
      <c r="S1682" s="2">
        <v>-34.953600000000002</v>
      </c>
      <c r="T1682" s="2" t="s">
        <v>83</v>
      </c>
      <c r="U1682" s="2" t="s">
        <v>195</v>
      </c>
    </row>
    <row r="1683" spans="1:21" ht="14.25" customHeight="1" x14ac:dyDescent="0.3">
      <c r="A1683" s="2" t="s">
        <v>3893</v>
      </c>
      <c r="B1683" s="5">
        <v>43013</v>
      </c>
      <c r="C1683" s="2" t="str">
        <f>TEXT(data[[#This Row],[Order Date]],"YYYY")</f>
        <v>2017</v>
      </c>
      <c r="D1683" s="2">
        <v>43018</v>
      </c>
      <c r="E1683" s="2" t="s">
        <v>39</v>
      </c>
      <c r="F1683" s="2" t="s">
        <v>1667</v>
      </c>
      <c r="G1683" s="2" t="s">
        <v>1668</v>
      </c>
      <c r="H1683" s="2" t="s">
        <v>90</v>
      </c>
      <c r="I1683" s="2" t="s">
        <v>25</v>
      </c>
      <c r="J1683" s="2" t="s">
        <v>3431</v>
      </c>
      <c r="K1683" s="2" t="s">
        <v>53</v>
      </c>
      <c r="L1683" s="2" t="s">
        <v>54</v>
      </c>
      <c r="M1683" s="2" t="s">
        <v>1918</v>
      </c>
      <c r="N1683" s="2" t="s">
        <v>30</v>
      </c>
      <c r="O1683" s="2" t="s">
        <v>36</v>
      </c>
      <c r="P1683" s="2" t="s">
        <v>1919</v>
      </c>
      <c r="Q1683" s="2">
        <v>435.16800000000001</v>
      </c>
      <c r="R1683" s="2">
        <v>4</v>
      </c>
      <c r="S1683" s="2">
        <v>-59.835599999999999</v>
      </c>
      <c r="T1683" s="2" t="s">
        <v>58</v>
      </c>
      <c r="U1683" s="2" t="s">
        <v>48</v>
      </c>
    </row>
    <row r="1684" spans="1:21" ht="14.25" customHeight="1" x14ac:dyDescent="0.3">
      <c r="A1684" s="2" t="s">
        <v>3893</v>
      </c>
      <c r="B1684" s="5">
        <v>43013</v>
      </c>
      <c r="C1684" s="2" t="str">
        <f>TEXT(data[[#This Row],[Order Date]],"YYYY")</f>
        <v>2017</v>
      </c>
      <c r="D1684" s="2">
        <v>43018</v>
      </c>
      <c r="E1684" s="2" t="s">
        <v>39</v>
      </c>
      <c r="F1684" s="2" t="s">
        <v>1667</v>
      </c>
      <c r="G1684" s="2" t="s">
        <v>1668</v>
      </c>
      <c r="H1684" s="2" t="s">
        <v>90</v>
      </c>
      <c r="I1684" s="2" t="s">
        <v>25</v>
      </c>
      <c r="J1684" s="2" t="s">
        <v>3431</v>
      </c>
      <c r="K1684" s="2" t="s">
        <v>53</v>
      </c>
      <c r="L1684" s="2" t="s">
        <v>54</v>
      </c>
      <c r="M1684" s="2" t="s">
        <v>2261</v>
      </c>
      <c r="N1684" s="2" t="s">
        <v>30</v>
      </c>
      <c r="O1684" s="2" t="s">
        <v>56</v>
      </c>
      <c r="P1684" s="2" t="s">
        <v>2262</v>
      </c>
      <c r="Q1684" s="2">
        <v>72.900000000000006</v>
      </c>
      <c r="R1684" s="2">
        <v>5</v>
      </c>
      <c r="S1684" s="2">
        <v>26.972999999999999</v>
      </c>
      <c r="T1684" s="2" t="s">
        <v>58</v>
      </c>
      <c r="U1684" s="2" t="s">
        <v>48</v>
      </c>
    </row>
    <row r="1685" spans="1:21" ht="14.25" customHeight="1" x14ac:dyDescent="0.3">
      <c r="A1685" s="2" t="s">
        <v>3893</v>
      </c>
      <c r="B1685" s="5">
        <v>43013</v>
      </c>
      <c r="C1685" s="2" t="str">
        <f>TEXT(data[[#This Row],[Order Date]],"YYYY")</f>
        <v>2017</v>
      </c>
      <c r="D1685" s="2">
        <v>43018</v>
      </c>
      <c r="E1685" s="2" t="s">
        <v>39</v>
      </c>
      <c r="F1685" s="2" t="s">
        <v>1667</v>
      </c>
      <c r="G1685" s="2" t="s">
        <v>1668</v>
      </c>
      <c r="H1685" s="2" t="s">
        <v>90</v>
      </c>
      <c r="I1685" s="2" t="s">
        <v>25</v>
      </c>
      <c r="J1685" s="2" t="s">
        <v>3431</v>
      </c>
      <c r="K1685" s="2" t="s">
        <v>53</v>
      </c>
      <c r="L1685" s="2" t="s">
        <v>54</v>
      </c>
      <c r="M1685" s="2" t="s">
        <v>1062</v>
      </c>
      <c r="N1685" s="2" t="s">
        <v>30</v>
      </c>
      <c r="O1685" s="2" t="s">
        <v>45</v>
      </c>
      <c r="P1685" s="2" t="s">
        <v>1063</v>
      </c>
      <c r="Q1685" s="2">
        <v>206.352</v>
      </c>
      <c r="R1685" s="2">
        <v>3</v>
      </c>
      <c r="S1685" s="2">
        <v>5.1588000000000003</v>
      </c>
      <c r="T1685" s="2" t="s">
        <v>58</v>
      </c>
      <c r="U1685" s="2" t="s">
        <v>48</v>
      </c>
    </row>
    <row r="1686" spans="1:21" ht="14.25" customHeight="1" x14ac:dyDescent="0.3">
      <c r="A1686" s="2" t="s">
        <v>3894</v>
      </c>
      <c r="B1686" s="5">
        <v>42653</v>
      </c>
      <c r="C1686" s="2" t="str">
        <f>TEXT(data[[#This Row],[Order Date]],"YYYY")</f>
        <v>2016</v>
      </c>
      <c r="D1686" s="2">
        <v>42655</v>
      </c>
      <c r="E1686" s="2" t="s">
        <v>87</v>
      </c>
      <c r="F1686" s="2" t="s">
        <v>2464</v>
      </c>
      <c r="G1686" s="2" t="s">
        <v>2465</v>
      </c>
      <c r="H1686" s="2" t="s">
        <v>90</v>
      </c>
      <c r="I1686" s="2" t="s">
        <v>25</v>
      </c>
      <c r="J1686" s="2" t="s">
        <v>265</v>
      </c>
      <c r="K1686" s="2" t="s">
        <v>180</v>
      </c>
      <c r="L1686" s="2" t="s">
        <v>54</v>
      </c>
      <c r="M1686" s="2" t="s">
        <v>3895</v>
      </c>
      <c r="N1686" s="2" t="s">
        <v>30</v>
      </c>
      <c r="O1686" s="2" t="s">
        <v>31</v>
      </c>
      <c r="P1686" s="2" t="s">
        <v>3896</v>
      </c>
      <c r="Q1686" s="2">
        <v>90.882000000000005</v>
      </c>
      <c r="R1686" s="2">
        <v>3</v>
      </c>
      <c r="S1686" s="2">
        <v>-190.85220000000001</v>
      </c>
      <c r="T1686" s="2" t="s">
        <v>70</v>
      </c>
      <c r="U1686" s="2" t="s">
        <v>48</v>
      </c>
    </row>
    <row r="1687" spans="1:21" ht="14.25" customHeight="1" x14ac:dyDescent="0.3">
      <c r="A1687" s="2" t="s">
        <v>3894</v>
      </c>
      <c r="B1687" s="5">
        <v>42653</v>
      </c>
      <c r="C1687" s="2" t="str">
        <f>TEXT(data[[#This Row],[Order Date]],"YYYY")</f>
        <v>2016</v>
      </c>
      <c r="D1687" s="2">
        <v>42655</v>
      </c>
      <c r="E1687" s="2" t="s">
        <v>87</v>
      </c>
      <c r="F1687" s="2" t="s">
        <v>2464</v>
      </c>
      <c r="G1687" s="2" t="s">
        <v>2465</v>
      </c>
      <c r="H1687" s="2" t="s">
        <v>90</v>
      </c>
      <c r="I1687" s="2" t="s">
        <v>25</v>
      </c>
      <c r="J1687" s="2" t="s">
        <v>265</v>
      </c>
      <c r="K1687" s="2" t="s">
        <v>180</v>
      </c>
      <c r="L1687" s="2" t="s">
        <v>54</v>
      </c>
      <c r="M1687" s="2" t="s">
        <v>656</v>
      </c>
      <c r="N1687" s="2" t="s">
        <v>30</v>
      </c>
      <c r="O1687" s="2" t="s">
        <v>36</v>
      </c>
      <c r="P1687" s="2" t="s">
        <v>657</v>
      </c>
      <c r="Q1687" s="2">
        <v>120.78400000000001</v>
      </c>
      <c r="R1687" s="2">
        <v>1</v>
      </c>
      <c r="S1687" s="2">
        <v>13.588200000000001</v>
      </c>
      <c r="T1687" s="2" t="s">
        <v>70</v>
      </c>
      <c r="U1687" s="2" t="s">
        <v>48</v>
      </c>
    </row>
    <row r="1688" spans="1:21" ht="14.25" customHeight="1" x14ac:dyDescent="0.3">
      <c r="A1688" s="2" t="s">
        <v>3897</v>
      </c>
      <c r="B1688" s="5">
        <v>42232</v>
      </c>
      <c r="C1688" s="2" t="str">
        <f>TEXT(data[[#This Row],[Order Date]],"YYYY")</f>
        <v>2015</v>
      </c>
      <c r="D1688" s="2">
        <v>42236</v>
      </c>
      <c r="E1688" s="2" t="s">
        <v>39</v>
      </c>
      <c r="F1688" s="2" t="s">
        <v>2617</v>
      </c>
      <c r="G1688" s="2" t="s">
        <v>2618</v>
      </c>
      <c r="H1688" s="2" t="s">
        <v>90</v>
      </c>
      <c r="I1688" s="2" t="s">
        <v>25</v>
      </c>
      <c r="J1688" s="2" t="s">
        <v>65</v>
      </c>
      <c r="K1688" s="2" t="s">
        <v>66</v>
      </c>
      <c r="L1688" s="2" t="s">
        <v>67</v>
      </c>
      <c r="M1688" s="2" t="s">
        <v>1391</v>
      </c>
      <c r="N1688" s="2" t="s">
        <v>30</v>
      </c>
      <c r="O1688" s="2" t="s">
        <v>56</v>
      </c>
      <c r="P1688" s="2" t="s">
        <v>1392</v>
      </c>
      <c r="Q1688" s="2">
        <v>254.352</v>
      </c>
      <c r="R1688" s="2">
        <v>3</v>
      </c>
      <c r="S1688" s="2">
        <v>0</v>
      </c>
      <c r="T1688" s="2" t="s">
        <v>83</v>
      </c>
      <c r="U1688" s="2" t="s">
        <v>253</v>
      </c>
    </row>
    <row r="1689" spans="1:21" ht="14.25" customHeight="1" x14ac:dyDescent="0.3">
      <c r="A1689" s="2" t="s">
        <v>3898</v>
      </c>
      <c r="B1689" s="5">
        <v>41892</v>
      </c>
      <c r="C1689" s="2" t="str">
        <f>TEXT(data[[#This Row],[Order Date]],"YYYY")</f>
        <v>2014</v>
      </c>
      <c r="D1689" s="2">
        <v>41895</v>
      </c>
      <c r="E1689" s="2" t="s">
        <v>87</v>
      </c>
      <c r="F1689" s="2" t="s">
        <v>63</v>
      </c>
      <c r="G1689" s="2" t="s">
        <v>64</v>
      </c>
      <c r="H1689" s="2" t="s">
        <v>24</v>
      </c>
      <c r="I1689" s="2" t="s">
        <v>25</v>
      </c>
      <c r="J1689" s="2" t="s">
        <v>3899</v>
      </c>
      <c r="K1689" s="2" t="s">
        <v>362</v>
      </c>
      <c r="L1689" s="2" t="s">
        <v>67</v>
      </c>
      <c r="M1689" s="2" t="s">
        <v>1537</v>
      </c>
      <c r="N1689" s="2" t="s">
        <v>30</v>
      </c>
      <c r="O1689" s="2" t="s">
        <v>56</v>
      </c>
      <c r="P1689" s="2" t="s">
        <v>1538</v>
      </c>
      <c r="Q1689" s="2">
        <v>254.9</v>
      </c>
      <c r="R1689" s="2">
        <v>5</v>
      </c>
      <c r="S1689" s="2">
        <v>76.47</v>
      </c>
      <c r="T1689" s="2" t="s">
        <v>33</v>
      </c>
      <c r="U1689" s="2" t="s">
        <v>77</v>
      </c>
    </row>
    <row r="1690" spans="1:21" ht="14.25" customHeight="1" x14ac:dyDescent="0.3">
      <c r="A1690" s="2" t="s">
        <v>3900</v>
      </c>
      <c r="B1690" s="5">
        <v>42328</v>
      </c>
      <c r="C1690" s="2" t="str">
        <f>TEXT(data[[#This Row],[Order Date]],"YYYY")</f>
        <v>2015</v>
      </c>
      <c r="D1690" s="2">
        <v>42331</v>
      </c>
      <c r="E1690" s="2" t="s">
        <v>21</v>
      </c>
      <c r="F1690" s="2" t="s">
        <v>1441</v>
      </c>
      <c r="G1690" s="2" t="s">
        <v>1442</v>
      </c>
      <c r="H1690" s="2" t="s">
        <v>24</v>
      </c>
      <c r="I1690" s="2" t="s">
        <v>25</v>
      </c>
      <c r="J1690" s="2" t="s">
        <v>179</v>
      </c>
      <c r="K1690" s="2" t="s">
        <v>180</v>
      </c>
      <c r="L1690" s="2" t="s">
        <v>54</v>
      </c>
      <c r="M1690" s="2" t="s">
        <v>415</v>
      </c>
      <c r="N1690" s="2" t="s">
        <v>30</v>
      </c>
      <c r="O1690" s="2" t="s">
        <v>31</v>
      </c>
      <c r="P1690" s="2" t="s">
        <v>416</v>
      </c>
      <c r="Q1690" s="2">
        <v>145.76400000000001</v>
      </c>
      <c r="R1690" s="2">
        <v>6</v>
      </c>
      <c r="S1690" s="2">
        <v>-247.7988</v>
      </c>
      <c r="T1690" s="2" t="s">
        <v>33</v>
      </c>
      <c r="U1690" s="2" t="s">
        <v>34</v>
      </c>
    </row>
    <row r="1691" spans="1:21" ht="14.25" customHeight="1" x14ac:dyDescent="0.3">
      <c r="A1691" s="2" t="s">
        <v>3901</v>
      </c>
      <c r="B1691" s="5">
        <v>43042</v>
      </c>
      <c r="C1691" s="2" t="str">
        <f>TEXT(data[[#This Row],[Order Date]],"YYYY")</f>
        <v>2017</v>
      </c>
      <c r="D1691" s="2">
        <v>43044</v>
      </c>
      <c r="E1691" s="2" t="s">
        <v>87</v>
      </c>
      <c r="F1691" s="2" t="s">
        <v>3902</v>
      </c>
      <c r="G1691" s="2" t="s">
        <v>3903</v>
      </c>
      <c r="H1691" s="2" t="s">
        <v>100</v>
      </c>
      <c r="I1691" s="2" t="s">
        <v>25</v>
      </c>
      <c r="J1691" s="2" t="s">
        <v>639</v>
      </c>
      <c r="K1691" s="2" t="s">
        <v>53</v>
      </c>
      <c r="L1691" s="2" t="s">
        <v>54</v>
      </c>
      <c r="M1691" s="2" t="s">
        <v>784</v>
      </c>
      <c r="N1691" s="2" t="s">
        <v>30</v>
      </c>
      <c r="O1691" s="2" t="s">
        <v>45</v>
      </c>
      <c r="P1691" s="2" t="s">
        <v>785</v>
      </c>
      <c r="Q1691" s="2">
        <v>1673.184</v>
      </c>
      <c r="R1691" s="2">
        <v>12</v>
      </c>
      <c r="S1691" s="2">
        <v>20.9148</v>
      </c>
      <c r="T1691" s="2" t="s">
        <v>70</v>
      </c>
      <c r="U1691" s="2" t="s">
        <v>34</v>
      </c>
    </row>
    <row r="1692" spans="1:21" ht="14.25" customHeight="1" x14ac:dyDescent="0.3">
      <c r="A1692" s="2" t="s">
        <v>3904</v>
      </c>
      <c r="B1692" s="5">
        <v>41763</v>
      </c>
      <c r="C1692" s="2" t="str">
        <f>TEXT(data[[#This Row],[Order Date]],"YYYY")</f>
        <v>2014</v>
      </c>
      <c r="D1692" s="2">
        <v>41766</v>
      </c>
      <c r="E1692" s="2" t="s">
        <v>87</v>
      </c>
      <c r="F1692" s="2" t="s">
        <v>2759</v>
      </c>
      <c r="G1692" s="2" t="s">
        <v>2760</v>
      </c>
      <c r="H1692" s="2" t="s">
        <v>90</v>
      </c>
      <c r="I1692" s="2" t="s">
        <v>25</v>
      </c>
      <c r="J1692" s="2" t="s">
        <v>191</v>
      </c>
      <c r="K1692" s="2" t="s">
        <v>192</v>
      </c>
      <c r="L1692" s="2" t="s">
        <v>54</v>
      </c>
      <c r="M1692" s="2" t="s">
        <v>1071</v>
      </c>
      <c r="N1692" s="2" t="s">
        <v>30</v>
      </c>
      <c r="O1692" s="2" t="s">
        <v>56</v>
      </c>
      <c r="P1692" s="2" t="s">
        <v>1072</v>
      </c>
      <c r="Q1692" s="2">
        <v>12.18</v>
      </c>
      <c r="R1692" s="2">
        <v>7</v>
      </c>
      <c r="S1692" s="2">
        <v>3.8976000000000002</v>
      </c>
      <c r="T1692" s="2" t="s">
        <v>33</v>
      </c>
      <c r="U1692" s="2" t="s">
        <v>161</v>
      </c>
    </row>
    <row r="1693" spans="1:21" ht="14.25" customHeight="1" x14ac:dyDescent="0.3">
      <c r="A1693" s="2" t="s">
        <v>3905</v>
      </c>
      <c r="B1693" s="5">
        <v>41974</v>
      </c>
      <c r="C1693" s="2" t="str">
        <f>TEXT(data[[#This Row],[Order Date]],"YYYY")</f>
        <v>2014</v>
      </c>
      <c r="D1693" s="2">
        <v>41976</v>
      </c>
      <c r="E1693" s="2" t="s">
        <v>87</v>
      </c>
      <c r="F1693" s="2" t="s">
        <v>2693</v>
      </c>
      <c r="G1693" s="2" t="s">
        <v>2694</v>
      </c>
      <c r="H1693" s="2" t="s">
        <v>24</v>
      </c>
      <c r="I1693" s="2" t="s">
        <v>25</v>
      </c>
      <c r="J1693" s="2" t="s">
        <v>2043</v>
      </c>
      <c r="K1693" s="2" t="s">
        <v>434</v>
      </c>
      <c r="L1693" s="2" t="s">
        <v>67</v>
      </c>
      <c r="M1693" s="2" t="s">
        <v>870</v>
      </c>
      <c r="N1693" s="2" t="s">
        <v>30</v>
      </c>
      <c r="O1693" s="2" t="s">
        <v>56</v>
      </c>
      <c r="P1693" s="2" t="s">
        <v>871</v>
      </c>
      <c r="Q1693" s="2">
        <v>45.84</v>
      </c>
      <c r="R1693" s="2">
        <v>3</v>
      </c>
      <c r="S1693" s="2">
        <v>15.585599999999999</v>
      </c>
      <c r="T1693" s="2" t="s">
        <v>70</v>
      </c>
      <c r="U1693" s="2" t="s">
        <v>96</v>
      </c>
    </row>
    <row r="1694" spans="1:21" ht="14.25" customHeight="1" x14ac:dyDescent="0.3">
      <c r="A1694" s="2" t="s">
        <v>3905</v>
      </c>
      <c r="B1694" s="5">
        <v>41974</v>
      </c>
      <c r="C1694" s="2" t="str">
        <f>TEXT(data[[#This Row],[Order Date]],"YYYY")</f>
        <v>2014</v>
      </c>
      <c r="D1694" s="2">
        <v>41976</v>
      </c>
      <c r="E1694" s="2" t="s">
        <v>87</v>
      </c>
      <c r="F1694" s="2" t="s">
        <v>2693</v>
      </c>
      <c r="G1694" s="2" t="s">
        <v>2694</v>
      </c>
      <c r="H1694" s="2" t="s">
        <v>24</v>
      </c>
      <c r="I1694" s="2" t="s">
        <v>25</v>
      </c>
      <c r="J1694" s="2" t="s">
        <v>2043</v>
      </c>
      <c r="K1694" s="2" t="s">
        <v>434</v>
      </c>
      <c r="L1694" s="2" t="s">
        <v>67</v>
      </c>
      <c r="M1694" s="2" t="s">
        <v>1099</v>
      </c>
      <c r="N1694" s="2" t="s">
        <v>30</v>
      </c>
      <c r="O1694" s="2" t="s">
        <v>56</v>
      </c>
      <c r="P1694" s="2" t="s">
        <v>1100</v>
      </c>
      <c r="Q1694" s="2">
        <v>9.82</v>
      </c>
      <c r="R1694" s="2">
        <v>2</v>
      </c>
      <c r="S1694" s="2">
        <v>3.2406000000000001</v>
      </c>
      <c r="T1694" s="2" t="s">
        <v>70</v>
      </c>
      <c r="U1694" s="2" t="s">
        <v>96</v>
      </c>
    </row>
    <row r="1695" spans="1:21" ht="14.25" customHeight="1" x14ac:dyDescent="0.3">
      <c r="A1695" s="2" t="s">
        <v>3906</v>
      </c>
      <c r="B1695" s="5">
        <v>42325</v>
      </c>
      <c r="C1695" s="2" t="str">
        <f>TEXT(data[[#This Row],[Order Date]],"YYYY")</f>
        <v>2015</v>
      </c>
      <c r="D1695" s="2">
        <v>42332</v>
      </c>
      <c r="E1695" s="2" t="s">
        <v>39</v>
      </c>
      <c r="F1695" s="2" t="s">
        <v>2693</v>
      </c>
      <c r="G1695" s="2" t="s">
        <v>2694</v>
      </c>
      <c r="H1695" s="2" t="s">
        <v>24</v>
      </c>
      <c r="I1695" s="2" t="s">
        <v>25</v>
      </c>
      <c r="J1695" s="2" t="s">
        <v>3016</v>
      </c>
      <c r="K1695" s="2" t="s">
        <v>1522</v>
      </c>
      <c r="L1695" s="2" t="s">
        <v>93</v>
      </c>
      <c r="M1695" s="2" t="s">
        <v>3591</v>
      </c>
      <c r="N1695" s="2" t="s">
        <v>30</v>
      </c>
      <c r="O1695" s="2" t="s">
        <v>36</v>
      </c>
      <c r="P1695" s="2" t="s">
        <v>3592</v>
      </c>
      <c r="Q1695" s="2">
        <v>1323.9</v>
      </c>
      <c r="R1695" s="2">
        <v>5</v>
      </c>
      <c r="S1695" s="2">
        <v>383.93099999999998</v>
      </c>
      <c r="T1695" s="2" t="s">
        <v>47</v>
      </c>
      <c r="U1695" s="2" t="s">
        <v>34</v>
      </c>
    </row>
    <row r="1696" spans="1:21" ht="14.25" customHeight="1" x14ac:dyDescent="0.3">
      <c r="A1696" s="2" t="s">
        <v>3907</v>
      </c>
      <c r="B1696" s="5">
        <v>42880</v>
      </c>
      <c r="C1696" s="2" t="str">
        <f>TEXT(data[[#This Row],[Order Date]],"YYYY")</f>
        <v>2017</v>
      </c>
      <c r="D1696" s="2">
        <v>42880</v>
      </c>
      <c r="E1696" s="2" t="s">
        <v>425</v>
      </c>
      <c r="F1696" s="2" t="s">
        <v>1715</v>
      </c>
      <c r="G1696" s="2" t="s">
        <v>1716</v>
      </c>
      <c r="H1696" s="2" t="s">
        <v>24</v>
      </c>
      <c r="I1696" s="2" t="s">
        <v>25</v>
      </c>
      <c r="J1696" s="2" t="s">
        <v>173</v>
      </c>
      <c r="K1696" s="2" t="s">
        <v>120</v>
      </c>
      <c r="L1696" s="2" t="s">
        <v>67</v>
      </c>
      <c r="M1696" s="2" t="s">
        <v>677</v>
      </c>
      <c r="N1696" s="2" t="s">
        <v>30</v>
      </c>
      <c r="O1696" s="2" t="s">
        <v>56</v>
      </c>
      <c r="P1696" s="2" t="s">
        <v>678</v>
      </c>
      <c r="Q1696" s="2">
        <v>18.84</v>
      </c>
      <c r="R1696" s="2">
        <v>3</v>
      </c>
      <c r="S1696" s="2">
        <v>6.0288000000000004</v>
      </c>
      <c r="T1696" s="2" t="s">
        <v>430</v>
      </c>
      <c r="U1696" s="2" t="s">
        <v>161</v>
      </c>
    </row>
    <row r="1697" spans="1:21" ht="14.25" customHeight="1" x14ac:dyDescent="0.3">
      <c r="A1697" s="2" t="s">
        <v>3908</v>
      </c>
      <c r="B1697" s="5">
        <v>41891</v>
      </c>
      <c r="C1697" s="2" t="str">
        <f>TEXT(data[[#This Row],[Order Date]],"YYYY")</f>
        <v>2014</v>
      </c>
      <c r="D1697" s="2">
        <v>41893</v>
      </c>
      <c r="E1697" s="2" t="s">
        <v>87</v>
      </c>
      <c r="F1697" s="2" t="s">
        <v>1015</v>
      </c>
      <c r="G1697" s="2" t="s">
        <v>1016</v>
      </c>
      <c r="H1697" s="2" t="s">
        <v>100</v>
      </c>
      <c r="I1697" s="2" t="s">
        <v>25</v>
      </c>
      <c r="J1697" s="2" t="s">
        <v>815</v>
      </c>
      <c r="K1697" s="2" t="s">
        <v>231</v>
      </c>
      <c r="L1697" s="2" t="s">
        <v>67</v>
      </c>
      <c r="M1697" s="2" t="s">
        <v>1834</v>
      </c>
      <c r="N1697" s="2" t="s">
        <v>30</v>
      </c>
      <c r="O1697" s="2" t="s">
        <v>56</v>
      </c>
      <c r="P1697" s="2" t="s">
        <v>1835</v>
      </c>
      <c r="Q1697" s="2">
        <v>60.671999999999997</v>
      </c>
      <c r="R1697" s="2">
        <v>6</v>
      </c>
      <c r="S1697" s="2">
        <v>12.892799999999999</v>
      </c>
      <c r="T1697" s="2" t="s">
        <v>70</v>
      </c>
      <c r="U1697" s="2" t="s">
        <v>77</v>
      </c>
    </row>
    <row r="1698" spans="1:21" ht="14.25" customHeight="1" x14ac:dyDescent="0.3">
      <c r="A1698" s="2" t="s">
        <v>3909</v>
      </c>
      <c r="B1698" s="5">
        <v>41841</v>
      </c>
      <c r="C1698" s="2" t="str">
        <f>TEXT(data[[#This Row],[Order Date]],"YYYY")</f>
        <v>2014</v>
      </c>
      <c r="D1698" s="2">
        <v>41845</v>
      </c>
      <c r="E1698" s="2" t="s">
        <v>39</v>
      </c>
      <c r="F1698" s="2" t="s">
        <v>1866</v>
      </c>
      <c r="G1698" s="2" t="s">
        <v>1867</v>
      </c>
      <c r="H1698" s="2" t="s">
        <v>90</v>
      </c>
      <c r="I1698" s="2" t="s">
        <v>25</v>
      </c>
      <c r="J1698" s="2" t="s">
        <v>1739</v>
      </c>
      <c r="K1698" s="2" t="s">
        <v>92</v>
      </c>
      <c r="L1698" s="2" t="s">
        <v>93</v>
      </c>
      <c r="M1698" s="2" t="s">
        <v>625</v>
      </c>
      <c r="N1698" s="2" t="s">
        <v>30</v>
      </c>
      <c r="O1698" s="2" t="s">
        <v>36</v>
      </c>
      <c r="P1698" s="2" t="s">
        <v>626</v>
      </c>
      <c r="Q1698" s="2">
        <v>657.93</v>
      </c>
      <c r="R1698" s="2">
        <v>5</v>
      </c>
      <c r="S1698" s="2">
        <v>-93.99</v>
      </c>
      <c r="T1698" s="2" t="s">
        <v>83</v>
      </c>
      <c r="U1698" s="2" t="s">
        <v>71</v>
      </c>
    </row>
    <row r="1699" spans="1:21" ht="14.25" customHeight="1" x14ac:dyDescent="0.3">
      <c r="A1699" s="2" t="s">
        <v>3910</v>
      </c>
      <c r="B1699" s="5">
        <v>42258</v>
      </c>
      <c r="C1699" s="2" t="str">
        <f>TEXT(data[[#This Row],[Order Date]],"YYYY")</f>
        <v>2015</v>
      </c>
      <c r="D1699" s="2">
        <v>42262</v>
      </c>
      <c r="E1699" s="2" t="s">
        <v>21</v>
      </c>
      <c r="F1699" s="2" t="s">
        <v>3154</v>
      </c>
      <c r="G1699" s="2" t="s">
        <v>3155</v>
      </c>
      <c r="H1699" s="2" t="s">
        <v>90</v>
      </c>
      <c r="I1699" s="2" t="s">
        <v>25</v>
      </c>
      <c r="J1699" s="2" t="s">
        <v>173</v>
      </c>
      <c r="K1699" s="2" t="s">
        <v>120</v>
      </c>
      <c r="L1699" s="2" t="s">
        <v>67</v>
      </c>
      <c r="M1699" s="2" t="s">
        <v>3617</v>
      </c>
      <c r="N1699" s="2" t="s">
        <v>30</v>
      </c>
      <c r="O1699" s="2" t="s">
        <v>56</v>
      </c>
      <c r="P1699" s="2" t="s">
        <v>3618</v>
      </c>
      <c r="Q1699" s="2">
        <v>210.68</v>
      </c>
      <c r="R1699" s="2">
        <v>2</v>
      </c>
      <c r="S1699" s="2">
        <v>50.563200000000002</v>
      </c>
      <c r="T1699" s="2" t="s">
        <v>83</v>
      </c>
      <c r="U1699" s="2" t="s">
        <v>77</v>
      </c>
    </row>
    <row r="1700" spans="1:21" ht="14.25" customHeight="1" x14ac:dyDescent="0.3">
      <c r="A1700" s="2" t="s">
        <v>3911</v>
      </c>
      <c r="B1700" s="5">
        <v>42376</v>
      </c>
      <c r="C1700" s="2" t="str">
        <f>TEXT(data[[#This Row],[Order Date]],"YYYY")</f>
        <v>2016</v>
      </c>
      <c r="D1700" s="2">
        <v>42380</v>
      </c>
      <c r="E1700" s="2" t="s">
        <v>39</v>
      </c>
      <c r="F1700" s="2" t="s">
        <v>1309</v>
      </c>
      <c r="G1700" s="2" t="s">
        <v>1310</v>
      </c>
      <c r="H1700" s="2" t="s">
        <v>24</v>
      </c>
      <c r="I1700" s="2" t="s">
        <v>25</v>
      </c>
      <c r="J1700" s="2" t="s">
        <v>528</v>
      </c>
      <c r="K1700" s="2" t="s">
        <v>92</v>
      </c>
      <c r="L1700" s="2" t="s">
        <v>93</v>
      </c>
      <c r="M1700" s="2" t="s">
        <v>1311</v>
      </c>
      <c r="N1700" s="2" t="s">
        <v>30</v>
      </c>
      <c r="O1700" s="2" t="s">
        <v>56</v>
      </c>
      <c r="P1700" s="2" t="s">
        <v>2022</v>
      </c>
      <c r="Q1700" s="2">
        <v>23.076000000000001</v>
      </c>
      <c r="R1700" s="2">
        <v>3</v>
      </c>
      <c r="S1700" s="2">
        <v>-10.9611</v>
      </c>
      <c r="T1700" s="2" t="s">
        <v>83</v>
      </c>
      <c r="U1700" s="2" t="s">
        <v>169</v>
      </c>
    </row>
    <row r="1701" spans="1:21" ht="14.25" customHeight="1" x14ac:dyDescent="0.3">
      <c r="A1701" s="2" t="s">
        <v>3912</v>
      </c>
      <c r="B1701" s="5">
        <v>42180</v>
      </c>
      <c r="C1701" s="2" t="str">
        <f>TEXT(data[[#This Row],[Order Date]],"YYYY")</f>
        <v>2015</v>
      </c>
      <c r="D1701" s="2">
        <v>42183</v>
      </c>
      <c r="E1701" s="2" t="s">
        <v>87</v>
      </c>
      <c r="F1701" s="2" t="s">
        <v>1791</v>
      </c>
      <c r="G1701" s="2" t="s">
        <v>1792</v>
      </c>
      <c r="H1701" s="2" t="s">
        <v>24</v>
      </c>
      <c r="I1701" s="2" t="s">
        <v>25</v>
      </c>
      <c r="J1701" s="2" t="s">
        <v>101</v>
      </c>
      <c r="K1701" s="2" t="s">
        <v>92</v>
      </c>
      <c r="L1701" s="2" t="s">
        <v>93</v>
      </c>
      <c r="M1701" s="2" t="s">
        <v>1978</v>
      </c>
      <c r="N1701" s="2" t="s">
        <v>30</v>
      </c>
      <c r="O1701" s="2" t="s">
        <v>56</v>
      </c>
      <c r="P1701" s="2" t="s">
        <v>1979</v>
      </c>
      <c r="Q1701" s="2">
        <v>75.384</v>
      </c>
      <c r="R1701" s="2">
        <v>9</v>
      </c>
      <c r="S1701" s="2">
        <v>-20.730599999999999</v>
      </c>
      <c r="T1701" s="2" t="s">
        <v>33</v>
      </c>
      <c r="U1701" s="2" t="s">
        <v>59</v>
      </c>
    </row>
    <row r="1702" spans="1:21" ht="14.25" customHeight="1" x14ac:dyDescent="0.3">
      <c r="A1702" s="2" t="s">
        <v>3913</v>
      </c>
      <c r="B1702" s="5">
        <v>42916</v>
      </c>
      <c r="C1702" s="2" t="str">
        <f>TEXT(data[[#This Row],[Order Date]],"YYYY")</f>
        <v>2017</v>
      </c>
      <c r="D1702" s="2">
        <v>42918</v>
      </c>
      <c r="E1702" s="2" t="s">
        <v>21</v>
      </c>
      <c r="F1702" s="2" t="s">
        <v>2506</v>
      </c>
      <c r="G1702" s="2" t="s">
        <v>2507</v>
      </c>
      <c r="H1702" s="2" t="s">
        <v>24</v>
      </c>
      <c r="I1702" s="2" t="s">
        <v>25</v>
      </c>
      <c r="J1702" s="2" t="s">
        <v>52</v>
      </c>
      <c r="K1702" s="2" t="s">
        <v>53</v>
      </c>
      <c r="L1702" s="2" t="s">
        <v>54</v>
      </c>
      <c r="M1702" s="2" t="s">
        <v>1456</v>
      </c>
      <c r="N1702" s="2" t="s">
        <v>30</v>
      </c>
      <c r="O1702" s="2" t="s">
        <v>31</v>
      </c>
      <c r="P1702" s="2" t="s">
        <v>1457</v>
      </c>
      <c r="Q1702" s="2">
        <v>435.99900000000002</v>
      </c>
      <c r="R1702" s="2">
        <v>3</v>
      </c>
      <c r="S1702" s="2">
        <v>5.1294000000000004</v>
      </c>
      <c r="T1702" s="2" t="s">
        <v>70</v>
      </c>
      <c r="U1702" s="2" t="s">
        <v>59</v>
      </c>
    </row>
    <row r="1703" spans="1:21" ht="14.25" customHeight="1" x14ac:dyDescent="0.3">
      <c r="A1703" s="2" t="s">
        <v>3914</v>
      </c>
      <c r="B1703" s="5">
        <v>42968</v>
      </c>
      <c r="C1703" s="2" t="str">
        <f>TEXT(data[[#This Row],[Order Date]],"YYYY")</f>
        <v>2017</v>
      </c>
      <c r="D1703" s="2">
        <v>42972</v>
      </c>
      <c r="E1703" s="2" t="s">
        <v>21</v>
      </c>
      <c r="F1703" s="2" t="s">
        <v>3915</v>
      </c>
      <c r="G1703" s="2" t="s">
        <v>3916</v>
      </c>
      <c r="H1703" s="2" t="s">
        <v>90</v>
      </c>
      <c r="I1703" s="2" t="s">
        <v>25</v>
      </c>
      <c r="J1703" s="2" t="s">
        <v>191</v>
      </c>
      <c r="K1703" s="2" t="s">
        <v>192</v>
      </c>
      <c r="L1703" s="2" t="s">
        <v>54</v>
      </c>
      <c r="M1703" s="2" t="s">
        <v>255</v>
      </c>
      <c r="N1703" s="2" t="s">
        <v>30</v>
      </c>
      <c r="O1703" s="2" t="s">
        <v>36</v>
      </c>
      <c r="P1703" s="2" t="s">
        <v>256</v>
      </c>
      <c r="Q1703" s="2">
        <v>388.70400000000001</v>
      </c>
      <c r="R1703" s="2">
        <v>6</v>
      </c>
      <c r="S1703" s="2">
        <v>38.870399999999997</v>
      </c>
      <c r="T1703" s="2" t="s">
        <v>83</v>
      </c>
      <c r="U1703" s="2" t="s">
        <v>253</v>
      </c>
    </row>
    <row r="1704" spans="1:21" ht="14.25" customHeight="1" x14ac:dyDescent="0.3">
      <c r="A1704" s="2" t="s">
        <v>3917</v>
      </c>
      <c r="B1704" s="5">
        <v>42805</v>
      </c>
      <c r="C1704" s="2" t="str">
        <f>TEXT(data[[#This Row],[Order Date]],"YYYY")</f>
        <v>2017</v>
      </c>
      <c r="D1704" s="2">
        <v>42809</v>
      </c>
      <c r="E1704" s="2" t="s">
        <v>39</v>
      </c>
      <c r="F1704" s="2" t="s">
        <v>1043</v>
      </c>
      <c r="G1704" s="2" t="s">
        <v>1044</v>
      </c>
      <c r="H1704" s="2" t="s">
        <v>100</v>
      </c>
      <c r="I1704" s="2" t="s">
        <v>25</v>
      </c>
      <c r="J1704" s="2" t="s">
        <v>3918</v>
      </c>
      <c r="K1704" s="2" t="s">
        <v>434</v>
      </c>
      <c r="L1704" s="2" t="s">
        <v>67</v>
      </c>
      <c r="M1704" s="2" t="s">
        <v>3919</v>
      </c>
      <c r="N1704" s="2" t="s">
        <v>30</v>
      </c>
      <c r="O1704" s="2" t="s">
        <v>56</v>
      </c>
      <c r="P1704" s="2" t="s">
        <v>3920</v>
      </c>
      <c r="Q1704" s="2">
        <v>26.72</v>
      </c>
      <c r="R1704" s="2">
        <v>1</v>
      </c>
      <c r="S1704" s="2">
        <v>11.7568</v>
      </c>
      <c r="T1704" s="2" t="s">
        <v>83</v>
      </c>
      <c r="U1704" s="2" t="s">
        <v>195</v>
      </c>
    </row>
    <row r="1705" spans="1:21" ht="14.25" customHeight="1" x14ac:dyDescent="0.3">
      <c r="A1705" s="2" t="s">
        <v>3921</v>
      </c>
      <c r="B1705" s="5">
        <v>41908</v>
      </c>
      <c r="C1705" s="2" t="str">
        <f>TEXT(data[[#This Row],[Order Date]],"YYYY")</f>
        <v>2014</v>
      </c>
      <c r="D1705" s="2">
        <v>41912</v>
      </c>
      <c r="E1705" s="2" t="s">
        <v>39</v>
      </c>
      <c r="F1705" s="2" t="s">
        <v>3922</v>
      </c>
      <c r="G1705" s="2" t="s">
        <v>3923</v>
      </c>
      <c r="H1705" s="2" t="s">
        <v>90</v>
      </c>
      <c r="I1705" s="2" t="s">
        <v>25</v>
      </c>
      <c r="J1705" s="2" t="s">
        <v>65</v>
      </c>
      <c r="K1705" s="2" t="s">
        <v>66</v>
      </c>
      <c r="L1705" s="2" t="s">
        <v>67</v>
      </c>
      <c r="M1705" s="2" t="s">
        <v>943</v>
      </c>
      <c r="N1705" s="2" t="s">
        <v>30</v>
      </c>
      <c r="O1705" s="2" t="s">
        <v>56</v>
      </c>
      <c r="P1705" s="2" t="s">
        <v>944</v>
      </c>
      <c r="Q1705" s="2">
        <v>21.184000000000001</v>
      </c>
      <c r="R1705" s="2">
        <v>1</v>
      </c>
      <c r="S1705" s="2">
        <v>4.7664</v>
      </c>
      <c r="T1705" s="2" t="s">
        <v>83</v>
      </c>
      <c r="U1705" s="2" t="s">
        <v>77</v>
      </c>
    </row>
    <row r="1706" spans="1:21" ht="14.25" customHeight="1" x14ac:dyDescent="0.3">
      <c r="A1706" s="2" t="s">
        <v>3924</v>
      </c>
      <c r="B1706" s="5">
        <v>42244</v>
      </c>
      <c r="C1706" s="2" t="str">
        <f>TEXT(data[[#This Row],[Order Date]],"YYYY")</f>
        <v>2015</v>
      </c>
      <c r="D1706" s="2">
        <v>42251</v>
      </c>
      <c r="E1706" s="2" t="s">
        <v>39</v>
      </c>
      <c r="F1706" s="2" t="s">
        <v>687</v>
      </c>
      <c r="G1706" s="2" t="s">
        <v>688</v>
      </c>
      <c r="H1706" s="2" t="s">
        <v>24</v>
      </c>
      <c r="I1706" s="2" t="s">
        <v>25</v>
      </c>
      <c r="J1706" s="2" t="s">
        <v>52</v>
      </c>
      <c r="K1706" s="2" t="s">
        <v>53</v>
      </c>
      <c r="L1706" s="2" t="s">
        <v>54</v>
      </c>
      <c r="M1706" s="2" t="s">
        <v>277</v>
      </c>
      <c r="N1706" s="2" t="s">
        <v>30</v>
      </c>
      <c r="O1706" s="2" t="s">
        <v>31</v>
      </c>
      <c r="P1706" s="2" t="s">
        <v>278</v>
      </c>
      <c r="Q1706" s="2">
        <v>307.666</v>
      </c>
      <c r="R1706" s="2">
        <v>2</v>
      </c>
      <c r="S1706" s="2">
        <v>28.956800000000001</v>
      </c>
      <c r="T1706" s="2" t="s">
        <v>47</v>
      </c>
      <c r="U1706" s="2" t="s">
        <v>253</v>
      </c>
    </row>
    <row r="1707" spans="1:21" ht="14.25" customHeight="1" x14ac:dyDescent="0.3">
      <c r="A1707" s="2" t="s">
        <v>3924</v>
      </c>
      <c r="B1707" s="5">
        <v>42244</v>
      </c>
      <c r="C1707" s="2" t="str">
        <f>TEXT(data[[#This Row],[Order Date]],"YYYY")</f>
        <v>2015</v>
      </c>
      <c r="D1707" s="2">
        <v>42251</v>
      </c>
      <c r="E1707" s="2" t="s">
        <v>39</v>
      </c>
      <c r="F1707" s="2" t="s">
        <v>687</v>
      </c>
      <c r="G1707" s="2" t="s">
        <v>688</v>
      </c>
      <c r="H1707" s="2" t="s">
        <v>24</v>
      </c>
      <c r="I1707" s="2" t="s">
        <v>25</v>
      </c>
      <c r="J1707" s="2" t="s">
        <v>52</v>
      </c>
      <c r="K1707" s="2" t="s">
        <v>53</v>
      </c>
      <c r="L1707" s="2" t="s">
        <v>54</v>
      </c>
      <c r="M1707" s="2" t="s">
        <v>1361</v>
      </c>
      <c r="N1707" s="2" t="s">
        <v>30</v>
      </c>
      <c r="O1707" s="2" t="s">
        <v>56</v>
      </c>
      <c r="P1707" s="2" t="s">
        <v>423</v>
      </c>
      <c r="Q1707" s="2">
        <v>4.16</v>
      </c>
      <c r="R1707" s="2">
        <v>2</v>
      </c>
      <c r="S1707" s="2">
        <v>1.7472000000000001</v>
      </c>
      <c r="T1707" s="2" t="s">
        <v>47</v>
      </c>
      <c r="U1707" s="2" t="s">
        <v>253</v>
      </c>
    </row>
    <row r="1708" spans="1:21" ht="14.25" customHeight="1" x14ac:dyDescent="0.3">
      <c r="A1708" s="2" t="s">
        <v>3925</v>
      </c>
      <c r="B1708" s="5">
        <v>42297</v>
      </c>
      <c r="C1708" s="2" t="str">
        <f>TEXT(data[[#This Row],[Order Date]],"YYYY")</f>
        <v>2015</v>
      </c>
      <c r="D1708" s="2">
        <v>42301</v>
      </c>
      <c r="E1708" s="2" t="s">
        <v>39</v>
      </c>
      <c r="F1708" s="2" t="s">
        <v>1038</v>
      </c>
      <c r="G1708" s="2" t="s">
        <v>1039</v>
      </c>
      <c r="H1708" s="2" t="s">
        <v>90</v>
      </c>
      <c r="I1708" s="2" t="s">
        <v>25</v>
      </c>
      <c r="J1708" s="2" t="s">
        <v>328</v>
      </c>
      <c r="K1708" s="2" t="s">
        <v>53</v>
      </c>
      <c r="L1708" s="2" t="s">
        <v>54</v>
      </c>
      <c r="M1708" s="2" t="s">
        <v>2513</v>
      </c>
      <c r="N1708" s="2" t="s">
        <v>30</v>
      </c>
      <c r="O1708" s="2" t="s">
        <v>56</v>
      </c>
      <c r="P1708" s="2" t="s">
        <v>2514</v>
      </c>
      <c r="Q1708" s="2">
        <v>16.02</v>
      </c>
      <c r="R1708" s="2">
        <v>6</v>
      </c>
      <c r="S1708" s="2">
        <v>6.0876000000000001</v>
      </c>
      <c r="T1708" s="2" t="s">
        <v>83</v>
      </c>
      <c r="U1708" s="2" t="s">
        <v>48</v>
      </c>
    </row>
    <row r="1709" spans="1:21" ht="14.25" customHeight="1" x14ac:dyDescent="0.3">
      <c r="A1709" s="2" t="s">
        <v>3926</v>
      </c>
      <c r="B1709" s="5">
        <v>42736</v>
      </c>
      <c r="C1709" s="2" t="str">
        <f>TEXT(data[[#This Row],[Order Date]],"YYYY")</f>
        <v>2017</v>
      </c>
      <c r="D1709" s="2">
        <v>42740</v>
      </c>
      <c r="E1709" s="2" t="s">
        <v>39</v>
      </c>
      <c r="F1709" s="2" t="s">
        <v>2654</v>
      </c>
      <c r="G1709" s="2" t="s">
        <v>2655</v>
      </c>
      <c r="H1709" s="2" t="s">
        <v>24</v>
      </c>
      <c r="I1709" s="2" t="s">
        <v>25</v>
      </c>
      <c r="J1709" s="2" t="s">
        <v>1868</v>
      </c>
      <c r="K1709" s="2" t="s">
        <v>92</v>
      </c>
      <c r="L1709" s="2" t="s">
        <v>93</v>
      </c>
      <c r="M1709" s="2" t="s">
        <v>2169</v>
      </c>
      <c r="N1709" s="2" t="s">
        <v>30</v>
      </c>
      <c r="O1709" s="2" t="s">
        <v>56</v>
      </c>
      <c r="P1709" s="2" t="s">
        <v>2170</v>
      </c>
      <c r="Q1709" s="2">
        <v>141.41999999999999</v>
      </c>
      <c r="R1709" s="2">
        <v>5</v>
      </c>
      <c r="S1709" s="2">
        <v>-187.38149999999999</v>
      </c>
      <c r="T1709" s="2" t="s">
        <v>83</v>
      </c>
      <c r="U1709" s="2" t="s">
        <v>169</v>
      </c>
    </row>
    <row r="1710" spans="1:21" ht="14.25" customHeight="1" x14ac:dyDescent="0.3">
      <c r="A1710" s="2" t="s">
        <v>3926</v>
      </c>
      <c r="B1710" s="5">
        <v>42736</v>
      </c>
      <c r="C1710" s="2" t="str">
        <f>TEXT(data[[#This Row],[Order Date]],"YYYY")</f>
        <v>2017</v>
      </c>
      <c r="D1710" s="2">
        <v>42740</v>
      </c>
      <c r="E1710" s="2" t="s">
        <v>39</v>
      </c>
      <c r="F1710" s="2" t="s">
        <v>2654</v>
      </c>
      <c r="G1710" s="2" t="s">
        <v>2655</v>
      </c>
      <c r="H1710" s="2" t="s">
        <v>24</v>
      </c>
      <c r="I1710" s="2" t="s">
        <v>25</v>
      </c>
      <c r="J1710" s="2" t="s">
        <v>1868</v>
      </c>
      <c r="K1710" s="2" t="s">
        <v>92</v>
      </c>
      <c r="L1710" s="2" t="s">
        <v>93</v>
      </c>
      <c r="M1710" s="2" t="s">
        <v>821</v>
      </c>
      <c r="N1710" s="2" t="s">
        <v>30</v>
      </c>
      <c r="O1710" s="2" t="s">
        <v>36</v>
      </c>
      <c r="P1710" s="2" t="s">
        <v>822</v>
      </c>
      <c r="Q1710" s="2">
        <v>310.74400000000003</v>
      </c>
      <c r="R1710" s="2">
        <v>4</v>
      </c>
      <c r="S1710" s="2">
        <v>-26.635200000000001</v>
      </c>
      <c r="T1710" s="2" t="s">
        <v>83</v>
      </c>
      <c r="U1710" s="2" t="s">
        <v>169</v>
      </c>
    </row>
    <row r="1711" spans="1:21" ht="14.25" customHeight="1" x14ac:dyDescent="0.3">
      <c r="A1711" s="2" t="s">
        <v>3927</v>
      </c>
      <c r="B1711" s="5">
        <v>42178</v>
      </c>
      <c r="C1711" s="2" t="str">
        <f>TEXT(data[[#This Row],[Order Date]],"YYYY")</f>
        <v>2015</v>
      </c>
      <c r="D1711" s="2">
        <v>42184</v>
      </c>
      <c r="E1711" s="2" t="s">
        <v>39</v>
      </c>
      <c r="F1711" s="2" t="s">
        <v>1712</v>
      </c>
      <c r="G1711" s="2" t="s">
        <v>1713</v>
      </c>
      <c r="H1711" s="2" t="s">
        <v>90</v>
      </c>
      <c r="I1711" s="2" t="s">
        <v>25</v>
      </c>
      <c r="J1711" s="2" t="s">
        <v>3928</v>
      </c>
      <c r="K1711" s="2" t="s">
        <v>667</v>
      </c>
      <c r="L1711" s="2" t="s">
        <v>28</v>
      </c>
      <c r="M1711" s="2" t="s">
        <v>835</v>
      </c>
      <c r="N1711" s="2" t="s">
        <v>30</v>
      </c>
      <c r="O1711" s="2" t="s">
        <v>56</v>
      </c>
      <c r="P1711" s="2" t="s">
        <v>836</v>
      </c>
      <c r="Q1711" s="2">
        <v>27.42</v>
      </c>
      <c r="R1711" s="2">
        <v>3</v>
      </c>
      <c r="S1711" s="2">
        <v>9.3228000000000009</v>
      </c>
      <c r="T1711" s="2" t="s">
        <v>129</v>
      </c>
      <c r="U1711" s="2" t="s">
        <v>59</v>
      </c>
    </row>
    <row r="1712" spans="1:21" ht="14.25" customHeight="1" x14ac:dyDescent="0.3">
      <c r="A1712" s="2" t="s">
        <v>3929</v>
      </c>
      <c r="B1712" s="5">
        <v>42663</v>
      </c>
      <c r="C1712" s="2" t="str">
        <f>TEXT(data[[#This Row],[Order Date]],"YYYY")</f>
        <v>2016</v>
      </c>
      <c r="D1712" s="2">
        <v>42669</v>
      </c>
      <c r="E1712" s="2" t="s">
        <v>39</v>
      </c>
      <c r="F1712" s="2" t="s">
        <v>3930</v>
      </c>
      <c r="G1712" s="2" t="s">
        <v>3931</v>
      </c>
      <c r="H1712" s="2" t="s">
        <v>100</v>
      </c>
      <c r="I1712" s="2" t="s">
        <v>25</v>
      </c>
      <c r="J1712" s="2" t="s">
        <v>689</v>
      </c>
      <c r="K1712" s="2" t="s">
        <v>716</v>
      </c>
      <c r="L1712" s="2" t="s">
        <v>28</v>
      </c>
      <c r="M1712" s="2" t="s">
        <v>493</v>
      </c>
      <c r="N1712" s="2" t="s">
        <v>30</v>
      </c>
      <c r="O1712" s="2" t="s">
        <v>56</v>
      </c>
      <c r="P1712" s="2" t="s">
        <v>494</v>
      </c>
      <c r="Q1712" s="2">
        <v>61.1</v>
      </c>
      <c r="R1712" s="2">
        <v>5</v>
      </c>
      <c r="S1712" s="2">
        <v>18.329999999999998</v>
      </c>
      <c r="T1712" s="2" t="s">
        <v>129</v>
      </c>
      <c r="U1712" s="2" t="s">
        <v>48</v>
      </c>
    </row>
    <row r="1713" spans="1:21" ht="14.25" customHeight="1" x14ac:dyDescent="0.3">
      <c r="A1713" s="2" t="s">
        <v>3932</v>
      </c>
      <c r="B1713" s="5">
        <v>42943</v>
      </c>
      <c r="C1713" s="2" t="str">
        <f>TEXT(data[[#This Row],[Order Date]],"YYYY")</f>
        <v>2017</v>
      </c>
      <c r="D1713" s="2">
        <v>42948</v>
      </c>
      <c r="E1713" s="2" t="s">
        <v>21</v>
      </c>
      <c r="F1713" s="2" t="s">
        <v>1768</v>
      </c>
      <c r="G1713" s="2" t="s">
        <v>1769</v>
      </c>
      <c r="H1713" s="2" t="s">
        <v>24</v>
      </c>
      <c r="I1713" s="2" t="s">
        <v>25</v>
      </c>
      <c r="J1713" s="2" t="s">
        <v>191</v>
      </c>
      <c r="K1713" s="2" t="s">
        <v>192</v>
      </c>
      <c r="L1713" s="2" t="s">
        <v>54</v>
      </c>
      <c r="M1713" s="2" t="s">
        <v>927</v>
      </c>
      <c r="N1713" s="2" t="s">
        <v>30</v>
      </c>
      <c r="O1713" s="2" t="s">
        <v>56</v>
      </c>
      <c r="P1713" s="2" t="s">
        <v>316</v>
      </c>
      <c r="Q1713" s="2">
        <v>23.88</v>
      </c>
      <c r="R1713" s="2">
        <v>3</v>
      </c>
      <c r="S1713" s="2">
        <v>10.507199999999999</v>
      </c>
      <c r="T1713" s="2" t="s">
        <v>58</v>
      </c>
      <c r="U1713" s="2" t="s">
        <v>71</v>
      </c>
    </row>
    <row r="1714" spans="1:21" ht="14.25" customHeight="1" x14ac:dyDescent="0.3">
      <c r="A1714" s="2" t="s">
        <v>3933</v>
      </c>
      <c r="B1714" s="5">
        <v>42783</v>
      </c>
      <c r="C1714" s="2" t="str">
        <f>TEXT(data[[#This Row],[Order Date]],"YYYY")</f>
        <v>2017</v>
      </c>
      <c r="D1714" s="2">
        <v>42785</v>
      </c>
      <c r="E1714" s="2" t="s">
        <v>87</v>
      </c>
      <c r="F1714" s="2" t="s">
        <v>3934</v>
      </c>
      <c r="G1714" s="2" t="s">
        <v>3935</v>
      </c>
      <c r="H1714" s="2" t="s">
        <v>100</v>
      </c>
      <c r="I1714" s="2" t="s">
        <v>25</v>
      </c>
      <c r="J1714" s="2" t="s">
        <v>101</v>
      </c>
      <c r="K1714" s="2" t="s">
        <v>92</v>
      </c>
      <c r="L1714" s="2" t="s">
        <v>93</v>
      </c>
      <c r="M1714" s="2" t="s">
        <v>534</v>
      </c>
      <c r="N1714" s="2" t="s">
        <v>30</v>
      </c>
      <c r="O1714" s="2" t="s">
        <v>31</v>
      </c>
      <c r="P1714" s="2" t="s">
        <v>535</v>
      </c>
      <c r="Q1714" s="2">
        <v>89.066400000000002</v>
      </c>
      <c r="R1714" s="2">
        <v>1</v>
      </c>
      <c r="S1714" s="2">
        <v>-17.0274</v>
      </c>
      <c r="T1714" s="2" t="s">
        <v>70</v>
      </c>
      <c r="U1714" s="2" t="s">
        <v>297</v>
      </c>
    </row>
    <row r="1715" spans="1:21" ht="14.25" customHeight="1" x14ac:dyDescent="0.3">
      <c r="A1715" s="2" t="s">
        <v>3936</v>
      </c>
      <c r="B1715" s="5">
        <v>43077</v>
      </c>
      <c r="C1715" s="2" t="str">
        <f>TEXT(data[[#This Row],[Order Date]],"YYYY")</f>
        <v>2017</v>
      </c>
      <c r="D1715" s="2">
        <v>43084</v>
      </c>
      <c r="E1715" s="2" t="s">
        <v>39</v>
      </c>
      <c r="F1715" s="2" t="s">
        <v>759</v>
      </c>
      <c r="G1715" s="2" t="s">
        <v>760</v>
      </c>
      <c r="H1715" s="2" t="s">
        <v>24</v>
      </c>
      <c r="I1715" s="2" t="s">
        <v>25</v>
      </c>
      <c r="J1715" s="2" t="s">
        <v>65</v>
      </c>
      <c r="K1715" s="2" t="s">
        <v>66</v>
      </c>
      <c r="L1715" s="2" t="s">
        <v>67</v>
      </c>
      <c r="M1715" s="2" t="s">
        <v>488</v>
      </c>
      <c r="N1715" s="2" t="s">
        <v>30</v>
      </c>
      <c r="O1715" s="2" t="s">
        <v>36</v>
      </c>
      <c r="P1715" s="2" t="s">
        <v>489</v>
      </c>
      <c r="Q1715" s="2">
        <v>215.54400000000001</v>
      </c>
      <c r="R1715" s="2">
        <v>4</v>
      </c>
      <c r="S1715" s="2">
        <v>-58.504800000000003</v>
      </c>
      <c r="T1715" s="2" t="s">
        <v>47</v>
      </c>
      <c r="U1715" s="2" t="s">
        <v>96</v>
      </c>
    </row>
    <row r="1716" spans="1:21" ht="14.25" customHeight="1" x14ac:dyDescent="0.3">
      <c r="A1716" s="2" t="s">
        <v>3937</v>
      </c>
      <c r="B1716" s="5">
        <v>43057</v>
      </c>
      <c r="C1716" s="2" t="str">
        <f>TEXT(data[[#This Row],[Order Date]],"YYYY")</f>
        <v>2017</v>
      </c>
      <c r="D1716" s="2">
        <v>43062</v>
      </c>
      <c r="E1716" s="2" t="s">
        <v>39</v>
      </c>
      <c r="F1716" s="2" t="s">
        <v>3938</v>
      </c>
      <c r="G1716" s="2" t="s">
        <v>3939</v>
      </c>
      <c r="H1716" s="2" t="s">
        <v>24</v>
      </c>
      <c r="I1716" s="2" t="s">
        <v>25</v>
      </c>
      <c r="J1716" s="2" t="s">
        <v>133</v>
      </c>
      <c r="K1716" s="2" t="s">
        <v>134</v>
      </c>
      <c r="L1716" s="2" t="s">
        <v>93</v>
      </c>
      <c r="M1716" s="2" t="s">
        <v>2180</v>
      </c>
      <c r="N1716" s="2" t="s">
        <v>30</v>
      </c>
      <c r="O1716" s="2" t="s">
        <v>36</v>
      </c>
      <c r="P1716" s="2" t="s">
        <v>2181</v>
      </c>
      <c r="Q1716" s="2">
        <v>127.386</v>
      </c>
      <c r="R1716" s="2">
        <v>2</v>
      </c>
      <c r="S1716" s="2">
        <v>-25.4772</v>
      </c>
      <c r="T1716" s="2" t="s">
        <v>58</v>
      </c>
      <c r="U1716" s="2" t="s">
        <v>34</v>
      </c>
    </row>
    <row r="1717" spans="1:21" ht="14.25" customHeight="1" x14ac:dyDescent="0.3">
      <c r="A1717" s="2" t="s">
        <v>3940</v>
      </c>
      <c r="B1717" s="5">
        <v>42705</v>
      </c>
      <c r="C1717" s="2" t="str">
        <f>TEXT(data[[#This Row],[Order Date]],"YYYY")</f>
        <v>2016</v>
      </c>
      <c r="D1717" s="2">
        <v>42707</v>
      </c>
      <c r="E1717" s="2" t="s">
        <v>21</v>
      </c>
      <c r="F1717" s="2" t="s">
        <v>3816</v>
      </c>
      <c r="G1717" s="2" t="s">
        <v>3817</v>
      </c>
      <c r="H1717" s="2" t="s">
        <v>24</v>
      </c>
      <c r="I1717" s="2" t="s">
        <v>25</v>
      </c>
      <c r="J1717" s="2" t="s">
        <v>1745</v>
      </c>
      <c r="K1717" s="2" t="s">
        <v>92</v>
      </c>
      <c r="L1717" s="2" t="s">
        <v>93</v>
      </c>
      <c r="M1717" s="2" t="s">
        <v>590</v>
      </c>
      <c r="N1717" s="2" t="s">
        <v>30</v>
      </c>
      <c r="O1717" s="2" t="s">
        <v>36</v>
      </c>
      <c r="P1717" s="2" t="s">
        <v>591</v>
      </c>
      <c r="Q1717" s="2">
        <v>248.43</v>
      </c>
      <c r="R1717" s="2">
        <v>5</v>
      </c>
      <c r="S1717" s="2">
        <v>-17.745000000000001</v>
      </c>
      <c r="T1717" s="2" t="s">
        <v>70</v>
      </c>
      <c r="U1717" s="2" t="s">
        <v>96</v>
      </c>
    </row>
    <row r="1718" spans="1:21" ht="14.25" customHeight="1" x14ac:dyDescent="0.3">
      <c r="A1718" s="2" t="s">
        <v>3940</v>
      </c>
      <c r="B1718" s="5">
        <v>42705</v>
      </c>
      <c r="C1718" s="2" t="str">
        <f>TEXT(data[[#This Row],[Order Date]],"YYYY")</f>
        <v>2016</v>
      </c>
      <c r="D1718" s="2">
        <v>42707</v>
      </c>
      <c r="E1718" s="2" t="s">
        <v>21</v>
      </c>
      <c r="F1718" s="2" t="s">
        <v>3816</v>
      </c>
      <c r="G1718" s="2" t="s">
        <v>3817</v>
      </c>
      <c r="H1718" s="2" t="s">
        <v>24</v>
      </c>
      <c r="I1718" s="2" t="s">
        <v>25</v>
      </c>
      <c r="J1718" s="2" t="s">
        <v>1745</v>
      </c>
      <c r="K1718" s="2" t="s">
        <v>92</v>
      </c>
      <c r="L1718" s="2" t="s">
        <v>93</v>
      </c>
      <c r="M1718" s="2" t="s">
        <v>298</v>
      </c>
      <c r="N1718" s="2" t="s">
        <v>30</v>
      </c>
      <c r="O1718" s="2" t="s">
        <v>36</v>
      </c>
      <c r="P1718" s="2" t="s">
        <v>299</v>
      </c>
      <c r="Q1718" s="2">
        <v>85.245999999999995</v>
      </c>
      <c r="R1718" s="2">
        <v>2</v>
      </c>
      <c r="S1718" s="2">
        <v>-1.2178</v>
      </c>
      <c r="T1718" s="2" t="s">
        <v>70</v>
      </c>
      <c r="U1718" s="2" t="s">
        <v>96</v>
      </c>
    </row>
    <row r="1719" spans="1:21" ht="14.25" customHeight="1" x14ac:dyDescent="0.3">
      <c r="A1719" s="2" t="s">
        <v>3941</v>
      </c>
      <c r="B1719" s="5">
        <v>42976</v>
      </c>
      <c r="C1719" s="2" t="str">
        <f>TEXT(data[[#This Row],[Order Date]],"YYYY")</f>
        <v>2017</v>
      </c>
      <c r="D1719" s="2">
        <v>42982</v>
      </c>
      <c r="E1719" s="2" t="s">
        <v>39</v>
      </c>
      <c r="F1719" s="2" t="s">
        <v>1588</v>
      </c>
      <c r="G1719" s="2" t="s">
        <v>1589</v>
      </c>
      <c r="H1719" s="2" t="s">
        <v>90</v>
      </c>
      <c r="I1719" s="2" t="s">
        <v>25</v>
      </c>
      <c r="J1719" s="2" t="s">
        <v>52</v>
      </c>
      <c r="K1719" s="2" t="s">
        <v>53</v>
      </c>
      <c r="L1719" s="2" t="s">
        <v>54</v>
      </c>
      <c r="M1719" s="2" t="s">
        <v>3694</v>
      </c>
      <c r="N1719" s="2" t="s">
        <v>30</v>
      </c>
      <c r="O1719" s="2" t="s">
        <v>56</v>
      </c>
      <c r="P1719" s="2" t="s">
        <v>3695</v>
      </c>
      <c r="Q1719" s="2">
        <v>148.02000000000001</v>
      </c>
      <c r="R1719" s="2">
        <v>3</v>
      </c>
      <c r="S1719" s="2">
        <v>41.445599999999999</v>
      </c>
      <c r="T1719" s="2" t="s">
        <v>129</v>
      </c>
      <c r="U1719" s="2" t="s">
        <v>253</v>
      </c>
    </row>
    <row r="1720" spans="1:21" ht="14.25" customHeight="1" x14ac:dyDescent="0.3">
      <c r="A1720" s="2" t="s">
        <v>3942</v>
      </c>
      <c r="B1720" s="5">
        <v>42938</v>
      </c>
      <c r="C1720" s="2" t="str">
        <f>TEXT(data[[#This Row],[Order Date]],"YYYY")</f>
        <v>2017</v>
      </c>
      <c r="D1720" s="2">
        <v>42943</v>
      </c>
      <c r="E1720" s="2" t="s">
        <v>39</v>
      </c>
      <c r="F1720" s="2" t="s">
        <v>2657</v>
      </c>
      <c r="G1720" s="2" t="s">
        <v>2658</v>
      </c>
      <c r="H1720" s="2" t="s">
        <v>24</v>
      </c>
      <c r="I1720" s="2" t="s">
        <v>25</v>
      </c>
      <c r="J1720" s="2" t="s">
        <v>133</v>
      </c>
      <c r="K1720" s="2" t="s">
        <v>134</v>
      </c>
      <c r="L1720" s="2" t="s">
        <v>93</v>
      </c>
      <c r="M1720" s="2" t="s">
        <v>625</v>
      </c>
      <c r="N1720" s="2" t="s">
        <v>30</v>
      </c>
      <c r="O1720" s="2" t="s">
        <v>36</v>
      </c>
      <c r="P1720" s="2" t="s">
        <v>626</v>
      </c>
      <c r="Q1720" s="2">
        <v>526.34400000000005</v>
      </c>
      <c r="R1720" s="2">
        <v>4</v>
      </c>
      <c r="S1720" s="2">
        <v>-75.191999999999993</v>
      </c>
      <c r="T1720" s="2" t="s">
        <v>58</v>
      </c>
      <c r="U1720" s="2" t="s">
        <v>71</v>
      </c>
    </row>
    <row r="1721" spans="1:21" ht="14.25" customHeight="1" x14ac:dyDescent="0.3">
      <c r="A1721" s="2" t="s">
        <v>3943</v>
      </c>
      <c r="B1721" s="5">
        <v>42685</v>
      </c>
      <c r="C1721" s="2" t="str">
        <f>TEXT(data[[#This Row],[Order Date]],"YYYY")</f>
        <v>2016</v>
      </c>
      <c r="D1721" s="2">
        <v>42690</v>
      </c>
      <c r="E1721" s="2" t="s">
        <v>39</v>
      </c>
      <c r="F1721" s="2" t="s">
        <v>615</v>
      </c>
      <c r="G1721" s="2" t="s">
        <v>616</v>
      </c>
      <c r="H1721" s="2" t="s">
        <v>24</v>
      </c>
      <c r="I1721" s="2" t="s">
        <v>25</v>
      </c>
      <c r="J1721" s="2" t="s">
        <v>328</v>
      </c>
      <c r="K1721" s="2" t="s">
        <v>53</v>
      </c>
      <c r="L1721" s="2" t="s">
        <v>54</v>
      </c>
      <c r="M1721" s="2" t="s">
        <v>186</v>
      </c>
      <c r="N1721" s="2" t="s">
        <v>30</v>
      </c>
      <c r="O1721" s="2" t="s">
        <v>56</v>
      </c>
      <c r="P1721" s="2" t="s">
        <v>187</v>
      </c>
      <c r="Q1721" s="2">
        <v>41.96</v>
      </c>
      <c r="R1721" s="2">
        <v>2</v>
      </c>
      <c r="S1721" s="2">
        <v>10.909599999999999</v>
      </c>
      <c r="T1721" s="2" t="s">
        <v>58</v>
      </c>
      <c r="U1721" s="2" t="s">
        <v>34</v>
      </c>
    </row>
    <row r="1722" spans="1:21" ht="14.25" customHeight="1" x14ac:dyDescent="0.3">
      <c r="A1722" s="2" t="s">
        <v>3943</v>
      </c>
      <c r="B1722" s="5">
        <v>42685</v>
      </c>
      <c r="C1722" s="2" t="str">
        <f>TEXT(data[[#This Row],[Order Date]],"YYYY")</f>
        <v>2016</v>
      </c>
      <c r="D1722" s="2">
        <v>42690</v>
      </c>
      <c r="E1722" s="2" t="s">
        <v>39</v>
      </c>
      <c r="F1722" s="2" t="s">
        <v>615</v>
      </c>
      <c r="G1722" s="2" t="s">
        <v>616</v>
      </c>
      <c r="H1722" s="2" t="s">
        <v>24</v>
      </c>
      <c r="I1722" s="2" t="s">
        <v>25</v>
      </c>
      <c r="J1722" s="2" t="s">
        <v>328</v>
      </c>
      <c r="K1722" s="2" t="s">
        <v>53</v>
      </c>
      <c r="L1722" s="2" t="s">
        <v>54</v>
      </c>
      <c r="M1722" s="2" t="s">
        <v>625</v>
      </c>
      <c r="N1722" s="2" t="s">
        <v>30</v>
      </c>
      <c r="O1722" s="2" t="s">
        <v>36</v>
      </c>
      <c r="P1722" s="2" t="s">
        <v>626</v>
      </c>
      <c r="Q1722" s="2">
        <v>451.15199999999999</v>
      </c>
      <c r="R1722" s="2">
        <v>3</v>
      </c>
      <c r="S1722" s="2">
        <v>0</v>
      </c>
      <c r="T1722" s="2" t="s">
        <v>58</v>
      </c>
      <c r="U1722" s="2" t="s">
        <v>34</v>
      </c>
    </row>
    <row r="1723" spans="1:21" ht="14.25" customHeight="1" x14ac:dyDescent="0.3">
      <c r="A1723" s="2" t="s">
        <v>3944</v>
      </c>
      <c r="B1723" s="5">
        <v>42985</v>
      </c>
      <c r="C1723" s="2" t="str">
        <f>TEXT(data[[#This Row],[Order Date]],"YYYY")</f>
        <v>2017</v>
      </c>
      <c r="D1723" s="2">
        <v>42990</v>
      </c>
      <c r="E1723" s="2" t="s">
        <v>39</v>
      </c>
      <c r="F1723" s="2" t="s">
        <v>1875</v>
      </c>
      <c r="G1723" s="2" t="s">
        <v>1876</v>
      </c>
      <c r="H1723" s="2" t="s">
        <v>24</v>
      </c>
      <c r="I1723" s="2" t="s">
        <v>25</v>
      </c>
      <c r="J1723" s="2" t="s">
        <v>3945</v>
      </c>
      <c r="K1723" s="2" t="s">
        <v>53</v>
      </c>
      <c r="L1723" s="2" t="s">
        <v>54</v>
      </c>
      <c r="M1723" s="2" t="s">
        <v>295</v>
      </c>
      <c r="N1723" s="2" t="s">
        <v>30</v>
      </c>
      <c r="O1723" s="2" t="s">
        <v>36</v>
      </c>
      <c r="P1723" s="2" t="s">
        <v>296</v>
      </c>
      <c r="Q1723" s="2">
        <v>161.56800000000001</v>
      </c>
      <c r="R1723" s="2">
        <v>2</v>
      </c>
      <c r="S1723" s="2">
        <v>-28.2744</v>
      </c>
      <c r="T1723" s="2" t="s">
        <v>58</v>
      </c>
      <c r="U1723" s="2" t="s">
        <v>77</v>
      </c>
    </row>
    <row r="1724" spans="1:21" ht="14.25" customHeight="1" x14ac:dyDescent="0.3">
      <c r="A1724" s="2" t="s">
        <v>3946</v>
      </c>
      <c r="B1724" s="5">
        <v>42973</v>
      </c>
      <c r="C1724" s="2" t="str">
        <f>TEXT(data[[#This Row],[Order Date]],"YYYY")</f>
        <v>2017</v>
      </c>
      <c r="D1724" s="2">
        <v>42979</v>
      </c>
      <c r="E1724" s="2" t="s">
        <v>39</v>
      </c>
      <c r="F1724" s="2" t="s">
        <v>107</v>
      </c>
      <c r="G1724" s="2" t="s">
        <v>108</v>
      </c>
      <c r="H1724" s="2" t="s">
        <v>24</v>
      </c>
      <c r="I1724" s="2" t="s">
        <v>25</v>
      </c>
      <c r="J1724" s="2" t="s">
        <v>133</v>
      </c>
      <c r="K1724" s="2" t="s">
        <v>134</v>
      </c>
      <c r="L1724" s="2" t="s">
        <v>93</v>
      </c>
      <c r="M1724" s="2" t="s">
        <v>756</v>
      </c>
      <c r="N1724" s="2" t="s">
        <v>30</v>
      </c>
      <c r="O1724" s="2" t="s">
        <v>56</v>
      </c>
      <c r="P1724" s="2" t="s">
        <v>757</v>
      </c>
      <c r="Q1724" s="2">
        <v>64.959999999999994</v>
      </c>
      <c r="R1724" s="2">
        <v>5</v>
      </c>
      <c r="S1724" s="2">
        <v>-43.847999999999999</v>
      </c>
      <c r="T1724" s="2" t="s">
        <v>129</v>
      </c>
      <c r="U1724" s="2" t="s">
        <v>253</v>
      </c>
    </row>
    <row r="1725" spans="1:21" ht="14.25" customHeight="1" x14ac:dyDescent="0.3">
      <c r="A1725" s="2" t="s">
        <v>3947</v>
      </c>
      <c r="B1725" s="5">
        <v>42285</v>
      </c>
      <c r="C1725" s="2" t="str">
        <f>TEXT(data[[#This Row],[Order Date]],"YYYY")</f>
        <v>2015</v>
      </c>
      <c r="D1725" s="2">
        <v>42290</v>
      </c>
      <c r="E1725" s="2" t="s">
        <v>39</v>
      </c>
      <c r="F1725" s="2" t="s">
        <v>88</v>
      </c>
      <c r="G1725" s="2" t="s">
        <v>89</v>
      </c>
      <c r="H1725" s="2" t="s">
        <v>90</v>
      </c>
      <c r="I1725" s="2" t="s">
        <v>25</v>
      </c>
      <c r="J1725" s="2" t="s">
        <v>1739</v>
      </c>
      <c r="K1725" s="2" t="s">
        <v>92</v>
      </c>
      <c r="L1725" s="2" t="s">
        <v>93</v>
      </c>
      <c r="M1725" s="2" t="s">
        <v>144</v>
      </c>
      <c r="N1725" s="2" t="s">
        <v>30</v>
      </c>
      <c r="O1725" s="2" t="s">
        <v>56</v>
      </c>
      <c r="P1725" s="2" t="s">
        <v>145</v>
      </c>
      <c r="Q1725" s="2">
        <v>72.78</v>
      </c>
      <c r="R1725" s="2">
        <v>3</v>
      </c>
      <c r="S1725" s="2">
        <v>-70.960499999999996</v>
      </c>
      <c r="T1725" s="2" t="s">
        <v>58</v>
      </c>
      <c r="U1725" s="2" t="s">
        <v>48</v>
      </c>
    </row>
    <row r="1726" spans="1:21" ht="14.25" customHeight="1" x14ac:dyDescent="0.3">
      <c r="A1726" s="2" t="s">
        <v>3948</v>
      </c>
      <c r="B1726" s="5">
        <v>42594</v>
      </c>
      <c r="C1726" s="2" t="str">
        <f>TEXT(data[[#This Row],[Order Date]],"YYYY")</f>
        <v>2016</v>
      </c>
      <c r="D1726" s="2">
        <v>42598</v>
      </c>
      <c r="E1726" s="2" t="s">
        <v>39</v>
      </c>
      <c r="F1726" s="2" t="s">
        <v>3949</v>
      </c>
      <c r="G1726" s="2" t="s">
        <v>3950</v>
      </c>
      <c r="H1726" s="2" t="s">
        <v>90</v>
      </c>
      <c r="I1726" s="2" t="s">
        <v>25</v>
      </c>
      <c r="J1726" s="2" t="s">
        <v>574</v>
      </c>
      <c r="K1726" s="2" t="s">
        <v>43</v>
      </c>
      <c r="L1726" s="2" t="s">
        <v>28</v>
      </c>
      <c r="M1726" s="2" t="s">
        <v>368</v>
      </c>
      <c r="N1726" s="2" t="s">
        <v>30</v>
      </c>
      <c r="O1726" s="2" t="s">
        <v>45</v>
      </c>
      <c r="P1726" s="2" t="s">
        <v>369</v>
      </c>
      <c r="Q1726" s="2">
        <v>562.29250000000002</v>
      </c>
      <c r="R1726" s="2">
        <v>7</v>
      </c>
      <c r="S1726" s="2">
        <v>-255.58750000000001</v>
      </c>
      <c r="T1726" s="2" t="s">
        <v>83</v>
      </c>
      <c r="U1726" s="2" t="s">
        <v>253</v>
      </c>
    </row>
    <row r="1727" spans="1:21" ht="14.25" customHeight="1" x14ac:dyDescent="0.3">
      <c r="A1727" s="2" t="s">
        <v>3951</v>
      </c>
      <c r="B1727" s="5">
        <v>41952</v>
      </c>
      <c r="C1727" s="2" t="str">
        <f>TEXT(data[[#This Row],[Order Date]],"YYYY")</f>
        <v>2014</v>
      </c>
      <c r="D1727" s="2">
        <v>41956</v>
      </c>
      <c r="E1727" s="2" t="s">
        <v>39</v>
      </c>
      <c r="F1727" s="2" t="s">
        <v>3363</v>
      </c>
      <c r="G1727" s="2" t="s">
        <v>3364</v>
      </c>
      <c r="H1727" s="2" t="s">
        <v>100</v>
      </c>
      <c r="I1727" s="2" t="s">
        <v>25</v>
      </c>
      <c r="J1727" s="2" t="s">
        <v>173</v>
      </c>
      <c r="K1727" s="2" t="s">
        <v>120</v>
      </c>
      <c r="L1727" s="2" t="s">
        <v>67</v>
      </c>
      <c r="M1727" s="2" t="s">
        <v>354</v>
      </c>
      <c r="N1727" s="2" t="s">
        <v>30</v>
      </c>
      <c r="O1727" s="2" t="s">
        <v>56</v>
      </c>
      <c r="P1727" s="2" t="s">
        <v>1243</v>
      </c>
      <c r="Q1727" s="2">
        <v>56.52</v>
      </c>
      <c r="R1727" s="2">
        <v>9</v>
      </c>
      <c r="S1727" s="2">
        <v>21.477599999999999</v>
      </c>
      <c r="T1727" s="2" t="s">
        <v>83</v>
      </c>
      <c r="U1727" s="2" t="s">
        <v>34</v>
      </c>
    </row>
    <row r="1728" spans="1:21" ht="14.25" customHeight="1" x14ac:dyDescent="0.3">
      <c r="A1728" s="2" t="s">
        <v>3952</v>
      </c>
      <c r="B1728" s="5">
        <v>42405</v>
      </c>
      <c r="C1728" s="2" t="str">
        <f>TEXT(data[[#This Row],[Order Date]],"YYYY")</f>
        <v>2016</v>
      </c>
      <c r="D1728" s="2">
        <v>42410</v>
      </c>
      <c r="E1728" s="2" t="s">
        <v>39</v>
      </c>
      <c r="F1728" s="2" t="s">
        <v>1890</v>
      </c>
      <c r="G1728" s="2" t="s">
        <v>1891</v>
      </c>
      <c r="H1728" s="2" t="s">
        <v>24</v>
      </c>
      <c r="I1728" s="2" t="s">
        <v>25</v>
      </c>
      <c r="J1728" s="2" t="s">
        <v>639</v>
      </c>
      <c r="K1728" s="2" t="s">
        <v>53</v>
      </c>
      <c r="L1728" s="2" t="s">
        <v>54</v>
      </c>
      <c r="M1728" s="2" t="s">
        <v>784</v>
      </c>
      <c r="N1728" s="2" t="s">
        <v>30</v>
      </c>
      <c r="O1728" s="2" t="s">
        <v>45</v>
      </c>
      <c r="P1728" s="2" t="s">
        <v>785</v>
      </c>
      <c r="Q1728" s="2">
        <v>557.72799999999995</v>
      </c>
      <c r="R1728" s="2">
        <v>4</v>
      </c>
      <c r="S1728" s="2">
        <v>6.9715999999999996</v>
      </c>
      <c r="T1728" s="2" t="s">
        <v>58</v>
      </c>
      <c r="U1728" s="2" t="s">
        <v>297</v>
      </c>
    </row>
    <row r="1729" spans="1:21" ht="14.25" customHeight="1" x14ac:dyDescent="0.3">
      <c r="A1729" s="2" t="s">
        <v>3953</v>
      </c>
      <c r="B1729" s="5">
        <v>41665</v>
      </c>
      <c r="C1729" s="2" t="str">
        <f>TEXT(data[[#This Row],[Order Date]],"YYYY")</f>
        <v>2014</v>
      </c>
      <c r="D1729" s="2">
        <v>41668</v>
      </c>
      <c r="E1729" s="2" t="s">
        <v>87</v>
      </c>
      <c r="F1729" s="2" t="s">
        <v>2774</v>
      </c>
      <c r="G1729" s="2" t="s">
        <v>2775</v>
      </c>
      <c r="H1729" s="2" t="s">
        <v>90</v>
      </c>
      <c r="I1729" s="2" t="s">
        <v>25</v>
      </c>
      <c r="J1729" s="2" t="s">
        <v>3954</v>
      </c>
      <c r="K1729" s="2" t="s">
        <v>1826</v>
      </c>
      <c r="L1729" s="2" t="s">
        <v>93</v>
      </c>
      <c r="M1729" s="2" t="s">
        <v>810</v>
      </c>
      <c r="N1729" s="2" t="s">
        <v>30</v>
      </c>
      <c r="O1729" s="2" t="s">
        <v>31</v>
      </c>
      <c r="P1729" s="2" t="s">
        <v>811</v>
      </c>
      <c r="Q1729" s="2">
        <v>141.96</v>
      </c>
      <c r="R1729" s="2">
        <v>2</v>
      </c>
      <c r="S1729" s="2">
        <v>39.748800000000003</v>
      </c>
      <c r="T1729" s="2" t="s">
        <v>33</v>
      </c>
      <c r="U1729" s="2" t="s">
        <v>169</v>
      </c>
    </row>
    <row r="1730" spans="1:21" ht="14.25" customHeight="1" x14ac:dyDescent="0.3">
      <c r="A1730" s="2" t="s">
        <v>3955</v>
      </c>
      <c r="B1730" s="5">
        <v>42647</v>
      </c>
      <c r="C1730" s="2" t="str">
        <f>TEXT(data[[#This Row],[Order Date]],"YYYY")</f>
        <v>2016</v>
      </c>
      <c r="D1730" s="2">
        <v>42652</v>
      </c>
      <c r="E1730" s="2" t="s">
        <v>39</v>
      </c>
      <c r="F1730" s="2" t="s">
        <v>779</v>
      </c>
      <c r="G1730" s="2" t="s">
        <v>780</v>
      </c>
      <c r="H1730" s="2" t="s">
        <v>24</v>
      </c>
      <c r="I1730" s="2" t="s">
        <v>25</v>
      </c>
      <c r="J1730" s="2" t="s">
        <v>2754</v>
      </c>
      <c r="K1730" s="2" t="s">
        <v>1089</v>
      </c>
      <c r="L1730" s="2" t="s">
        <v>67</v>
      </c>
      <c r="M1730" s="2" t="s">
        <v>1254</v>
      </c>
      <c r="N1730" s="2" t="s">
        <v>30</v>
      </c>
      <c r="O1730" s="2" t="s">
        <v>45</v>
      </c>
      <c r="P1730" s="2" t="s">
        <v>1255</v>
      </c>
      <c r="Q1730" s="2">
        <v>239.37200000000001</v>
      </c>
      <c r="R1730" s="2">
        <v>2</v>
      </c>
      <c r="S1730" s="2">
        <v>-23.937200000000001</v>
      </c>
      <c r="T1730" s="2" t="s">
        <v>58</v>
      </c>
      <c r="U1730" s="2" t="s">
        <v>48</v>
      </c>
    </row>
    <row r="1731" spans="1:21" ht="14.25" customHeight="1" x14ac:dyDescent="0.3">
      <c r="A1731" s="2" t="s">
        <v>3956</v>
      </c>
      <c r="B1731" s="5">
        <v>42416</v>
      </c>
      <c r="C1731" s="2" t="str">
        <f>TEXT(data[[#This Row],[Order Date]],"YYYY")</f>
        <v>2016</v>
      </c>
      <c r="D1731" s="2">
        <v>42420</v>
      </c>
      <c r="E1731" s="2" t="s">
        <v>39</v>
      </c>
      <c r="F1731" s="2" t="s">
        <v>3957</v>
      </c>
      <c r="G1731" s="2" t="s">
        <v>3958</v>
      </c>
      <c r="H1731" s="2" t="s">
        <v>24</v>
      </c>
      <c r="I1731" s="2" t="s">
        <v>25</v>
      </c>
      <c r="J1731" s="2" t="s">
        <v>361</v>
      </c>
      <c r="K1731" s="2" t="s">
        <v>362</v>
      </c>
      <c r="L1731" s="2" t="s">
        <v>67</v>
      </c>
      <c r="M1731" s="2" t="s">
        <v>3216</v>
      </c>
      <c r="N1731" s="2" t="s">
        <v>30</v>
      </c>
      <c r="O1731" s="2" t="s">
        <v>36</v>
      </c>
      <c r="P1731" s="2" t="s">
        <v>3217</v>
      </c>
      <c r="Q1731" s="2">
        <v>227.96</v>
      </c>
      <c r="R1731" s="2">
        <v>2</v>
      </c>
      <c r="S1731" s="2">
        <v>36.473599999999998</v>
      </c>
      <c r="T1731" s="2" t="s">
        <v>83</v>
      </c>
      <c r="U1731" s="2" t="s">
        <v>297</v>
      </c>
    </row>
    <row r="1732" spans="1:21" ht="14.25" customHeight="1" x14ac:dyDescent="0.3">
      <c r="A1732" s="2" t="s">
        <v>3959</v>
      </c>
      <c r="B1732" s="5">
        <v>42310</v>
      </c>
      <c r="C1732" s="2" t="str">
        <f>TEXT(data[[#This Row],[Order Date]],"YYYY")</f>
        <v>2015</v>
      </c>
      <c r="D1732" s="2">
        <v>42314</v>
      </c>
      <c r="E1732" s="2" t="s">
        <v>39</v>
      </c>
      <c r="F1732" s="2" t="s">
        <v>813</v>
      </c>
      <c r="G1732" s="2" t="s">
        <v>814</v>
      </c>
      <c r="H1732" s="2" t="s">
        <v>24</v>
      </c>
      <c r="I1732" s="2" t="s">
        <v>25</v>
      </c>
      <c r="J1732" s="2" t="s">
        <v>639</v>
      </c>
      <c r="K1732" s="2" t="s">
        <v>53</v>
      </c>
      <c r="L1732" s="2" t="s">
        <v>54</v>
      </c>
      <c r="M1732" s="2" t="s">
        <v>1962</v>
      </c>
      <c r="N1732" s="2" t="s">
        <v>30</v>
      </c>
      <c r="O1732" s="2" t="s">
        <v>56</v>
      </c>
      <c r="P1732" s="2" t="s">
        <v>1963</v>
      </c>
      <c r="Q1732" s="2">
        <v>96.96</v>
      </c>
      <c r="R1732" s="2">
        <v>6</v>
      </c>
      <c r="S1732" s="2">
        <v>33.936</v>
      </c>
      <c r="T1732" s="2" t="s">
        <v>83</v>
      </c>
      <c r="U1732" s="2" t="s">
        <v>34</v>
      </c>
    </row>
    <row r="1733" spans="1:21" ht="14.25" customHeight="1" x14ac:dyDescent="0.3">
      <c r="A1733" s="2" t="s">
        <v>3959</v>
      </c>
      <c r="B1733" s="5">
        <v>42310</v>
      </c>
      <c r="C1733" s="2" t="str">
        <f>TEXT(data[[#This Row],[Order Date]],"YYYY")</f>
        <v>2015</v>
      </c>
      <c r="D1733" s="2">
        <v>42314</v>
      </c>
      <c r="E1733" s="2" t="s">
        <v>39</v>
      </c>
      <c r="F1733" s="2" t="s">
        <v>813</v>
      </c>
      <c r="G1733" s="2" t="s">
        <v>814</v>
      </c>
      <c r="H1733" s="2" t="s">
        <v>24</v>
      </c>
      <c r="I1733" s="2" t="s">
        <v>25</v>
      </c>
      <c r="J1733" s="2" t="s">
        <v>639</v>
      </c>
      <c r="K1733" s="2" t="s">
        <v>53</v>
      </c>
      <c r="L1733" s="2" t="s">
        <v>54</v>
      </c>
      <c r="M1733" s="2" t="s">
        <v>1967</v>
      </c>
      <c r="N1733" s="2" t="s">
        <v>30</v>
      </c>
      <c r="O1733" s="2" t="s">
        <v>31</v>
      </c>
      <c r="P1733" s="2" t="s">
        <v>1968</v>
      </c>
      <c r="Q1733" s="2">
        <v>512.49900000000002</v>
      </c>
      <c r="R1733" s="2">
        <v>3</v>
      </c>
      <c r="S1733" s="2">
        <v>-30.146999999999998</v>
      </c>
      <c r="T1733" s="2" t="s">
        <v>83</v>
      </c>
      <c r="U1733" s="2" t="s">
        <v>34</v>
      </c>
    </row>
    <row r="1734" spans="1:21" ht="14.25" customHeight="1" x14ac:dyDescent="0.3">
      <c r="A1734" s="2" t="s">
        <v>3960</v>
      </c>
      <c r="B1734" s="5">
        <v>42582</v>
      </c>
      <c r="C1734" s="2" t="str">
        <f>TEXT(data[[#This Row],[Order Date]],"YYYY")</f>
        <v>2016</v>
      </c>
      <c r="D1734" s="2">
        <v>42587</v>
      </c>
      <c r="E1734" s="2" t="s">
        <v>39</v>
      </c>
      <c r="F1734" s="2" t="s">
        <v>2576</v>
      </c>
      <c r="G1734" s="2" t="s">
        <v>2577</v>
      </c>
      <c r="H1734" s="2" t="s">
        <v>90</v>
      </c>
      <c r="I1734" s="2" t="s">
        <v>25</v>
      </c>
      <c r="J1734" s="2" t="s">
        <v>328</v>
      </c>
      <c r="K1734" s="2" t="s">
        <v>53</v>
      </c>
      <c r="L1734" s="2" t="s">
        <v>54</v>
      </c>
      <c r="M1734" s="2" t="s">
        <v>731</v>
      </c>
      <c r="N1734" s="2" t="s">
        <v>30</v>
      </c>
      <c r="O1734" s="2" t="s">
        <v>45</v>
      </c>
      <c r="P1734" s="2" t="s">
        <v>732</v>
      </c>
      <c r="Q1734" s="2">
        <v>863.12800000000004</v>
      </c>
      <c r="R1734" s="2">
        <v>7</v>
      </c>
      <c r="S1734" s="2">
        <v>-32.3673</v>
      </c>
      <c r="T1734" s="2" t="s">
        <v>58</v>
      </c>
      <c r="U1734" s="2" t="s">
        <v>71</v>
      </c>
    </row>
    <row r="1735" spans="1:21" ht="14.25" customHeight="1" x14ac:dyDescent="0.3">
      <c r="A1735" s="2" t="s">
        <v>3961</v>
      </c>
      <c r="B1735" s="5">
        <v>43045</v>
      </c>
      <c r="C1735" s="2" t="str">
        <f>TEXT(data[[#This Row],[Order Date]],"YYYY")</f>
        <v>2017</v>
      </c>
      <c r="D1735" s="2">
        <v>43052</v>
      </c>
      <c r="E1735" s="2" t="s">
        <v>39</v>
      </c>
      <c r="F1735" s="2" t="s">
        <v>1844</v>
      </c>
      <c r="G1735" s="2" t="s">
        <v>1845</v>
      </c>
      <c r="H1735" s="2" t="s">
        <v>100</v>
      </c>
      <c r="I1735" s="2" t="s">
        <v>25</v>
      </c>
      <c r="J1735" s="2" t="s">
        <v>191</v>
      </c>
      <c r="K1735" s="2" t="s">
        <v>192</v>
      </c>
      <c r="L1735" s="2" t="s">
        <v>54</v>
      </c>
      <c r="M1735" s="2" t="s">
        <v>410</v>
      </c>
      <c r="N1735" s="2" t="s">
        <v>30</v>
      </c>
      <c r="O1735" s="2" t="s">
        <v>45</v>
      </c>
      <c r="P1735" s="2" t="s">
        <v>411</v>
      </c>
      <c r="Q1735" s="2">
        <v>2036.86</v>
      </c>
      <c r="R1735" s="2">
        <v>7</v>
      </c>
      <c r="S1735" s="2">
        <v>366.63479999999998</v>
      </c>
      <c r="T1735" s="2" t="s">
        <v>47</v>
      </c>
      <c r="U1735" s="2" t="s">
        <v>34</v>
      </c>
    </row>
    <row r="1736" spans="1:21" ht="14.25" customHeight="1" x14ac:dyDescent="0.3">
      <c r="A1736" s="2" t="s">
        <v>3961</v>
      </c>
      <c r="B1736" s="5">
        <v>43045</v>
      </c>
      <c r="C1736" s="2" t="str">
        <f>TEXT(data[[#This Row],[Order Date]],"YYYY")</f>
        <v>2017</v>
      </c>
      <c r="D1736" s="2">
        <v>43052</v>
      </c>
      <c r="E1736" s="2" t="s">
        <v>39</v>
      </c>
      <c r="F1736" s="2" t="s">
        <v>1844</v>
      </c>
      <c r="G1736" s="2" t="s">
        <v>1845</v>
      </c>
      <c r="H1736" s="2" t="s">
        <v>100</v>
      </c>
      <c r="I1736" s="2" t="s">
        <v>25</v>
      </c>
      <c r="J1736" s="2" t="s">
        <v>191</v>
      </c>
      <c r="K1736" s="2" t="s">
        <v>192</v>
      </c>
      <c r="L1736" s="2" t="s">
        <v>54</v>
      </c>
      <c r="M1736" s="2" t="s">
        <v>405</v>
      </c>
      <c r="N1736" s="2" t="s">
        <v>30</v>
      </c>
      <c r="O1736" s="2" t="s">
        <v>36</v>
      </c>
      <c r="P1736" s="2" t="s">
        <v>406</v>
      </c>
      <c r="Q1736" s="2">
        <v>449.56799999999998</v>
      </c>
      <c r="R1736" s="2">
        <v>2</v>
      </c>
      <c r="S1736" s="2">
        <v>-73.0548</v>
      </c>
      <c r="T1736" s="2" t="s">
        <v>47</v>
      </c>
      <c r="U1736" s="2" t="s">
        <v>34</v>
      </c>
    </row>
    <row r="1737" spans="1:21" ht="14.25" customHeight="1" x14ac:dyDescent="0.3">
      <c r="A1737" s="2" t="s">
        <v>3962</v>
      </c>
      <c r="B1737" s="5">
        <v>42218</v>
      </c>
      <c r="C1737" s="2" t="str">
        <f>TEXT(data[[#This Row],[Order Date]],"YYYY")</f>
        <v>2015</v>
      </c>
      <c r="D1737" s="2">
        <v>42222</v>
      </c>
      <c r="E1737" s="2" t="s">
        <v>39</v>
      </c>
      <c r="F1737" s="2" t="s">
        <v>588</v>
      </c>
      <c r="G1737" s="2" t="s">
        <v>589</v>
      </c>
      <c r="H1737" s="2" t="s">
        <v>24</v>
      </c>
      <c r="I1737" s="2" t="s">
        <v>25</v>
      </c>
      <c r="J1737" s="2" t="s">
        <v>878</v>
      </c>
      <c r="K1737" s="2" t="s">
        <v>1517</v>
      </c>
      <c r="L1737" s="2" t="s">
        <v>54</v>
      </c>
      <c r="M1737" s="2" t="s">
        <v>2566</v>
      </c>
      <c r="N1737" s="2" t="s">
        <v>30</v>
      </c>
      <c r="O1737" s="2" t="s">
        <v>45</v>
      </c>
      <c r="P1737" s="2" t="s">
        <v>2567</v>
      </c>
      <c r="Q1737" s="2">
        <v>277.5</v>
      </c>
      <c r="R1737" s="2">
        <v>4</v>
      </c>
      <c r="S1737" s="2">
        <v>-188.7</v>
      </c>
      <c r="T1737" s="2" t="s">
        <v>83</v>
      </c>
      <c r="U1737" s="2" t="s">
        <v>253</v>
      </c>
    </row>
    <row r="1738" spans="1:21" ht="14.25" customHeight="1" x14ac:dyDescent="0.3">
      <c r="A1738" s="2" t="s">
        <v>3963</v>
      </c>
      <c r="B1738" s="5">
        <v>42329</v>
      </c>
      <c r="C1738" s="2" t="str">
        <f>TEXT(data[[#This Row],[Order Date]],"YYYY")</f>
        <v>2015</v>
      </c>
      <c r="D1738" s="2">
        <v>42333</v>
      </c>
      <c r="E1738" s="2" t="s">
        <v>39</v>
      </c>
      <c r="F1738" s="2" t="s">
        <v>3012</v>
      </c>
      <c r="G1738" s="2" t="s">
        <v>3013</v>
      </c>
      <c r="H1738" s="2" t="s">
        <v>24</v>
      </c>
      <c r="I1738" s="2" t="s">
        <v>25</v>
      </c>
      <c r="J1738" s="2" t="s">
        <v>65</v>
      </c>
      <c r="K1738" s="2" t="s">
        <v>66</v>
      </c>
      <c r="L1738" s="2" t="s">
        <v>67</v>
      </c>
      <c r="M1738" s="2" t="s">
        <v>1247</v>
      </c>
      <c r="N1738" s="2" t="s">
        <v>30</v>
      </c>
      <c r="O1738" s="2" t="s">
        <v>45</v>
      </c>
      <c r="P1738" s="2" t="s">
        <v>1248</v>
      </c>
      <c r="Q1738" s="2">
        <v>1252.704</v>
      </c>
      <c r="R1738" s="2">
        <v>8</v>
      </c>
      <c r="S1738" s="2">
        <v>-480.20319999999998</v>
      </c>
      <c r="T1738" s="2" t="s">
        <v>83</v>
      </c>
      <c r="U1738" s="2" t="s">
        <v>34</v>
      </c>
    </row>
    <row r="1739" spans="1:21" ht="14.25" customHeight="1" x14ac:dyDescent="0.3">
      <c r="A1739" s="2" t="s">
        <v>3964</v>
      </c>
      <c r="B1739" s="5">
        <v>42873</v>
      </c>
      <c r="C1739" s="2" t="str">
        <f>TEXT(data[[#This Row],[Order Date]],"YYYY")</f>
        <v>2017</v>
      </c>
      <c r="D1739" s="2">
        <v>42877</v>
      </c>
      <c r="E1739" s="2" t="s">
        <v>39</v>
      </c>
      <c r="F1739" s="2" t="s">
        <v>1828</v>
      </c>
      <c r="G1739" s="2" t="s">
        <v>1829</v>
      </c>
      <c r="H1739" s="2" t="s">
        <v>90</v>
      </c>
      <c r="I1739" s="2" t="s">
        <v>25</v>
      </c>
      <c r="J1739" s="2" t="s">
        <v>133</v>
      </c>
      <c r="K1739" s="2" t="s">
        <v>134</v>
      </c>
      <c r="L1739" s="2" t="s">
        <v>93</v>
      </c>
      <c r="M1739" s="2" t="s">
        <v>1542</v>
      </c>
      <c r="N1739" s="2" t="s">
        <v>30</v>
      </c>
      <c r="O1739" s="2" t="s">
        <v>56</v>
      </c>
      <c r="P1739" s="2" t="s">
        <v>1543</v>
      </c>
      <c r="Q1739" s="2">
        <v>22.608000000000001</v>
      </c>
      <c r="R1739" s="2">
        <v>3</v>
      </c>
      <c r="S1739" s="2">
        <v>-10.1736</v>
      </c>
      <c r="T1739" s="2" t="s">
        <v>83</v>
      </c>
      <c r="U1739" s="2" t="s">
        <v>161</v>
      </c>
    </row>
    <row r="1740" spans="1:21" ht="14.25" customHeight="1" x14ac:dyDescent="0.3">
      <c r="A1740" s="2" t="s">
        <v>3964</v>
      </c>
      <c r="B1740" s="5">
        <v>42873</v>
      </c>
      <c r="C1740" s="2" t="str">
        <f>TEXT(data[[#This Row],[Order Date]],"YYYY")</f>
        <v>2017</v>
      </c>
      <c r="D1740" s="2">
        <v>42877</v>
      </c>
      <c r="E1740" s="2" t="s">
        <v>39</v>
      </c>
      <c r="F1740" s="2" t="s">
        <v>1828</v>
      </c>
      <c r="G1740" s="2" t="s">
        <v>1829</v>
      </c>
      <c r="H1740" s="2" t="s">
        <v>90</v>
      </c>
      <c r="I1740" s="2" t="s">
        <v>25</v>
      </c>
      <c r="J1740" s="2" t="s">
        <v>133</v>
      </c>
      <c r="K1740" s="2" t="s">
        <v>134</v>
      </c>
      <c r="L1740" s="2" t="s">
        <v>93</v>
      </c>
      <c r="M1740" s="2" t="s">
        <v>379</v>
      </c>
      <c r="N1740" s="2" t="s">
        <v>30</v>
      </c>
      <c r="O1740" s="2" t="s">
        <v>56</v>
      </c>
      <c r="P1740" s="2" t="s">
        <v>380</v>
      </c>
      <c r="Q1740" s="2">
        <v>1.8919999999999999</v>
      </c>
      <c r="R1740" s="2">
        <v>1</v>
      </c>
      <c r="S1740" s="2">
        <v>-0.99329999999999996</v>
      </c>
      <c r="T1740" s="2" t="s">
        <v>83</v>
      </c>
      <c r="U1740" s="2" t="s">
        <v>161</v>
      </c>
    </row>
    <row r="1741" spans="1:21" ht="14.25" customHeight="1" x14ac:dyDescent="0.3">
      <c r="A1741" s="2" t="s">
        <v>3965</v>
      </c>
      <c r="B1741" s="5">
        <v>42260</v>
      </c>
      <c r="C1741" s="2" t="str">
        <f>TEXT(data[[#This Row],[Order Date]],"YYYY")</f>
        <v>2015</v>
      </c>
      <c r="D1741" s="2">
        <v>42264</v>
      </c>
      <c r="E1741" s="2" t="s">
        <v>21</v>
      </c>
      <c r="F1741" s="2" t="s">
        <v>1472</v>
      </c>
      <c r="G1741" s="2" t="s">
        <v>1473</v>
      </c>
      <c r="H1741" s="2" t="s">
        <v>24</v>
      </c>
      <c r="I1741" s="2" t="s">
        <v>25</v>
      </c>
      <c r="J1741" s="2" t="s">
        <v>133</v>
      </c>
      <c r="K1741" s="2" t="s">
        <v>134</v>
      </c>
      <c r="L1741" s="2" t="s">
        <v>93</v>
      </c>
      <c r="M1741" s="2" t="s">
        <v>251</v>
      </c>
      <c r="N1741" s="2" t="s">
        <v>30</v>
      </c>
      <c r="O1741" s="2" t="s">
        <v>36</v>
      </c>
      <c r="P1741" s="2" t="s">
        <v>252</v>
      </c>
      <c r="Q1741" s="2">
        <v>170.072</v>
      </c>
      <c r="R1741" s="2">
        <v>4</v>
      </c>
      <c r="S1741" s="2">
        <v>-12.148</v>
      </c>
      <c r="T1741" s="2" t="s">
        <v>83</v>
      </c>
      <c r="U1741" s="2" t="s">
        <v>77</v>
      </c>
    </row>
    <row r="1742" spans="1:21" ht="14.25" customHeight="1" x14ac:dyDescent="0.3">
      <c r="A1742" s="2" t="s">
        <v>3966</v>
      </c>
      <c r="B1742" s="5">
        <v>43056</v>
      </c>
      <c r="C1742" s="2" t="str">
        <f>TEXT(data[[#This Row],[Order Date]],"YYYY")</f>
        <v>2017</v>
      </c>
      <c r="D1742" s="2">
        <v>43060</v>
      </c>
      <c r="E1742" s="2" t="s">
        <v>39</v>
      </c>
      <c r="F1742" s="2" t="s">
        <v>2133</v>
      </c>
      <c r="G1742" s="2" t="s">
        <v>2134</v>
      </c>
      <c r="H1742" s="2" t="s">
        <v>24</v>
      </c>
      <c r="I1742" s="2" t="s">
        <v>25</v>
      </c>
      <c r="J1742" s="2" t="s">
        <v>173</v>
      </c>
      <c r="K1742" s="2" t="s">
        <v>120</v>
      </c>
      <c r="L1742" s="2" t="s">
        <v>67</v>
      </c>
      <c r="M1742" s="2" t="s">
        <v>354</v>
      </c>
      <c r="N1742" s="2" t="s">
        <v>30</v>
      </c>
      <c r="O1742" s="2" t="s">
        <v>56</v>
      </c>
      <c r="P1742" s="2" t="s">
        <v>355</v>
      </c>
      <c r="Q1742" s="2">
        <v>187.76</v>
      </c>
      <c r="R1742" s="2">
        <v>4</v>
      </c>
      <c r="S1742" s="2">
        <v>76.9816</v>
      </c>
      <c r="T1742" s="2" t="s">
        <v>83</v>
      </c>
      <c r="U1742" s="2" t="s">
        <v>34</v>
      </c>
    </row>
    <row r="1743" spans="1:21" ht="14.25" customHeight="1" x14ac:dyDescent="0.3">
      <c r="A1743" s="2" t="s">
        <v>3967</v>
      </c>
      <c r="B1743" s="5">
        <v>42338</v>
      </c>
      <c r="C1743" s="2" t="str">
        <f>TEXT(data[[#This Row],[Order Date]],"YYYY")</f>
        <v>2015</v>
      </c>
      <c r="D1743" s="2">
        <v>42341</v>
      </c>
      <c r="E1743" s="2" t="s">
        <v>87</v>
      </c>
      <c r="F1743" s="2" t="s">
        <v>637</v>
      </c>
      <c r="G1743" s="2" t="s">
        <v>638</v>
      </c>
      <c r="H1743" s="2" t="s">
        <v>24</v>
      </c>
      <c r="I1743" s="2" t="s">
        <v>25</v>
      </c>
      <c r="J1743" s="2" t="s">
        <v>3968</v>
      </c>
      <c r="K1743" s="2" t="s">
        <v>1036</v>
      </c>
      <c r="L1743" s="2" t="s">
        <v>28</v>
      </c>
      <c r="M1743" s="2" t="s">
        <v>313</v>
      </c>
      <c r="N1743" s="2" t="s">
        <v>30</v>
      </c>
      <c r="O1743" s="2" t="s">
        <v>56</v>
      </c>
      <c r="P1743" s="2" t="s">
        <v>314</v>
      </c>
      <c r="Q1743" s="2">
        <v>335.74400000000003</v>
      </c>
      <c r="R1743" s="2">
        <v>2</v>
      </c>
      <c r="S1743" s="2">
        <v>25.180800000000001</v>
      </c>
      <c r="T1743" s="2" t="s">
        <v>33</v>
      </c>
      <c r="U1743" s="2" t="s">
        <v>34</v>
      </c>
    </row>
    <row r="1744" spans="1:21" ht="14.25" customHeight="1" x14ac:dyDescent="0.3">
      <c r="A1744" s="2" t="s">
        <v>3969</v>
      </c>
      <c r="B1744" s="5">
        <v>42316</v>
      </c>
      <c r="C1744" s="2" t="str">
        <f>TEXT(data[[#This Row],[Order Date]],"YYYY")</f>
        <v>2015</v>
      </c>
      <c r="D1744" s="2">
        <v>42316</v>
      </c>
      <c r="E1744" s="2" t="s">
        <v>425</v>
      </c>
      <c r="F1744" s="2" t="s">
        <v>2497</v>
      </c>
      <c r="G1744" s="2" t="s">
        <v>2498</v>
      </c>
      <c r="H1744" s="2" t="s">
        <v>90</v>
      </c>
      <c r="I1744" s="2" t="s">
        <v>25</v>
      </c>
      <c r="J1744" s="2" t="s">
        <v>173</v>
      </c>
      <c r="K1744" s="2" t="s">
        <v>120</v>
      </c>
      <c r="L1744" s="2" t="s">
        <v>67</v>
      </c>
      <c r="M1744" s="2" t="s">
        <v>3575</v>
      </c>
      <c r="N1744" s="2" t="s">
        <v>30</v>
      </c>
      <c r="O1744" s="2" t="s">
        <v>56</v>
      </c>
      <c r="P1744" s="2" t="s">
        <v>3576</v>
      </c>
      <c r="Q1744" s="2">
        <v>11.82</v>
      </c>
      <c r="R1744" s="2">
        <v>3</v>
      </c>
      <c r="S1744" s="2">
        <v>4.7279999999999998</v>
      </c>
      <c r="T1744" s="2" t="s">
        <v>430</v>
      </c>
      <c r="U1744" s="2" t="s">
        <v>34</v>
      </c>
    </row>
    <row r="1745" spans="1:21" ht="14.25" customHeight="1" x14ac:dyDescent="0.3">
      <c r="A1745" s="2" t="s">
        <v>3969</v>
      </c>
      <c r="B1745" s="5">
        <v>42316</v>
      </c>
      <c r="C1745" s="2" t="str">
        <f>TEXT(data[[#This Row],[Order Date]],"YYYY")</f>
        <v>2015</v>
      </c>
      <c r="D1745" s="2">
        <v>42316</v>
      </c>
      <c r="E1745" s="2" t="s">
        <v>425</v>
      </c>
      <c r="F1745" s="2" t="s">
        <v>2497</v>
      </c>
      <c r="G1745" s="2" t="s">
        <v>2498</v>
      </c>
      <c r="H1745" s="2" t="s">
        <v>90</v>
      </c>
      <c r="I1745" s="2" t="s">
        <v>25</v>
      </c>
      <c r="J1745" s="2" t="s">
        <v>173</v>
      </c>
      <c r="K1745" s="2" t="s">
        <v>120</v>
      </c>
      <c r="L1745" s="2" t="s">
        <v>67</v>
      </c>
      <c r="M1745" s="2" t="s">
        <v>795</v>
      </c>
      <c r="N1745" s="2" t="s">
        <v>30</v>
      </c>
      <c r="O1745" s="2" t="s">
        <v>36</v>
      </c>
      <c r="P1745" s="2" t="s">
        <v>796</v>
      </c>
      <c r="Q1745" s="2">
        <v>577.76400000000001</v>
      </c>
      <c r="R1745" s="2">
        <v>2</v>
      </c>
      <c r="S1745" s="2">
        <v>115.5528</v>
      </c>
      <c r="T1745" s="2" t="s">
        <v>430</v>
      </c>
      <c r="U1745" s="2" t="s">
        <v>34</v>
      </c>
    </row>
    <row r="1746" spans="1:21" ht="14.25" customHeight="1" x14ac:dyDescent="0.3">
      <c r="A1746" s="2" t="s">
        <v>3970</v>
      </c>
      <c r="B1746" s="5">
        <v>42120</v>
      </c>
      <c r="C1746" s="2" t="str">
        <f>TEXT(data[[#This Row],[Order Date]],"YYYY")</f>
        <v>2015</v>
      </c>
      <c r="D1746" s="2">
        <v>42124</v>
      </c>
      <c r="E1746" s="2" t="s">
        <v>39</v>
      </c>
      <c r="F1746" s="2" t="s">
        <v>819</v>
      </c>
      <c r="G1746" s="2" t="s">
        <v>820</v>
      </c>
      <c r="H1746" s="2" t="s">
        <v>24</v>
      </c>
      <c r="I1746" s="2" t="s">
        <v>25</v>
      </c>
      <c r="J1746" s="2" t="s">
        <v>3971</v>
      </c>
      <c r="K1746" s="2" t="s">
        <v>43</v>
      </c>
      <c r="L1746" s="2" t="s">
        <v>28</v>
      </c>
      <c r="M1746" s="2" t="s">
        <v>44</v>
      </c>
      <c r="N1746" s="2" t="s">
        <v>30</v>
      </c>
      <c r="O1746" s="2" t="s">
        <v>45</v>
      </c>
      <c r="P1746" s="2" t="s">
        <v>46</v>
      </c>
      <c r="Q1746" s="2">
        <v>191.5155</v>
      </c>
      <c r="R1746" s="2">
        <v>1</v>
      </c>
      <c r="S1746" s="2">
        <v>-76.606200000000001</v>
      </c>
      <c r="T1746" s="2" t="s">
        <v>83</v>
      </c>
      <c r="U1746" s="2" t="s">
        <v>113</v>
      </c>
    </row>
    <row r="1747" spans="1:21" ht="14.25" customHeight="1" x14ac:dyDescent="0.3">
      <c r="A1747" s="2" t="s">
        <v>3972</v>
      </c>
      <c r="B1747" s="5">
        <v>42681</v>
      </c>
      <c r="C1747" s="2" t="str">
        <f>TEXT(data[[#This Row],[Order Date]],"YYYY")</f>
        <v>2016</v>
      </c>
      <c r="D1747" s="2">
        <v>42686</v>
      </c>
      <c r="E1747" s="2" t="s">
        <v>39</v>
      </c>
      <c r="F1747" s="2" t="s">
        <v>1337</v>
      </c>
      <c r="G1747" s="2" t="s">
        <v>1338</v>
      </c>
      <c r="H1747" s="2" t="s">
        <v>24</v>
      </c>
      <c r="I1747" s="2" t="s">
        <v>25</v>
      </c>
      <c r="J1747" s="2" t="s">
        <v>1739</v>
      </c>
      <c r="K1747" s="2" t="s">
        <v>92</v>
      </c>
      <c r="L1747" s="2" t="s">
        <v>93</v>
      </c>
      <c r="M1747" s="2" t="s">
        <v>3973</v>
      </c>
      <c r="N1747" s="2" t="s">
        <v>30</v>
      </c>
      <c r="O1747" s="2" t="s">
        <v>56</v>
      </c>
      <c r="P1747" s="2" t="s">
        <v>3974</v>
      </c>
      <c r="Q1747" s="2">
        <v>44.46</v>
      </c>
      <c r="R1747" s="2">
        <v>5</v>
      </c>
      <c r="S1747" s="2">
        <v>-17.783999999999999</v>
      </c>
      <c r="T1747" s="2" t="s">
        <v>58</v>
      </c>
      <c r="U1747" s="2" t="s">
        <v>34</v>
      </c>
    </row>
    <row r="1748" spans="1:21" ht="14.25" customHeight="1" x14ac:dyDescent="0.3">
      <c r="A1748" s="2" t="s">
        <v>3975</v>
      </c>
      <c r="B1748" s="5">
        <v>41915</v>
      </c>
      <c r="C1748" s="2" t="str">
        <f>TEXT(data[[#This Row],[Order Date]],"YYYY")</f>
        <v>2014</v>
      </c>
      <c r="D1748" s="2">
        <v>41919</v>
      </c>
      <c r="E1748" s="2" t="s">
        <v>39</v>
      </c>
      <c r="F1748" s="2" t="s">
        <v>3938</v>
      </c>
      <c r="G1748" s="2" t="s">
        <v>3939</v>
      </c>
      <c r="H1748" s="2" t="s">
        <v>24</v>
      </c>
      <c r="I1748" s="2" t="s">
        <v>25</v>
      </c>
      <c r="J1748" s="2" t="s">
        <v>1739</v>
      </c>
      <c r="K1748" s="2" t="s">
        <v>92</v>
      </c>
      <c r="L1748" s="2" t="s">
        <v>93</v>
      </c>
      <c r="M1748" s="2" t="s">
        <v>1421</v>
      </c>
      <c r="N1748" s="2" t="s">
        <v>30</v>
      </c>
      <c r="O1748" s="2" t="s">
        <v>56</v>
      </c>
      <c r="P1748" s="2" t="s">
        <v>1422</v>
      </c>
      <c r="Q1748" s="2">
        <v>31.776</v>
      </c>
      <c r="R1748" s="2">
        <v>3</v>
      </c>
      <c r="S1748" s="2">
        <v>-19.0656</v>
      </c>
      <c r="T1748" s="2" t="s">
        <v>83</v>
      </c>
      <c r="U1748" s="2" t="s">
        <v>48</v>
      </c>
    </row>
    <row r="1749" spans="1:21" ht="14.25" customHeight="1" x14ac:dyDescent="0.3">
      <c r="A1749" s="2" t="s">
        <v>3976</v>
      </c>
      <c r="B1749" s="5">
        <v>42464</v>
      </c>
      <c r="C1749" s="2" t="str">
        <f>TEXT(data[[#This Row],[Order Date]],"YYYY")</f>
        <v>2016</v>
      </c>
      <c r="D1749" s="2">
        <v>42468</v>
      </c>
      <c r="E1749" s="2" t="s">
        <v>21</v>
      </c>
      <c r="F1749" s="2" t="s">
        <v>1820</v>
      </c>
      <c r="G1749" s="2" t="s">
        <v>1821</v>
      </c>
      <c r="H1749" s="2" t="s">
        <v>100</v>
      </c>
      <c r="I1749" s="2" t="s">
        <v>25</v>
      </c>
      <c r="J1749" s="2" t="s">
        <v>119</v>
      </c>
      <c r="K1749" s="2" t="s">
        <v>120</v>
      </c>
      <c r="L1749" s="2" t="s">
        <v>67</v>
      </c>
      <c r="M1749" s="2" t="s">
        <v>596</v>
      </c>
      <c r="N1749" s="2" t="s">
        <v>30</v>
      </c>
      <c r="O1749" s="2" t="s">
        <v>56</v>
      </c>
      <c r="P1749" s="2" t="s">
        <v>597</v>
      </c>
      <c r="Q1749" s="2">
        <v>82.64</v>
      </c>
      <c r="R1749" s="2">
        <v>2</v>
      </c>
      <c r="S1749" s="2">
        <v>7.4375999999999998</v>
      </c>
      <c r="T1749" s="2" t="s">
        <v>83</v>
      </c>
      <c r="U1749" s="2" t="s">
        <v>113</v>
      </c>
    </row>
    <row r="1750" spans="1:21" ht="14.25" customHeight="1" x14ac:dyDescent="0.3">
      <c r="A1750" s="2" t="s">
        <v>3977</v>
      </c>
      <c r="B1750" s="5">
        <v>42551</v>
      </c>
      <c r="C1750" s="2" t="str">
        <f>TEXT(data[[#This Row],[Order Date]],"YYYY")</f>
        <v>2016</v>
      </c>
      <c r="D1750" s="2">
        <v>42553</v>
      </c>
      <c r="E1750" s="2" t="s">
        <v>21</v>
      </c>
      <c r="F1750" s="2" t="s">
        <v>209</v>
      </c>
      <c r="G1750" s="2" t="s">
        <v>210</v>
      </c>
      <c r="H1750" s="2" t="s">
        <v>24</v>
      </c>
      <c r="I1750" s="2" t="s">
        <v>25</v>
      </c>
      <c r="J1750" s="2" t="s">
        <v>2814</v>
      </c>
      <c r="K1750" s="2" t="s">
        <v>667</v>
      </c>
      <c r="L1750" s="2" t="s">
        <v>28</v>
      </c>
      <c r="M1750" s="2" t="s">
        <v>277</v>
      </c>
      <c r="N1750" s="2" t="s">
        <v>30</v>
      </c>
      <c r="O1750" s="2" t="s">
        <v>31</v>
      </c>
      <c r="P1750" s="2" t="s">
        <v>278</v>
      </c>
      <c r="Q1750" s="2">
        <v>1266.8599999999999</v>
      </c>
      <c r="R1750" s="2">
        <v>7</v>
      </c>
      <c r="S1750" s="2">
        <v>291.37779999999998</v>
      </c>
      <c r="T1750" s="2" t="s">
        <v>70</v>
      </c>
      <c r="U1750" s="2" t="s">
        <v>59</v>
      </c>
    </row>
    <row r="1751" spans="1:21" ht="14.25" customHeight="1" x14ac:dyDescent="0.3">
      <c r="A1751" s="2" t="s">
        <v>3978</v>
      </c>
      <c r="B1751" s="5">
        <v>42856</v>
      </c>
      <c r="C1751" s="2" t="str">
        <f>TEXT(data[[#This Row],[Order Date]],"YYYY")</f>
        <v>2017</v>
      </c>
      <c r="D1751" s="2">
        <v>42861</v>
      </c>
      <c r="E1751" s="2" t="s">
        <v>39</v>
      </c>
      <c r="F1751" s="2" t="s">
        <v>1345</v>
      </c>
      <c r="G1751" s="2" t="s">
        <v>1346</v>
      </c>
      <c r="H1751" s="2" t="s">
        <v>24</v>
      </c>
      <c r="I1751" s="2" t="s">
        <v>25</v>
      </c>
      <c r="J1751" s="2" t="s">
        <v>606</v>
      </c>
      <c r="K1751" s="2" t="s">
        <v>43</v>
      </c>
      <c r="L1751" s="2" t="s">
        <v>28</v>
      </c>
      <c r="M1751" s="2" t="s">
        <v>521</v>
      </c>
      <c r="N1751" s="2" t="s">
        <v>30</v>
      </c>
      <c r="O1751" s="2" t="s">
        <v>45</v>
      </c>
      <c r="P1751" s="2" t="s">
        <v>522</v>
      </c>
      <c r="Q1751" s="2">
        <v>933.26199999999994</v>
      </c>
      <c r="R1751" s="2">
        <v>4</v>
      </c>
      <c r="S1751" s="2">
        <v>-458.14679999999998</v>
      </c>
      <c r="T1751" s="2" t="s">
        <v>58</v>
      </c>
      <c r="U1751" s="2" t="s">
        <v>161</v>
      </c>
    </row>
    <row r="1752" spans="1:21" ht="14.25" customHeight="1" x14ac:dyDescent="0.3">
      <c r="A1752" s="2" t="s">
        <v>3978</v>
      </c>
      <c r="B1752" s="5">
        <v>42856</v>
      </c>
      <c r="C1752" s="2" t="str">
        <f>TEXT(data[[#This Row],[Order Date]],"YYYY")</f>
        <v>2017</v>
      </c>
      <c r="D1752" s="2">
        <v>42861</v>
      </c>
      <c r="E1752" s="2" t="s">
        <v>39</v>
      </c>
      <c r="F1752" s="2" t="s">
        <v>1345</v>
      </c>
      <c r="G1752" s="2" t="s">
        <v>1346</v>
      </c>
      <c r="H1752" s="2" t="s">
        <v>24</v>
      </c>
      <c r="I1752" s="2" t="s">
        <v>25</v>
      </c>
      <c r="J1752" s="2" t="s">
        <v>606</v>
      </c>
      <c r="K1752" s="2" t="s">
        <v>43</v>
      </c>
      <c r="L1752" s="2" t="s">
        <v>28</v>
      </c>
      <c r="M1752" s="2" t="s">
        <v>601</v>
      </c>
      <c r="N1752" s="2" t="s">
        <v>30</v>
      </c>
      <c r="O1752" s="2" t="s">
        <v>36</v>
      </c>
      <c r="P1752" s="2" t="s">
        <v>602</v>
      </c>
      <c r="Q1752" s="2">
        <v>2803.92</v>
      </c>
      <c r="R1752" s="2">
        <v>5</v>
      </c>
      <c r="S1752" s="2">
        <v>0</v>
      </c>
      <c r="T1752" s="2" t="s">
        <v>58</v>
      </c>
      <c r="U1752" s="2" t="s">
        <v>161</v>
      </c>
    </row>
    <row r="1753" spans="1:21" ht="14.25" customHeight="1" x14ac:dyDescent="0.3">
      <c r="A1753" s="2" t="s">
        <v>3979</v>
      </c>
      <c r="B1753" s="5">
        <v>43028</v>
      </c>
      <c r="C1753" s="2" t="str">
        <f>TEXT(data[[#This Row],[Order Date]],"YYYY")</f>
        <v>2017</v>
      </c>
      <c r="D1753" s="2">
        <v>43028</v>
      </c>
      <c r="E1753" s="2" t="s">
        <v>425</v>
      </c>
      <c r="F1753" s="2" t="s">
        <v>3980</v>
      </c>
      <c r="G1753" s="2" t="s">
        <v>3981</v>
      </c>
      <c r="H1753" s="2" t="s">
        <v>24</v>
      </c>
      <c r="I1753" s="2" t="s">
        <v>25</v>
      </c>
      <c r="J1753" s="2" t="s">
        <v>606</v>
      </c>
      <c r="K1753" s="2" t="s">
        <v>43</v>
      </c>
      <c r="L1753" s="2" t="s">
        <v>28</v>
      </c>
      <c r="M1753" s="2" t="s">
        <v>2787</v>
      </c>
      <c r="N1753" s="2" t="s">
        <v>30</v>
      </c>
      <c r="O1753" s="2" t="s">
        <v>56</v>
      </c>
      <c r="P1753" s="2" t="s">
        <v>2788</v>
      </c>
      <c r="Q1753" s="2">
        <v>43.936</v>
      </c>
      <c r="R1753" s="2">
        <v>4</v>
      </c>
      <c r="S1753" s="2">
        <v>6.0411999999999999</v>
      </c>
      <c r="T1753" s="2" t="s">
        <v>430</v>
      </c>
      <c r="U1753" s="2" t="s">
        <v>48</v>
      </c>
    </row>
    <row r="1754" spans="1:21" ht="14.25" customHeight="1" x14ac:dyDescent="0.3">
      <c r="A1754" s="2" t="s">
        <v>3982</v>
      </c>
      <c r="B1754" s="5">
        <v>41863</v>
      </c>
      <c r="C1754" s="2" t="str">
        <f>TEXT(data[[#This Row],[Order Date]],"YYYY")</f>
        <v>2014</v>
      </c>
      <c r="D1754" s="2">
        <v>41867</v>
      </c>
      <c r="E1754" s="2" t="s">
        <v>39</v>
      </c>
      <c r="F1754" s="2" t="s">
        <v>2848</v>
      </c>
      <c r="G1754" s="2" t="s">
        <v>2849</v>
      </c>
      <c r="H1754" s="2" t="s">
        <v>24</v>
      </c>
      <c r="I1754" s="2" t="s">
        <v>25</v>
      </c>
      <c r="J1754" s="2" t="s">
        <v>328</v>
      </c>
      <c r="K1754" s="2" t="s">
        <v>53</v>
      </c>
      <c r="L1754" s="2" t="s">
        <v>54</v>
      </c>
      <c r="M1754" s="2" t="s">
        <v>1518</v>
      </c>
      <c r="N1754" s="2" t="s">
        <v>30</v>
      </c>
      <c r="O1754" s="2" t="s">
        <v>56</v>
      </c>
      <c r="P1754" s="2" t="s">
        <v>1519</v>
      </c>
      <c r="Q1754" s="2">
        <v>85.44</v>
      </c>
      <c r="R1754" s="2">
        <v>3</v>
      </c>
      <c r="S1754" s="2">
        <v>31.6128</v>
      </c>
      <c r="T1754" s="2" t="s">
        <v>83</v>
      </c>
      <c r="U1754" s="2" t="s">
        <v>253</v>
      </c>
    </row>
    <row r="1755" spans="1:21" ht="14.25" customHeight="1" x14ac:dyDescent="0.3">
      <c r="A1755" s="2" t="s">
        <v>3983</v>
      </c>
      <c r="B1755" s="5">
        <v>42068</v>
      </c>
      <c r="C1755" s="2" t="str">
        <f>TEXT(data[[#This Row],[Order Date]],"YYYY")</f>
        <v>2015</v>
      </c>
      <c r="D1755" s="2">
        <v>42072</v>
      </c>
      <c r="E1755" s="2" t="s">
        <v>21</v>
      </c>
      <c r="F1755" s="2" t="s">
        <v>1681</v>
      </c>
      <c r="G1755" s="2" t="s">
        <v>1682</v>
      </c>
      <c r="H1755" s="2" t="s">
        <v>24</v>
      </c>
      <c r="I1755" s="2" t="s">
        <v>25</v>
      </c>
      <c r="J1755" s="2" t="s">
        <v>133</v>
      </c>
      <c r="K1755" s="2" t="s">
        <v>134</v>
      </c>
      <c r="L1755" s="2" t="s">
        <v>93</v>
      </c>
      <c r="M1755" s="2" t="s">
        <v>422</v>
      </c>
      <c r="N1755" s="2" t="s">
        <v>30</v>
      </c>
      <c r="O1755" s="2" t="s">
        <v>56</v>
      </c>
      <c r="P1755" s="2" t="s">
        <v>423</v>
      </c>
      <c r="Q1755" s="2">
        <v>4.7119999999999997</v>
      </c>
      <c r="R1755" s="2">
        <v>2</v>
      </c>
      <c r="S1755" s="2">
        <v>-1.8848</v>
      </c>
      <c r="T1755" s="2" t="s">
        <v>83</v>
      </c>
      <c r="U1755" s="2" t="s">
        <v>195</v>
      </c>
    </row>
    <row r="1756" spans="1:21" ht="14.25" customHeight="1" x14ac:dyDescent="0.3">
      <c r="A1756" s="2" t="s">
        <v>3984</v>
      </c>
      <c r="B1756" s="5">
        <v>42765</v>
      </c>
      <c r="C1756" s="2" t="str">
        <f>TEXT(data[[#This Row],[Order Date]],"YYYY")</f>
        <v>2017</v>
      </c>
      <c r="D1756" s="2">
        <v>42772</v>
      </c>
      <c r="E1756" s="2" t="s">
        <v>39</v>
      </c>
      <c r="F1756" s="2" t="s">
        <v>3985</v>
      </c>
      <c r="G1756" s="2" t="s">
        <v>3986</v>
      </c>
      <c r="H1756" s="2" t="s">
        <v>24</v>
      </c>
      <c r="I1756" s="2" t="s">
        <v>25</v>
      </c>
      <c r="J1756" s="2" t="s">
        <v>179</v>
      </c>
      <c r="K1756" s="2" t="s">
        <v>134</v>
      </c>
      <c r="L1756" s="2" t="s">
        <v>93</v>
      </c>
      <c r="M1756" s="2" t="s">
        <v>2566</v>
      </c>
      <c r="N1756" s="2" t="s">
        <v>30</v>
      </c>
      <c r="O1756" s="2" t="s">
        <v>45</v>
      </c>
      <c r="P1756" s="2" t="s">
        <v>2567</v>
      </c>
      <c r="Q1756" s="2">
        <v>69.375</v>
      </c>
      <c r="R1756" s="2">
        <v>1</v>
      </c>
      <c r="S1756" s="2">
        <v>-47.174999999999997</v>
      </c>
      <c r="T1756" s="2" t="s">
        <v>47</v>
      </c>
      <c r="U1756" s="2" t="s">
        <v>169</v>
      </c>
    </row>
    <row r="1757" spans="1:21" ht="14.25" customHeight="1" x14ac:dyDescent="0.3">
      <c r="A1757" s="2" t="s">
        <v>3987</v>
      </c>
      <c r="B1757" s="5">
        <v>42729</v>
      </c>
      <c r="C1757" s="2" t="str">
        <f>TEXT(data[[#This Row],[Order Date]],"YYYY")</f>
        <v>2016</v>
      </c>
      <c r="D1757" s="2">
        <v>42735</v>
      </c>
      <c r="E1757" s="2" t="s">
        <v>39</v>
      </c>
      <c r="F1757" s="2" t="s">
        <v>1609</v>
      </c>
      <c r="G1757" s="2" t="s">
        <v>1610</v>
      </c>
      <c r="H1757" s="2" t="s">
        <v>24</v>
      </c>
      <c r="I1757" s="2" t="s">
        <v>25</v>
      </c>
      <c r="J1757" s="2" t="s">
        <v>173</v>
      </c>
      <c r="K1757" s="2" t="s">
        <v>120</v>
      </c>
      <c r="L1757" s="2" t="s">
        <v>67</v>
      </c>
      <c r="M1757" s="2" t="s">
        <v>514</v>
      </c>
      <c r="N1757" s="2" t="s">
        <v>30</v>
      </c>
      <c r="O1757" s="2" t="s">
        <v>36</v>
      </c>
      <c r="P1757" s="2" t="s">
        <v>515</v>
      </c>
      <c r="Q1757" s="2">
        <v>2563.056</v>
      </c>
      <c r="R1757" s="2">
        <v>8</v>
      </c>
      <c r="S1757" s="2">
        <v>313.26240000000001</v>
      </c>
      <c r="T1757" s="2" t="s">
        <v>129</v>
      </c>
      <c r="U1757" s="2" t="s">
        <v>96</v>
      </c>
    </row>
    <row r="1758" spans="1:21" ht="14.25" customHeight="1" x14ac:dyDescent="0.3">
      <c r="A1758" s="2" t="s">
        <v>3988</v>
      </c>
      <c r="B1758" s="5">
        <v>42663</v>
      </c>
      <c r="C1758" s="2" t="str">
        <f>TEXT(data[[#This Row],[Order Date]],"YYYY")</f>
        <v>2016</v>
      </c>
      <c r="D1758" s="2">
        <v>42668</v>
      </c>
      <c r="E1758" s="2" t="s">
        <v>39</v>
      </c>
      <c r="F1758" s="2" t="s">
        <v>2588</v>
      </c>
      <c r="G1758" s="2" t="s">
        <v>2589</v>
      </c>
      <c r="H1758" s="2" t="s">
        <v>90</v>
      </c>
      <c r="I1758" s="2" t="s">
        <v>25</v>
      </c>
      <c r="J1758" s="2" t="s">
        <v>3594</v>
      </c>
      <c r="K1758" s="2" t="s">
        <v>53</v>
      </c>
      <c r="L1758" s="2" t="s">
        <v>54</v>
      </c>
      <c r="M1758" s="2" t="s">
        <v>2988</v>
      </c>
      <c r="N1758" s="2" t="s">
        <v>30</v>
      </c>
      <c r="O1758" s="2" t="s">
        <v>36</v>
      </c>
      <c r="P1758" s="2" t="s">
        <v>2989</v>
      </c>
      <c r="Q1758" s="2">
        <v>387.13600000000002</v>
      </c>
      <c r="R1758" s="2">
        <v>4</v>
      </c>
      <c r="S1758" s="2">
        <v>4.8391999999999999</v>
      </c>
      <c r="T1758" s="2" t="s">
        <v>58</v>
      </c>
      <c r="U1758" s="2" t="s">
        <v>48</v>
      </c>
    </row>
    <row r="1759" spans="1:21" ht="14.25" customHeight="1" x14ac:dyDescent="0.3">
      <c r="A1759" s="2" t="s">
        <v>3989</v>
      </c>
      <c r="B1759" s="5">
        <v>42864</v>
      </c>
      <c r="C1759" s="2" t="str">
        <f>TEXT(data[[#This Row],[Order Date]],"YYYY")</f>
        <v>2017</v>
      </c>
      <c r="D1759" s="2">
        <v>42865</v>
      </c>
      <c r="E1759" s="2" t="s">
        <v>87</v>
      </c>
      <c r="F1759" s="2" t="s">
        <v>569</v>
      </c>
      <c r="G1759" s="2" t="s">
        <v>570</v>
      </c>
      <c r="H1759" s="2" t="s">
        <v>90</v>
      </c>
      <c r="I1759" s="2" t="s">
        <v>25</v>
      </c>
      <c r="J1759" s="2" t="s">
        <v>606</v>
      </c>
      <c r="K1759" s="2" t="s">
        <v>1036</v>
      </c>
      <c r="L1759" s="2" t="s">
        <v>28</v>
      </c>
      <c r="M1759" s="2" t="s">
        <v>1090</v>
      </c>
      <c r="N1759" s="2" t="s">
        <v>30</v>
      </c>
      <c r="O1759" s="2" t="s">
        <v>36</v>
      </c>
      <c r="P1759" s="2" t="s">
        <v>1091</v>
      </c>
      <c r="Q1759" s="2">
        <v>207</v>
      </c>
      <c r="R1759" s="2">
        <v>3</v>
      </c>
      <c r="S1759" s="2">
        <v>25.875</v>
      </c>
      <c r="T1759" s="2" t="s">
        <v>123</v>
      </c>
      <c r="U1759" s="2" t="s">
        <v>161</v>
      </c>
    </row>
    <row r="1760" spans="1:21" ht="14.25" customHeight="1" x14ac:dyDescent="0.3">
      <c r="A1760" s="2" t="s">
        <v>3990</v>
      </c>
      <c r="B1760" s="5">
        <v>42359</v>
      </c>
      <c r="C1760" s="2" t="str">
        <f>TEXT(data[[#This Row],[Order Date]],"YYYY")</f>
        <v>2015</v>
      </c>
      <c r="D1760" s="2">
        <v>42364</v>
      </c>
      <c r="E1760" s="2" t="s">
        <v>21</v>
      </c>
      <c r="F1760" s="2" t="s">
        <v>1224</v>
      </c>
      <c r="G1760" s="2" t="s">
        <v>1225</v>
      </c>
      <c r="H1760" s="2" t="s">
        <v>100</v>
      </c>
      <c r="I1760" s="2" t="s">
        <v>25</v>
      </c>
      <c r="J1760" s="2" t="s">
        <v>3657</v>
      </c>
      <c r="K1760" s="2" t="s">
        <v>134</v>
      </c>
      <c r="L1760" s="2" t="s">
        <v>93</v>
      </c>
      <c r="M1760" s="2" t="s">
        <v>607</v>
      </c>
      <c r="N1760" s="2" t="s">
        <v>30</v>
      </c>
      <c r="O1760" s="2" t="s">
        <v>56</v>
      </c>
      <c r="P1760" s="2" t="s">
        <v>608</v>
      </c>
      <c r="Q1760" s="2">
        <v>51.756</v>
      </c>
      <c r="R1760" s="2">
        <v>3</v>
      </c>
      <c r="S1760" s="2">
        <v>-33.641399999999997</v>
      </c>
      <c r="T1760" s="2" t="s">
        <v>58</v>
      </c>
      <c r="U1760" s="2" t="s">
        <v>96</v>
      </c>
    </row>
    <row r="1761" spans="1:21" ht="14.25" customHeight="1" x14ac:dyDescent="0.3">
      <c r="A1761" s="2" t="s">
        <v>3991</v>
      </c>
      <c r="B1761" s="5">
        <v>42190</v>
      </c>
      <c r="C1761" s="2" t="str">
        <f>TEXT(data[[#This Row],[Order Date]],"YYYY")</f>
        <v>2015</v>
      </c>
      <c r="D1761" s="2">
        <v>42196</v>
      </c>
      <c r="E1761" s="2" t="s">
        <v>39</v>
      </c>
      <c r="F1761" s="2" t="s">
        <v>2535</v>
      </c>
      <c r="G1761" s="2" t="s">
        <v>2536</v>
      </c>
      <c r="H1761" s="2" t="s">
        <v>90</v>
      </c>
      <c r="I1761" s="2" t="s">
        <v>25</v>
      </c>
      <c r="J1761" s="2" t="s">
        <v>1527</v>
      </c>
      <c r="K1761" s="2" t="s">
        <v>1036</v>
      </c>
      <c r="L1761" s="2" t="s">
        <v>28</v>
      </c>
      <c r="M1761" s="2" t="s">
        <v>2011</v>
      </c>
      <c r="N1761" s="2" t="s">
        <v>30</v>
      </c>
      <c r="O1761" s="2" t="s">
        <v>56</v>
      </c>
      <c r="P1761" s="2" t="s">
        <v>2012</v>
      </c>
      <c r="Q1761" s="2">
        <v>4.9279999999999999</v>
      </c>
      <c r="R1761" s="2">
        <v>2</v>
      </c>
      <c r="S1761" s="2">
        <v>0.73919999999999997</v>
      </c>
      <c r="T1761" s="2" t="s">
        <v>129</v>
      </c>
      <c r="U1761" s="2" t="s">
        <v>71</v>
      </c>
    </row>
    <row r="1762" spans="1:21" ht="14.25" customHeight="1" x14ac:dyDescent="0.3">
      <c r="A1762" s="2" t="s">
        <v>3992</v>
      </c>
      <c r="B1762" s="5">
        <v>42942</v>
      </c>
      <c r="C1762" s="2" t="str">
        <f>TEXT(data[[#This Row],[Order Date]],"YYYY")</f>
        <v>2017</v>
      </c>
      <c r="D1762" s="2">
        <v>42948</v>
      </c>
      <c r="E1762" s="2" t="s">
        <v>39</v>
      </c>
      <c r="F1762" s="2" t="s">
        <v>3993</v>
      </c>
      <c r="G1762" s="2" t="s">
        <v>3994</v>
      </c>
      <c r="H1762" s="2" t="s">
        <v>90</v>
      </c>
      <c r="I1762" s="2" t="s">
        <v>25</v>
      </c>
      <c r="J1762" s="2" t="s">
        <v>52</v>
      </c>
      <c r="K1762" s="2" t="s">
        <v>53</v>
      </c>
      <c r="L1762" s="2" t="s">
        <v>54</v>
      </c>
      <c r="M1762" s="2" t="s">
        <v>855</v>
      </c>
      <c r="N1762" s="2" t="s">
        <v>30</v>
      </c>
      <c r="O1762" s="2" t="s">
        <v>36</v>
      </c>
      <c r="P1762" s="2" t="s">
        <v>856</v>
      </c>
      <c r="Q1762" s="2">
        <v>362.35199999999998</v>
      </c>
      <c r="R1762" s="2">
        <v>3</v>
      </c>
      <c r="S1762" s="2">
        <v>45.293999999999997</v>
      </c>
      <c r="T1762" s="2" t="s">
        <v>129</v>
      </c>
      <c r="U1762" s="2" t="s">
        <v>71</v>
      </c>
    </row>
    <row r="1763" spans="1:21" ht="14.25" customHeight="1" x14ac:dyDescent="0.3">
      <c r="A1763" s="2" t="s">
        <v>3995</v>
      </c>
      <c r="B1763" s="5">
        <v>43042</v>
      </c>
      <c r="C1763" s="2" t="str">
        <f>TEXT(data[[#This Row],[Order Date]],"YYYY")</f>
        <v>2017</v>
      </c>
      <c r="D1763" s="2">
        <v>43048</v>
      </c>
      <c r="E1763" s="2" t="s">
        <v>39</v>
      </c>
      <c r="F1763" s="2" t="s">
        <v>2363</v>
      </c>
      <c r="G1763" s="2" t="s">
        <v>2364</v>
      </c>
      <c r="H1763" s="2" t="s">
        <v>24</v>
      </c>
      <c r="I1763" s="2" t="s">
        <v>25</v>
      </c>
      <c r="J1763" s="2" t="s">
        <v>2085</v>
      </c>
      <c r="K1763" s="2" t="s">
        <v>53</v>
      </c>
      <c r="L1763" s="2" t="s">
        <v>54</v>
      </c>
      <c r="M1763" s="2" t="s">
        <v>3189</v>
      </c>
      <c r="N1763" s="2" t="s">
        <v>30</v>
      </c>
      <c r="O1763" s="2" t="s">
        <v>45</v>
      </c>
      <c r="P1763" s="2" t="s">
        <v>3190</v>
      </c>
      <c r="Q1763" s="2">
        <v>486.36799999999999</v>
      </c>
      <c r="R1763" s="2">
        <v>4</v>
      </c>
      <c r="S1763" s="2">
        <v>36.477600000000002</v>
      </c>
      <c r="T1763" s="2" t="s">
        <v>129</v>
      </c>
      <c r="U1763" s="2" t="s">
        <v>34</v>
      </c>
    </row>
    <row r="1764" spans="1:21" ht="14.25" customHeight="1" x14ac:dyDescent="0.3">
      <c r="A1764" s="2" t="s">
        <v>3996</v>
      </c>
      <c r="B1764" s="5">
        <v>41699</v>
      </c>
      <c r="C1764" s="2" t="str">
        <f>TEXT(data[[#This Row],[Order Date]],"YYYY")</f>
        <v>2014</v>
      </c>
      <c r="D1764" s="2">
        <v>41705</v>
      </c>
      <c r="E1764" s="2" t="s">
        <v>39</v>
      </c>
      <c r="F1764" s="2" t="s">
        <v>3997</v>
      </c>
      <c r="G1764" s="2" t="s">
        <v>3998</v>
      </c>
      <c r="H1764" s="2" t="s">
        <v>24</v>
      </c>
      <c r="I1764" s="2" t="s">
        <v>25</v>
      </c>
      <c r="J1764" s="2" t="s">
        <v>101</v>
      </c>
      <c r="K1764" s="2" t="s">
        <v>92</v>
      </c>
      <c r="L1764" s="2" t="s">
        <v>93</v>
      </c>
      <c r="M1764" s="2" t="s">
        <v>1799</v>
      </c>
      <c r="N1764" s="2" t="s">
        <v>30</v>
      </c>
      <c r="O1764" s="2" t="s">
        <v>45</v>
      </c>
      <c r="P1764" s="2" t="s">
        <v>1800</v>
      </c>
      <c r="Q1764" s="2">
        <v>376.50900000000001</v>
      </c>
      <c r="R1764" s="2">
        <v>3</v>
      </c>
      <c r="S1764" s="2">
        <v>-43.029600000000002</v>
      </c>
      <c r="T1764" s="2" t="s">
        <v>129</v>
      </c>
      <c r="U1764" s="2" t="s">
        <v>195</v>
      </c>
    </row>
    <row r="1765" spans="1:21" ht="14.25" customHeight="1" x14ac:dyDescent="0.3">
      <c r="A1765" s="2" t="s">
        <v>3999</v>
      </c>
      <c r="B1765" s="5">
        <v>42761</v>
      </c>
      <c r="C1765" s="2" t="str">
        <f>TEXT(data[[#This Row],[Order Date]],"YYYY")</f>
        <v>2017</v>
      </c>
      <c r="D1765" s="2">
        <v>42766</v>
      </c>
      <c r="E1765" s="2" t="s">
        <v>39</v>
      </c>
      <c r="F1765" s="2" t="s">
        <v>3037</v>
      </c>
      <c r="G1765" s="2" t="s">
        <v>3038</v>
      </c>
      <c r="H1765" s="2" t="s">
        <v>24</v>
      </c>
      <c r="I1765" s="2" t="s">
        <v>25</v>
      </c>
      <c r="J1765" s="2" t="s">
        <v>347</v>
      </c>
      <c r="K1765" s="2" t="s">
        <v>667</v>
      </c>
      <c r="L1765" s="2" t="s">
        <v>28</v>
      </c>
      <c r="M1765" s="2" t="s">
        <v>201</v>
      </c>
      <c r="N1765" s="2" t="s">
        <v>30</v>
      </c>
      <c r="O1765" s="2" t="s">
        <v>56</v>
      </c>
      <c r="P1765" s="2" t="s">
        <v>202</v>
      </c>
      <c r="Q1765" s="2">
        <v>62.72</v>
      </c>
      <c r="R1765" s="2">
        <v>4</v>
      </c>
      <c r="S1765" s="2">
        <v>24.460799999999999</v>
      </c>
      <c r="T1765" s="2" t="s">
        <v>58</v>
      </c>
      <c r="U1765" s="2" t="s">
        <v>169</v>
      </c>
    </row>
    <row r="1766" spans="1:21" ht="14.25" customHeight="1" x14ac:dyDescent="0.3">
      <c r="A1766" s="2" t="s">
        <v>4000</v>
      </c>
      <c r="B1766" s="5">
        <v>41832</v>
      </c>
      <c r="C1766" s="2" t="str">
        <f>TEXT(data[[#This Row],[Order Date]],"YYYY")</f>
        <v>2014</v>
      </c>
      <c r="D1766" s="2">
        <v>41836</v>
      </c>
      <c r="E1766" s="2" t="s">
        <v>39</v>
      </c>
      <c r="F1766" s="2" t="s">
        <v>1043</v>
      </c>
      <c r="G1766" s="2" t="s">
        <v>1044</v>
      </c>
      <c r="H1766" s="2" t="s">
        <v>100</v>
      </c>
      <c r="I1766" s="2" t="s">
        <v>25</v>
      </c>
      <c r="J1766" s="2" t="s">
        <v>2987</v>
      </c>
      <c r="K1766" s="2" t="s">
        <v>92</v>
      </c>
      <c r="L1766" s="2" t="s">
        <v>93</v>
      </c>
      <c r="M1766" s="2" t="s">
        <v>1082</v>
      </c>
      <c r="N1766" s="2" t="s">
        <v>30</v>
      </c>
      <c r="O1766" s="2" t="s">
        <v>36</v>
      </c>
      <c r="P1766" s="2" t="s">
        <v>1083</v>
      </c>
      <c r="Q1766" s="2">
        <v>512.35799999999995</v>
      </c>
      <c r="R1766" s="2">
        <v>3</v>
      </c>
      <c r="S1766" s="2">
        <v>-14.6388</v>
      </c>
      <c r="T1766" s="2" t="s">
        <v>83</v>
      </c>
      <c r="U1766" s="2" t="s">
        <v>71</v>
      </c>
    </row>
    <row r="1767" spans="1:21" ht="14.25" customHeight="1" x14ac:dyDescent="0.3">
      <c r="A1767" s="2" t="s">
        <v>4001</v>
      </c>
      <c r="B1767" s="5">
        <v>42438</v>
      </c>
      <c r="C1767" s="2" t="str">
        <f>TEXT(data[[#This Row],[Order Date]],"YYYY")</f>
        <v>2016</v>
      </c>
      <c r="D1767" s="2">
        <v>42441</v>
      </c>
      <c r="E1767" s="2" t="s">
        <v>87</v>
      </c>
      <c r="F1767" s="2" t="s">
        <v>3580</v>
      </c>
      <c r="G1767" s="2" t="s">
        <v>3581</v>
      </c>
      <c r="H1767" s="2" t="s">
        <v>24</v>
      </c>
      <c r="I1767" s="2" t="s">
        <v>25</v>
      </c>
      <c r="J1767" s="2" t="s">
        <v>4002</v>
      </c>
      <c r="K1767" s="2" t="s">
        <v>434</v>
      </c>
      <c r="L1767" s="2" t="s">
        <v>67</v>
      </c>
      <c r="M1767" s="2" t="s">
        <v>590</v>
      </c>
      <c r="N1767" s="2" t="s">
        <v>30</v>
      </c>
      <c r="O1767" s="2" t="s">
        <v>36</v>
      </c>
      <c r="P1767" s="2" t="s">
        <v>591</v>
      </c>
      <c r="Q1767" s="2">
        <v>354.9</v>
      </c>
      <c r="R1767" s="2">
        <v>5</v>
      </c>
      <c r="S1767" s="2">
        <v>88.724999999999994</v>
      </c>
      <c r="T1767" s="2" t="s">
        <v>33</v>
      </c>
      <c r="U1767" s="2" t="s">
        <v>195</v>
      </c>
    </row>
    <row r="1768" spans="1:21" ht="14.25" customHeight="1" x14ac:dyDescent="0.3">
      <c r="A1768" s="2" t="s">
        <v>4003</v>
      </c>
      <c r="B1768" s="5">
        <v>42838</v>
      </c>
      <c r="C1768" s="2" t="str">
        <f>TEXT(data[[#This Row],[Order Date]],"YYYY")</f>
        <v>2017</v>
      </c>
      <c r="D1768" s="2">
        <v>42842</v>
      </c>
      <c r="E1768" s="2" t="s">
        <v>39</v>
      </c>
      <c r="F1768" s="2" t="s">
        <v>3406</v>
      </c>
      <c r="G1768" s="2" t="s">
        <v>3407</v>
      </c>
      <c r="H1768" s="2" t="s">
        <v>90</v>
      </c>
      <c r="I1768" s="2" t="s">
        <v>25</v>
      </c>
      <c r="J1768" s="2" t="s">
        <v>2026</v>
      </c>
      <c r="K1768" s="2" t="s">
        <v>53</v>
      </c>
      <c r="L1768" s="2" t="s">
        <v>54</v>
      </c>
      <c r="M1768" s="2" t="s">
        <v>1617</v>
      </c>
      <c r="N1768" s="2" t="s">
        <v>30</v>
      </c>
      <c r="O1768" s="2" t="s">
        <v>36</v>
      </c>
      <c r="P1768" s="2" t="s">
        <v>1618</v>
      </c>
      <c r="Q1768" s="2">
        <v>436.70400000000001</v>
      </c>
      <c r="R1768" s="2">
        <v>6</v>
      </c>
      <c r="S1768" s="2">
        <v>-38.211599999999997</v>
      </c>
      <c r="T1768" s="2" t="s">
        <v>83</v>
      </c>
      <c r="U1768" s="2" t="s">
        <v>113</v>
      </c>
    </row>
    <row r="1769" spans="1:21" ht="14.25" customHeight="1" x14ac:dyDescent="0.3">
      <c r="A1769" s="2" t="s">
        <v>4004</v>
      </c>
      <c r="B1769" s="5">
        <v>41719</v>
      </c>
      <c r="C1769" s="2" t="str">
        <f>TEXT(data[[#This Row],[Order Date]],"YYYY")</f>
        <v>2014</v>
      </c>
      <c r="D1769" s="2">
        <v>41723</v>
      </c>
      <c r="E1769" s="2" t="s">
        <v>39</v>
      </c>
      <c r="F1769" s="2" t="s">
        <v>833</v>
      </c>
      <c r="G1769" s="2" t="s">
        <v>834</v>
      </c>
      <c r="H1769" s="2" t="s">
        <v>24</v>
      </c>
      <c r="I1769" s="2" t="s">
        <v>25</v>
      </c>
      <c r="J1769" s="2" t="s">
        <v>3124</v>
      </c>
      <c r="K1769" s="2" t="s">
        <v>141</v>
      </c>
      <c r="L1769" s="2" t="s">
        <v>28</v>
      </c>
      <c r="M1769" s="2" t="s">
        <v>1290</v>
      </c>
      <c r="N1769" s="2" t="s">
        <v>30</v>
      </c>
      <c r="O1769" s="2" t="s">
        <v>56</v>
      </c>
      <c r="P1769" s="2" t="s">
        <v>1291</v>
      </c>
      <c r="Q1769" s="2">
        <v>32.951999999999998</v>
      </c>
      <c r="R1769" s="2">
        <v>3</v>
      </c>
      <c r="S1769" s="2">
        <v>6.5903999999999998</v>
      </c>
      <c r="T1769" s="2" t="s">
        <v>83</v>
      </c>
      <c r="U1769" s="2" t="s">
        <v>195</v>
      </c>
    </row>
    <row r="1770" spans="1:21" ht="14.25" customHeight="1" x14ac:dyDescent="0.3">
      <c r="A1770" s="2" t="s">
        <v>4004</v>
      </c>
      <c r="B1770" s="5">
        <v>41719</v>
      </c>
      <c r="C1770" s="2" t="str">
        <f>TEXT(data[[#This Row],[Order Date]],"YYYY")</f>
        <v>2014</v>
      </c>
      <c r="D1770" s="2">
        <v>41723</v>
      </c>
      <c r="E1770" s="2" t="s">
        <v>39</v>
      </c>
      <c r="F1770" s="2" t="s">
        <v>833</v>
      </c>
      <c r="G1770" s="2" t="s">
        <v>834</v>
      </c>
      <c r="H1770" s="2" t="s">
        <v>24</v>
      </c>
      <c r="I1770" s="2" t="s">
        <v>25</v>
      </c>
      <c r="J1770" s="2" t="s">
        <v>3124</v>
      </c>
      <c r="K1770" s="2" t="s">
        <v>141</v>
      </c>
      <c r="L1770" s="2" t="s">
        <v>28</v>
      </c>
      <c r="M1770" s="2" t="s">
        <v>2180</v>
      </c>
      <c r="N1770" s="2" t="s">
        <v>30</v>
      </c>
      <c r="O1770" s="2" t="s">
        <v>36</v>
      </c>
      <c r="P1770" s="2" t="s">
        <v>2181</v>
      </c>
      <c r="Q1770" s="2">
        <v>218.376</v>
      </c>
      <c r="R1770" s="2">
        <v>3</v>
      </c>
      <c r="S1770" s="2">
        <v>-10.918799999999999</v>
      </c>
      <c r="T1770" s="2" t="s">
        <v>83</v>
      </c>
      <c r="U1770" s="2" t="s">
        <v>195</v>
      </c>
    </row>
    <row r="1771" spans="1:21" ht="14.25" customHeight="1" x14ac:dyDescent="0.3">
      <c r="A1771" s="2" t="s">
        <v>4005</v>
      </c>
      <c r="B1771" s="5">
        <v>42124</v>
      </c>
      <c r="C1771" s="2" t="str">
        <f>TEXT(data[[#This Row],[Order Date]],"YYYY")</f>
        <v>2015</v>
      </c>
      <c r="D1771" s="2">
        <v>42128</v>
      </c>
      <c r="E1771" s="2" t="s">
        <v>39</v>
      </c>
      <c r="F1771" s="2" t="s">
        <v>1320</v>
      </c>
      <c r="G1771" s="2" t="s">
        <v>1321</v>
      </c>
      <c r="H1771" s="2" t="s">
        <v>90</v>
      </c>
      <c r="I1771" s="2" t="s">
        <v>25</v>
      </c>
      <c r="J1771" s="2" t="s">
        <v>471</v>
      </c>
      <c r="K1771" s="2" t="s">
        <v>434</v>
      </c>
      <c r="L1771" s="2" t="s">
        <v>67</v>
      </c>
      <c r="M1771" s="2" t="s">
        <v>271</v>
      </c>
      <c r="N1771" s="2" t="s">
        <v>30</v>
      </c>
      <c r="O1771" s="2" t="s">
        <v>56</v>
      </c>
      <c r="P1771" s="2" t="s">
        <v>272</v>
      </c>
      <c r="Q1771" s="2">
        <v>31.4</v>
      </c>
      <c r="R1771" s="2">
        <v>5</v>
      </c>
      <c r="S1771" s="2">
        <v>13.188000000000001</v>
      </c>
      <c r="T1771" s="2" t="s">
        <v>83</v>
      </c>
      <c r="U1771" s="2" t="s">
        <v>113</v>
      </c>
    </row>
    <row r="1772" spans="1:21" ht="14.25" customHeight="1" x14ac:dyDescent="0.3">
      <c r="A1772" s="2" t="s">
        <v>4005</v>
      </c>
      <c r="B1772" s="5">
        <v>42124</v>
      </c>
      <c r="C1772" s="2" t="str">
        <f>TEXT(data[[#This Row],[Order Date]],"YYYY")</f>
        <v>2015</v>
      </c>
      <c r="D1772" s="2">
        <v>42128</v>
      </c>
      <c r="E1772" s="2" t="s">
        <v>39</v>
      </c>
      <c r="F1772" s="2" t="s">
        <v>1320</v>
      </c>
      <c r="G1772" s="2" t="s">
        <v>1321</v>
      </c>
      <c r="H1772" s="2" t="s">
        <v>90</v>
      </c>
      <c r="I1772" s="2" t="s">
        <v>25</v>
      </c>
      <c r="J1772" s="2" t="s">
        <v>471</v>
      </c>
      <c r="K1772" s="2" t="s">
        <v>434</v>
      </c>
      <c r="L1772" s="2" t="s">
        <v>67</v>
      </c>
      <c r="M1772" s="2" t="s">
        <v>2204</v>
      </c>
      <c r="N1772" s="2" t="s">
        <v>30</v>
      </c>
      <c r="O1772" s="2" t="s">
        <v>56</v>
      </c>
      <c r="P1772" s="2" t="s">
        <v>2205</v>
      </c>
      <c r="Q1772" s="2">
        <v>9.48</v>
      </c>
      <c r="R1772" s="2">
        <v>1</v>
      </c>
      <c r="S1772" s="2">
        <v>3.7919999999999998</v>
      </c>
      <c r="T1772" s="2" t="s">
        <v>83</v>
      </c>
      <c r="U1772" s="2" t="s">
        <v>113</v>
      </c>
    </row>
    <row r="1773" spans="1:21" ht="14.25" customHeight="1" x14ac:dyDescent="0.3">
      <c r="A1773" s="2" t="s">
        <v>4005</v>
      </c>
      <c r="B1773" s="5">
        <v>42124</v>
      </c>
      <c r="C1773" s="2" t="str">
        <f>TEXT(data[[#This Row],[Order Date]],"YYYY")</f>
        <v>2015</v>
      </c>
      <c r="D1773" s="2">
        <v>42128</v>
      </c>
      <c r="E1773" s="2" t="s">
        <v>39</v>
      </c>
      <c r="F1773" s="2" t="s">
        <v>1320</v>
      </c>
      <c r="G1773" s="2" t="s">
        <v>1321</v>
      </c>
      <c r="H1773" s="2" t="s">
        <v>90</v>
      </c>
      <c r="I1773" s="2" t="s">
        <v>25</v>
      </c>
      <c r="J1773" s="2" t="s">
        <v>471</v>
      </c>
      <c r="K1773" s="2" t="s">
        <v>434</v>
      </c>
      <c r="L1773" s="2" t="s">
        <v>67</v>
      </c>
      <c r="M1773" s="2" t="s">
        <v>3043</v>
      </c>
      <c r="N1773" s="2" t="s">
        <v>30</v>
      </c>
      <c r="O1773" s="2" t="s">
        <v>56</v>
      </c>
      <c r="P1773" s="2" t="s">
        <v>3044</v>
      </c>
      <c r="Q1773" s="2">
        <v>24.3</v>
      </c>
      <c r="R1773" s="2">
        <v>5</v>
      </c>
      <c r="S1773" s="2">
        <v>10.449</v>
      </c>
      <c r="T1773" s="2" t="s">
        <v>83</v>
      </c>
      <c r="U1773" s="2" t="s">
        <v>113</v>
      </c>
    </row>
    <row r="1774" spans="1:21" ht="14.25" customHeight="1" x14ac:dyDescent="0.3">
      <c r="A1774" s="2" t="s">
        <v>4006</v>
      </c>
      <c r="B1774" s="5">
        <v>42858</v>
      </c>
      <c r="C1774" s="2" t="str">
        <f>TEXT(data[[#This Row],[Order Date]],"YYYY")</f>
        <v>2017</v>
      </c>
      <c r="D1774" s="2">
        <v>42863</v>
      </c>
      <c r="E1774" s="2" t="s">
        <v>39</v>
      </c>
      <c r="F1774" s="2" t="s">
        <v>2000</v>
      </c>
      <c r="G1774" s="2" t="s">
        <v>2001</v>
      </c>
      <c r="H1774" s="2" t="s">
        <v>90</v>
      </c>
      <c r="I1774" s="2" t="s">
        <v>25</v>
      </c>
      <c r="J1774" s="2" t="s">
        <v>65</v>
      </c>
      <c r="K1774" s="2" t="s">
        <v>66</v>
      </c>
      <c r="L1774" s="2" t="s">
        <v>67</v>
      </c>
      <c r="M1774" s="2" t="s">
        <v>3223</v>
      </c>
      <c r="N1774" s="2" t="s">
        <v>30</v>
      </c>
      <c r="O1774" s="2" t="s">
        <v>56</v>
      </c>
      <c r="P1774" s="2" t="s">
        <v>3224</v>
      </c>
      <c r="Q1774" s="2">
        <v>32.448</v>
      </c>
      <c r="R1774" s="2">
        <v>2</v>
      </c>
      <c r="S1774" s="2">
        <v>7.3007999999999997</v>
      </c>
      <c r="T1774" s="2" t="s">
        <v>58</v>
      </c>
      <c r="U1774" s="2" t="s">
        <v>161</v>
      </c>
    </row>
    <row r="1775" spans="1:21" ht="14.25" customHeight="1" x14ac:dyDescent="0.3">
      <c r="A1775" s="2" t="s">
        <v>4006</v>
      </c>
      <c r="B1775" s="5">
        <v>42858</v>
      </c>
      <c r="C1775" s="2" t="str">
        <f>TEXT(data[[#This Row],[Order Date]],"YYYY")</f>
        <v>2017</v>
      </c>
      <c r="D1775" s="2">
        <v>42863</v>
      </c>
      <c r="E1775" s="2" t="s">
        <v>39</v>
      </c>
      <c r="F1775" s="2" t="s">
        <v>2000</v>
      </c>
      <c r="G1775" s="2" t="s">
        <v>2001</v>
      </c>
      <c r="H1775" s="2" t="s">
        <v>90</v>
      </c>
      <c r="I1775" s="2" t="s">
        <v>25</v>
      </c>
      <c r="J1775" s="2" t="s">
        <v>65</v>
      </c>
      <c r="K1775" s="2" t="s">
        <v>66</v>
      </c>
      <c r="L1775" s="2" t="s">
        <v>67</v>
      </c>
      <c r="M1775" s="2" t="s">
        <v>290</v>
      </c>
      <c r="N1775" s="2" t="s">
        <v>30</v>
      </c>
      <c r="O1775" s="2" t="s">
        <v>45</v>
      </c>
      <c r="P1775" s="2" t="s">
        <v>291</v>
      </c>
      <c r="Q1775" s="2">
        <v>373.47</v>
      </c>
      <c r="R1775" s="2">
        <v>5</v>
      </c>
      <c r="S1775" s="2">
        <v>-112.041</v>
      </c>
      <c r="T1775" s="2" t="s">
        <v>58</v>
      </c>
      <c r="U1775" s="2" t="s">
        <v>161</v>
      </c>
    </row>
    <row r="1776" spans="1:21" ht="14.25" customHeight="1" x14ac:dyDescent="0.3">
      <c r="A1776" s="2" t="s">
        <v>4007</v>
      </c>
      <c r="B1776" s="5">
        <v>42608</v>
      </c>
      <c r="C1776" s="2" t="str">
        <f>TEXT(data[[#This Row],[Order Date]],"YYYY")</f>
        <v>2016</v>
      </c>
      <c r="D1776" s="2">
        <v>42612</v>
      </c>
      <c r="E1776" s="2" t="s">
        <v>39</v>
      </c>
      <c r="F1776" s="2" t="s">
        <v>3449</v>
      </c>
      <c r="G1776" s="2" t="s">
        <v>3450</v>
      </c>
      <c r="H1776" s="2" t="s">
        <v>24</v>
      </c>
      <c r="I1776" s="2" t="s">
        <v>25</v>
      </c>
      <c r="J1776" s="2" t="s">
        <v>4008</v>
      </c>
      <c r="K1776" s="2" t="s">
        <v>667</v>
      </c>
      <c r="L1776" s="2" t="s">
        <v>28</v>
      </c>
      <c r="M1776" s="2" t="s">
        <v>1796</v>
      </c>
      <c r="N1776" s="2" t="s">
        <v>30</v>
      </c>
      <c r="O1776" s="2" t="s">
        <v>56</v>
      </c>
      <c r="P1776" s="2" t="s">
        <v>1797</v>
      </c>
      <c r="Q1776" s="2">
        <v>186.54</v>
      </c>
      <c r="R1776" s="2">
        <v>3</v>
      </c>
      <c r="S1776" s="2">
        <v>41.038800000000002</v>
      </c>
      <c r="T1776" s="2" t="s">
        <v>83</v>
      </c>
      <c r="U1776" s="2" t="s">
        <v>253</v>
      </c>
    </row>
    <row r="1777" spans="1:21" ht="14.25" customHeight="1" x14ac:dyDescent="0.3">
      <c r="A1777" s="2" t="s">
        <v>4009</v>
      </c>
      <c r="B1777" s="5">
        <v>42737</v>
      </c>
      <c r="C1777" s="2" t="str">
        <f>TEXT(data[[#This Row],[Order Date]],"YYYY")</f>
        <v>2017</v>
      </c>
      <c r="D1777" s="2">
        <v>42739</v>
      </c>
      <c r="E1777" s="2" t="s">
        <v>21</v>
      </c>
      <c r="F1777" s="2" t="s">
        <v>3875</v>
      </c>
      <c r="G1777" s="2" t="s">
        <v>3876</v>
      </c>
      <c r="H1777" s="2" t="s">
        <v>24</v>
      </c>
      <c r="I1777" s="2" t="s">
        <v>25</v>
      </c>
      <c r="J1777" s="2" t="s">
        <v>1374</v>
      </c>
      <c r="K1777" s="2" t="s">
        <v>92</v>
      </c>
      <c r="L1777" s="2" t="s">
        <v>93</v>
      </c>
      <c r="M1777" s="2" t="s">
        <v>1247</v>
      </c>
      <c r="N1777" s="2" t="s">
        <v>30</v>
      </c>
      <c r="O1777" s="2" t="s">
        <v>45</v>
      </c>
      <c r="P1777" s="2" t="s">
        <v>1248</v>
      </c>
      <c r="Q1777" s="2">
        <v>913.43</v>
      </c>
      <c r="R1777" s="2">
        <v>5</v>
      </c>
      <c r="S1777" s="2">
        <v>-169.637</v>
      </c>
      <c r="T1777" s="2" t="s">
        <v>70</v>
      </c>
      <c r="U1777" s="2" t="s">
        <v>169</v>
      </c>
    </row>
    <row r="1778" spans="1:21" ht="14.25" customHeight="1" x14ac:dyDescent="0.3">
      <c r="A1778" s="2" t="s">
        <v>4010</v>
      </c>
      <c r="B1778" s="5">
        <v>42532</v>
      </c>
      <c r="C1778" s="2" t="str">
        <f>TEXT(data[[#This Row],[Order Date]],"YYYY")</f>
        <v>2016</v>
      </c>
      <c r="D1778" s="2">
        <v>42537</v>
      </c>
      <c r="E1778" s="2" t="s">
        <v>39</v>
      </c>
      <c r="F1778" s="2" t="s">
        <v>739</v>
      </c>
      <c r="G1778" s="2" t="s">
        <v>740</v>
      </c>
      <c r="H1778" s="2" t="s">
        <v>24</v>
      </c>
      <c r="I1778" s="2" t="s">
        <v>25</v>
      </c>
      <c r="J1778" s="2" t="s">
        <v>52</v>
      </c>
      <c r="K1778" s="2" t="s">
        <v>53</v>
      </c>
      <c r="L1778" s="2" t="s">
        <v>54</v>
      </c>
      <c r="M1778" s="2" t="s">
        <v>306</v>
      </c>
      <c r="N1778" s="2" t="s">
        <v>30</v>
      </c>
      <c r="O1778" s="2" t="s">
        <v>45</v>
      </c>
      <c r="P1778" s="2" t="s">
        <v>307</v>
      </c>
      <c r="Q1778" s="2">
        <v>902.71199999999999</v>
      </c>
      <c r="R1778" s="2">
        <v>3</v>
      </c>
      <c r="S1778" s="2">
        <v>33.851700000000001</v>
      </c>
      <c r="T1778" s="2" t="s">
        <v>58</v>
      </c>
      <c r="U1778" s="2" t="s">
        <v>59</v>
      </c>
    </row>
    <row r="1779" spans="1:21" ht="14.25" customHeight="1" x14ac:dyDescent="0.3">
      <c r="A1779" s="2" t="s">
        <v>4011</v>
      </c>
      <c r="B1779" s="5">
        <v>42660</v>
      </c>
      <c r="C1779" s="2" t="str">
        <f>TEXT(data[[#This Row],[Order Date]],"YYYY")</f>
        <v>2016</v>
      </c>
      <c r="D1779" s="2">
        <v>42664</v>
      </c>
      <c r="E1779" s="2" t="s">
        <v>39</v>
      </c>
      <c r="F1779" s="2" t="s">
        <v>2895</v>
      </c>
      <c r="G1779" s="2" t="s">
        <v>2896</v>
      </c>
      <c r="H1779" s="2" t="s">
        <v>100</v>
      </c>
      <c r="I1779" s="2" t="s">
        <v>25</v>
      </c>
      <c r="J1779" s="2" t="s">
        <v>1133</v>
      </c>
      <c r="K1779" s="2" t="s">
        <v>53</v>
      </c>
      <c r="L1779" s="2" t="s">
        <v>54</v>
      </c>
      <c r="M1779" s="2" t="s">
        <v>2743</v>
      </c>
      <c r="N1779" s="2" t="s">
        <v>30</v>
      </c>
      <c r="O1779" s="2" t="s">
        <v>31</v>
      </c>
      <c r="P1779" s="2" t="s">
        <v>2744</v>
      </c>
      <c r="Q1779" s="2">
        <v>120.666</v>
      </c>
      <c r="R1779" s="2">
        <v>2</v>
      </c>
      <c r="S1779" s="2">
        <v>21.294</v>
      </c>
      <c r="T1779" s="2" t="s">
        <v>83</v>
      </c>
      <c r="U1779" s="2" t="s">
        <v>48</v>
      </c>
    </row>
    <row r="1780" spans="1:21" ht="14.25" customHeight="1" x14ac:dyDescent="0.3">
      <c r="A1780" s="2" t="s">
        <v>4012</v>
      </c>
      <c r="B1780" s="5">
        <v>42698</v>
      </c>
      <c r="C1780" s="2" t="str">
        <f>TEXT(data[[#This Row],[Order Date]],"YYYY")</f>
        <v>2016</v>
      </c>
      <c r="D1780" s="2">
        <v>42705</v>
      </c>
      <c r="E1780" s="2" t="s">
        <v>39</v>
      </c>
      <c r="F1780" s="2" t="s">
        <v>4013</v>
      </c>
      <c r="G1780" s="2" t="s">
        <v>4014</v>
      </c>
      <c r="H1780" s="2" t="s">
        <v>100</v>
      </c>
      <c r="I1780" s="2" t="s">
        <v>25</v>
      </c>
      <c r="J1780" s="2" t="s">
        <v>191</v>
      </c>
      <c r="K1780" s="2" t="s">
        <v>192</v>
      </c>
      <c r="L1780" s="2" t="s">
        <v>54</v>
      </c>
      <c r="M1780" s="2" t="s">
        <v>1149</v>
      </c>
      <c r="N1780" s="2" t="s">
        <v>30</v>
      </c>
      <c r="O1780" s="2" t="s">
        <v>56</v>
      </c>
      <c r="P1780" s="2" t="s">
        <v>1150</v>
      </c>
      <c r="Q1780" s="2">
        <v>82.26</v>
      </c>
      <c r="R1780" s="2">
        <v>3</v>
      </c>
      <c r="S1780" s="2">
        <v>33.726599999999998</v>
      </c>
      <c r="T1780" s="2" t="s">
        <v>47</v>
      </c>
      <c r="U1780" s="2" t="s">
        <v>34</v>
      </c>
    </row>
    <row r="1781" spans="1:21" ht="14.25" customHeight="1" x14ac:dyDescent="0.3">
      <c r="A1781" s="2" t="s">
        <v>4015</v>
      </c>
      <c r="B1781" s="5">
        <v>42408</v>
      </c>
      <c r="C1781" s="2" t="str">
        <f>TEXT(data[[#This Row],[Order Date]],"YYYY")</f>
        <v>2016</v>
      </c>
      <c r="D1781" s="2">
        <v>42415</v>
      </c>
      <c r="E1781" s="2" t="s">
        <v>39</v>
      </c>
      <c r="F1781" s="2" t="s">
        <v>4016</v>
      </c>
      <c r="G1781" s="2" t="s">
        <v>4017</v>
      </c>
      <c r="H1781" s="2" t="s">
        <v>90</v>
      </c>
      <c r="I1781" s="2" t="s">
        <v>25</v>
      </c>
      <c r="J1781" s="2" t="s">
        <v>101</v>
      </c>
      <c r="K1781" s="2" t="s">
        <v>92</v>
      </c>
      <c r="L1781" s="2" t="s">
        <v>93</v>
      </c>
      <c r="M1781" s="2" t="s">
        <v>1090</v>
      </c>
      <c r="N1781" s="2" t="s">
        <v>30</v>
      </c>
      <c r="O1781" s="2" t="s">
        <v>36</v>
      </c>
      <c r="P1781" s="2" t="s">
        <v>1091</v>
      </c>
      <c r="Q1781" s="2">
        <v>241.5</v>
      </c>
      <c r="R1781" s="2">
        <v>4</v>
      </c>
      <c r="S1781" s="2">
        <v>0</v>
      </c>
      <c r="T1781" s="2" t="s">
        <v>47</v>
      </c>
      <c r="U1781" s="2" t="s">
        <v>297</v>
      </c>
    </row>
    <row r="1782" spans="1:21" ht="14.25" customHeight="1" x14ac:dyDescent="0.3">
      <c r="A1782" s="2" t="s">
        <v>4018</v>
      </c>
      <c r="B1782" s="5">
        <v>43092</v>
      </c>
      <c r="C1782" s="2" t="str">
        <f>TEXT(data[[#This Row],[Order Date]],"YYYY")</f>
        <v>2017</v>
      </c>
      <c r="D1782" s="2">
        <v>43099</v>
      </c>
      <c r="E1782" s="2" t="s">
        <v>39</v>
      </c>
      <c r="F1782" s="2" t="s">
        <v>2230</v>
      </c>
      <c r="G1782" s="2" t="s">
        <v>2231</v>
      </c>
      <c r="H1782" s="2" t="s">
        <v>100</v>
      </c>
      <c r="I1782" s="2" t="s">
        <v>25</v>
      </c>
      <c r="J1782" s="2" t="s">
        <v>4019</v>
      </c>
      <c r="K1782" s="2" t="s">
        <v>429</v>
      </c>
      <c r="L1782" s="2" t="s">
        <v>67</v>
      </c>
      <c r="M1782" s="2" t="s">
        <v>1290</v>
      </c>
      <c r="N1782" s="2" t="s">
        <v>30</v>
      </c>
      <c r="O1782" s="2" t="s">
        <v>56</v>
      </c>
      <c r="P1782" s="2" t="s">
        <v>1291</v>
      </c>
      <c r="Q1782" s="2">
        <v>27.46</v>
      </c>
      <c r="R1782" s="2">
        <v>2</v>
      </c>
      <c r="S1782" s="2">
        <v>9.8856000000000002</v>
      </c>
      <c r="T1782" s="2" t="s">
        <v>47</v>
      </c>
      <c r="U1782" s="2" t="s">
        <v>96</v>
      </c>
    </row>
    <row r="1783" spans="1:21" ht="14.25" customHeight="1" x14ac:dyDescent="0.3">
      <c r="A1783" s="2" t="s">
        <v>4020</v>
      </c>
      <c r="B1783" s="5">
        <v>42705</v>
      </c>
      <c r="C1783" s="2" t="str">
        <f>TEXT(data[[#This Row],[Order Date]],"YYYY")</f>
        <v>2016</v>
      </c>
      <c r="D1783" s="2">
        <v>42710</v>
      </c>
      <c r="E1783" s="2" t="s">
        <v>21</v>
      </c>
      <c r="F1783" s="2" t="s">
        <v>4021</v>
      </c>
      <c r="G1783" s="2" t="s">
        <v>4022</v>
      </c>
      <c r="H1783" s="2" t="s">
        <v>24</v>
      </c>
      <c r="I1783" s="2" t="s">
        <v>25</v>
      </c>
      <c r="J1783" s="2" t="s">
        <v>237</v>
      </c>
      <c r="K1783" s="2" t="s">
        <v>434</v>
      </c>
      <c r="L1783" s="2" t="s">
        <v>67</v>
      </c>
      <c r="M1783" s="2" t="s">
        <v>1983</v>
      </c>
      <c r="N1783" s="2" t="s">
        <v>30</v>
      </c>
      <c r="O1783" s="2" t="s">
        <v>56</v>
      </c>
      <c r="P1783" s="2" t="s">
        <v>1984</v>
      </c>
      <c r="Q1783" s="2">
        <v>111.15</v>
      </c>
      <c r="R1783" s="2">
        <v>5</v>
      </c>
      <c r="S1783" s="2">
        <v>48.905999999999999</v>
      </c>
      <c r="T1783" s="2" t="s">
        <v>58</v>
      </c>
      <c r="U1783" s="2" t="s">
        <v>96</v>
      </c>
    </row>
    <row r="1784" spans="1:21" ht="14.25" customHeight="1" x14ac:dyDescent="0.3">
      <c r="A1784" s="2" t="s">
        <v>4020</v>
      </c>
      <c r="B1784" s="5">
        <v>42705</v>
      </c>
      <c r="C1784" s="2" t="str">
        <f>TEXT(data[[#This Row],[Order Date]],"YYYY")</f>
        <v>2016</v>
      </c>
      <c r="D1784" s="2">
        <v>42710</v>
      </c>
      <c r="E1784" s="2" t="s">
        <v>21</v>
      </c>
      <c r="F1784" s="2" t="s">
        <v>4021</v>
      </c>
      <c r="G1784" s="2" t="s">
        <v>4022</v>
      </c>
      <c r="H1784" s="2" t="s">
        <v>24</v>
      </c>
      <c r="I1784" s="2" t="s">
        <v>25</v>
      </c>
      <c r="J1784" s="2" t="s">
        <v>237</v>
      </c>
      <c r="K1784" s="2" t="s">
        <v>434</v>
      </c>
      <c r="L1784" s="2" t="s">
        <v>67</v>
      </c>
      <c r="M1784" s="2" t="s">
        <v>784</v>
      </c>
      <c r="N1784" s="2" t="s">
        <v>30</v>
      </c>
      <c r="O1784" s="2" t="s">
        <v>45</v>
      </c>
      <c r="P1784" s="2" t="s">
        <v>785</v>
      </c>
      <c r="Q1784" s="2">
        <v>366.00900000000001</v>
      </c>
      <c r="R1784" s="2">
        <v>3</v>
      </c>
      <c r="S1784" s="2">
        <v>-47.058300000000003</v>
      </c>
      <c r="T1784" s="2" t="s">
        <v>58</v>
      </c>
      <c r="U1784" s="2" t="s">
        <v>96</v>
      </c>
    </row>
    <row r="1785" spans="1:21" ht="14.25" customHeight="1" x14ac:dyDescent="0.3">
      <c r="A1785" s="2" t="s">
        <v>4023</v>
      </c>
      <c r="B1785" s="5">
        <v>43041</v>
      </c>
      <c r="C1785" s="2" t="str">
        <f>TEXT(data[[#This Row],[Order Date]],"YYYY")</f>
        <v>2017</v>
      </c>
      <c r="D1785" s="2">
        <v>43046</v>
      </c>
      <c r="E1785" s="2" t="s">
        <v>21</v>
      </c>
      <c r="F1785" s="2" t="s">
        <v>3085</v>
      </c>
      <c r="G1785" s="2" t="s">
        <v>3086</v>
      </c>
      <c r="H1785" s="2" t="s">
        <v>100</v>
      </c>
      <c r="I1785" s="2" t="s">
        <v>25</v>
      </c>
      <c r="J1785" s="2" t="s">
        <v>878</v>
      </c>
      <c r="K1785" s="2" t="s">
        <v>231</v>
      </c>
      <c r="L1785" s="2" t="s">
        <v>67</v>
      </c>
      <c r="M1785" s="2" t="s">
        <v>1164</v>
      </c>
      <c r="N1785" s="2" t="s">
        <v>30</v>
      </c>
      <c r="O1785" s="2" t="s">
        <v>36</v>
      </c>
      <c r="P1785" s="2" t="s">
        <v>1165</v>
      </c>
      <c r="Q1785" s="2">
        <v>155.37200000000001</v>
      </c>
      <c r="R1785" s="2">
        <v>2</v>
      </c>
      <c r="S1785" s="2">
        <v>-35.513599999999997</v>
      </c>
      <c r="T1785" s="2" t="s">
        <v>58</v>
      </c>
      <c r="U1785" s="2" t="s">
        <v>34</v>
      </c>
    </row>
    <row r="1786" spans="1:21" ht="14.25" customHeight="1" x14ac:dyDescent="0.3">
      <c r="A1786" s="2" t="s">
        <v>4024</v>
      </c>
      <c r="B1786" s="5">
        <v>42343</v>
      </c>
      <c r="C1786" s="2" t="str">
        <f>TEXT(data[[#This Row],[Order Date]],"YYYY")</f>
        <v>2015</v>
      </c>
      <c r="D1786" s="2">
        <v>42347</v>
      </c>
      <c r="E1786" s="2" t="s">
        <v>21</v>
      </c>
      <c r="F1786" s="2" t="s">
        <v>4025</v>
      </c>
      <c r="G1786" s="2" t="s">
        <v>4026</v>
      </c>
      <c r="H1786" s="2" t="s">
        <v>24</v>
      </c>
      <c r="I1786" s="2" t="s">
        <v>25</v>
      </c>
      <c r="J1786" s="2" t="s">
        <v>173</v>
      </c>
      <c r="K1786" s="2" t="s">
        <v>120</v>
      </c>
      <c r="L1786" s="2" t="s">
        <v>67</v>
      </c>
      <c r="M1786" s="2" t="s">
        <v>2428</v>
      </c>
      <c r="N1786" s="2" t="s">
        <v>30</v>
      </c>
      <c r="O1786" s="2" t="s">
        <v>36</v>
      </c>
      <c r="P1786" s="2" t="s">
        <v>2429</v>
      </c>
      <c r="Q1786" s="2">
        <v>164.64599999999999</v>
      </c>
      <c r="R1786" s="2">
        <v>3</v>
      </c>
      <c r="S1786" s="2">
        <v>12.8058</v>
      </c>
      <c r="T1786" s="2" t="s">
        <v>83</v>
      </c>
      <c r="U1786" s="2" t="s">
        <v>96</v>
      </c>
    </row>
    <row r="1787" spans="1:21" ht="14.25" customHeight="1" x14ac:dyDescent="0.3">
      <c r="A1787" s="2" t="s">
        <v>4027</v>
      </c>
      <c r="B1787" s="5">
        <v>42924</v>
      </c>
      <c r="C1787" s="2" t="str">
        <f>TEXT(data[[#This Row],[Order Date]],"YYYY")</f>
        <v>2017</v>
      </c>
      <c r="D1787" s="2">
        <v>42928</v>
      </c>
      <c r="E1787" s="2" t="s">
        <v>39</v>
      </c>
      <c r="F1787" s="2" t="s">
        <v>4028</v>
      </c>
      <c r="G1787" s="2" t="s">
        <v>4029</v>
      </c>
      <c r="H1787" s="2" t="s">
        <v>90</v>
      </c>
      <c r="I1787" s="2" t="s">
        <v>25</v>
      </c>
      <c r="J1787" s="2" t="s">
        <v>230</v>
      </c>
      <c r="K1787" s="2" t="s">
        <v>200</v>
      </c>
      <c r="L1787" s="2" t="s">
        <v>67</v>
      </c>
      <c r="M1787" s="2" t="s">
        <v>2281</v>
      </c>
      <c r="N1787" s="2" t="s">
        <v>30</v>
      </c>
      <c r="O1787" s="2" t="s">
        <v>56</v>
      </c>
      <c r="P1787" s="2" t="s">
        <v>2282</v>
      </c>
      <c r="Q1787" s="2">
        <v>83.92</v>
      </c>
      <c r="R1787" s="2">
        <v>4</v>
      </c>
      <c r="S1787" s="2">
        <v>5.8743999999999996</v>
      </c>
      <c r="T1787" s="2" t="s">
        <v>83</v>
      </c>
      <c r="U1787" s="2" t="s">
        <v>71</v>
      </c>
    </row>
    <row r="1788" spans="1:21" ht="14.25" customHeight="1" x14ac:dyDescent="0.3">
      <c r="A1788" s="2" t="s">
        <v>4027</v>
      </c>
      <c r="B1788" s="5">
        <v>42924</v>
      </c>
      <c r="C1788" s="2" t="str">
        <f>TEXT(data[[#This Row],[Order Date]],"YYYY")</f>
        <v>2017</v>
      </c>
      <c r="D1788" s="2">
        <v>42928</v>
      </c>
      <c r="E1788" s="2" t="s">
        <v>39</v>
      </c>
      <c r="F1788" s="2" t="s">
        <v>4028</v>
      </c>
      <c r="G1788" s="2" t="s">
        <v>4029</v>
      </c>
      <c r="H1788" s="2" t="s">
        <v>90</v>
      </c>
      <c r="I1788" s="2" t="s">
        <v>25</v>
      </c>
      <c r="J1788" s="2" t="s">
        <v>230</v>
      </c>
      <c r="K1788" s="2" t="s">
        <v>200</v>
      </c>
      <c r="L1788" s="2" t="s">
        <v>67</v>
      </c>
      <c r="M1788" s="2" t="s">
        <v>3582</v>
      </c>
      <c r="N1788" s="2" t="s">
        <v>30</v>
      </c>
      <c r="O1788" s="2" t="s">
        <v>56</v>
      </c>
      <c r="P1788" s="2" t="s">
        <v>3583</v>
      </c>
      <c r="Q1788" s="2">
        <v>39.979999999999997</v>
      </c>
      <c r="R1788" s="2">
        <v>2</v>
      </c>
      <c r="S1788" s="2">
        <v>9.1953999999999994</v>
      </c>
      <c r="T1788" s="2" t="s">
        <v>83</v>
      </c>
      <c r="U1788" s="2" t="s">
        <v>71</v>
      </c>
    </row>
    <row r="1789" spans="1:21" ht="14.25" customHeight="1" x14ac:dyDescent="0.3">
      <c r="A1789" s="2" t="s">
        <v>4030</v>
      </c>
      <c r="B1789" s="5">
        <v>42689</v>
      </c>
      <c r="C1789" s="2" t="str">
        <f>TEXT(data[[#This Row],[Order Date]],"YYYY")</f>
        <v>2016</v>
      </c>
      <c r="D1789" s="2">
        <v>42689</v>
      </c>
      <c r="E1789" s="2" t="s">
        <v>425</v>
      </c>
      <c r="F1789" s="2" t="s">
        <v>3518</v>
      </c>
      <c r="G1789" s="2" t="s">
        <v>3519</v>
      </c>
      <c r="H1789" s="2" t="s">
        <v>90</v>
      </c>
      <c r="I1789" s="2" t="s">
        <v>25</v>
      </c>
      <c r="J1789" s="2" t="s">
        <v>3031</v>
      </c>
      <c r="K1789" s="2" t="s">
        <v>1036</v>
      </c>
      <c r="L1789" s="2" t="s">
        <v>28</v>
      </c>
      <c r="M1789" s="2" t="s">
        <v>193</v>
      </c>
      <c r="N1789" s="2" t="s">
        <v>30</v>
      </c>
      <c r="O1789" s="2" t="s">
        <v>45</v>
      </c>
      <c r="P1789" s="2" t="s">
        <v>194</v>
      </c>
      <c r="Q1789" s="2">
        <v>630.024</v>
      </c>
      <c r="R1789" s="2">
        <v>4</v>
      </c>
      <c r="S1789" s="2">
        <v>-199.5076</v>
      </c>
      <c r="T1789" s="2" t="s">
        <v>430</v>
      </c>
      <c r="U1789" s="2" t="s">
        <v>34</v>
      </c>
    </row>
    <row r="1790" spans="1:21" ht="14.25" customHeight="1" x14ac:dyDescent="0.3">
      <c r="A1790" s="2" t="s">
        <v>4031</v>
      </c>
      <c r="B1790" s="5">
        <v>42804</v>
      </c>
      <c r="C1790" s="2" t="str">
        <f>TEXT(data[[#This Row],[Order Date]],"YYYY")</f>
        <v>2017</v>
      </c>
      <c r="D1790" s="2">
        <v>42808</v>
      </c>
      <c r="E1790" s="2" t="s">
        <v>39</v>
      </c>
      <c r="F1790" s="2" t="s">
        <v>1383</v>
      </c>
      <c r="G1790" s="2" t="s">
        <v>1384</v>
      </c>
      <c r="H1790" s="2" t="s">
        <v>24</v>
      </c>
      <c r="I1790" s="2" t="s">
        <v>25</v>
      </c>
      <c r="J1790" s="2" t="s">
        <v>1739</v>
      </c>
      <c r="K1790" s="2" t="s">
        <v>92</v>
      </c>
      <c r="L1790" s="2" t="s">
        <v>93</v>
      </c>
      <c r="M1790" s="2" t="s">
        <v>762</v>
      </c>
      <c r="N1790" s="2" t="s">
        <v>30</v>
      </c>
      <c r="O1790" s="2" t="s">
        <v>45</v>
      </c>
      <c r="P1790" s="2" t="s">
        <v>763</v>
      </c>
      <c r="Q1790" s="2">
        <v>933.40800000000002</v>
      </c>
      <c r="R1790" s="2">
        <v>4</v>
      </c>
      <c r="S1790" s="2">
        <v>-173.34719999999999</v>
      </c>
      <c r="T1790" s="2" t="s">
        <v>83</v>
      </c>
      <c r="U1790" s="2" t="s">
        <v>195</v>
      </c>
    </row>
    <row r="1791" spans="1:21" ht="14.25" customHeight="1" x14ac:dyDescent="0.3">
      <c r="A1791" s="2" t="s">
        <v>4032</v>
      </c>
      <c r="B1791" s="5">
        <v>42864</v>
      </c>
      <c r="C1791" s="2" t="str">
        <f>TEXT(data[[#This Row],[Order Date]],"YYYY")</f>
        <v>2017</v>
      </c>
      <c r="D1791" s="2">
        <v>42866</v>
      </c>
      <c r="E1791" s="2" t="s">
        <v>87</v>
      </c>
      <c r="F1791" s="2" t="s">
        <v>2439</v>
      </c>
      <c r="G1791" s="2" t="s">
        <v>2440</v>
      </c>
      <c r="H1791" s="2" t="s">
        <v>100</v>
      </c>
      <c r="I1791" s="2" t="s">
        <v>25</v>
      </c>
      <c r="J1791" s="2" t="s">
        <v>191</v>
      </c>
      <c r="K1791" s="2" t="s">
        <v>192</v>
      </c>
      <c r="L1791" s="2" t="s">
        <v>54</v>
      </c>
      <c r="M1791" s="2" t="s">
        <v>922</v>
      </c>
      <c r="N1791" s="2" t="s">
        <v>30</v>
      </c>
      <c r="O1791" s="2" t="s">
        <v>45</v>
      </c>
      <c r="P1791" s="2" t="s">
        <v>923</v>
      </c>
      <c r="Q1791" s="2">
        <v>286.85000000000002</v>
      </c>
      <c r="R1791" s="2">
        <v>1</v>
      </c>
      <c r="S1791" s="2">
        <v>63.106999999999999</v>
      </c>
      <c r="T1791" s="2" t="s">
        <v>70</v>
      </c>
      <c r="U1791" s="2" t="s">
        <v>161</v>
      </c>
    </row>
    <row r="1792" spans="1:21" ht="14.25" customHeight="1" x14ac:dyDescent="0.3">
      <c r="A1792" s="2" t="s">
        <v>4033</v>
      </c>
      <c r="B1792" s="5">
        <v>43020</v>
      </c>
      <c r="C1792" s="2" t="str">
        <f>TEXT(data[[#This Row],[Order Date]],"YYYY")</f>
        <v>2017</v>
      </c>
      <c r="D1792" s="2">
        <v>43024</v>
      </c>
      <c r="E1792" s="2" t="s">
        <v>39</v>
      </c>
      <c r="F1792" s="2" t="s">
        <v>4034</v>
      </c>
      <c r="G1792" s="2" t="s">
        <v>4035</v>
      </c>
      <c r="H1792" s="2" t="s">
        <v>24</v>
      </c>
      <c r="I1792" s="2" t="s">
        <v>25</v>
      </c>
      <c r="J1792" s="2" t="s">
        <v>2060</v>
      </c>
      <c r="K1792" s="2" t="s">
        <v>362</v>
      </c>
      <c r="L1792" s="2" t="s">
        <v>67</v>
      </c>
      <c r="M1792" s="2" t="s">
        <v>2795</v>
      </c>
      <c r="N1792" s="2" t="s">
        <v>30</v>
      </c>
      <c r="O1792" s="2" t="s">
        <v>56</v>
      </c>
      <c r="P1792" s="2" t="s">
        <v>2796</v>
      </c>
      <c r="Q1792" s="2">
        <v>40.479999999999997</v>
      </c>
      <c r="R1792" s="2">
        <v>2</v>
      </c>
      <c r="S1792" s="2">
        <v>17.406400000000001</v>
      </c>
      <c r="T1792" s="2" t="s">
        <v>83</v>
      </c>
      <c r="U1792" s="2" t="s">
        <v>48</v>
      </c>
    </row>
    <row r="1793" spans="1:21" ht="14.25" customHeight="1" x14ac:dyDescent="0.3">
      <c r="A1793" s="2" t="s">
        <v>4033</v>
      </c>
      <c r="B1793" s="5">
        <v>43020</v>
      </c>
      <c r="C1793" s="2" t="str">
        <f>TEXT(data[[#This Row],[Order Date]],"YYYY")</f>
        <v>2017</v>
      </c>
      <c r="D1793" s="2">
        <v>43024</v>
      </c>
      <c r="E1793" s="2" t="s">
        <v>39</v>
      </c>
      <c r="F1793" s="2" t="s">
        <v>4034</v>
      </c>
      <c r="G1793" s="2" t="s">
        <v>4035</v>
      </c>
      <c r="H1793" s="2" t="s">
        <v>24</v>
      </c>
      <c r="I1793" s="2" t="s">
        <v>25</v>
      </c>
      <c r="J1793" s="2" t="s">
        <v>2060</v>
      </c>
      <c r="K1793" s="2" t="s">
        <v>362</v>
      </c>
      <c r="L1793" s="2" t="s">
        <v>67</v>
      </c>
      <c r="M1793" s="2" t="s">
        <v>2028</v>
      </c>
      <c r="N1793" s="2" t="s">
        <v>30</v>
      </c>
      <c r="O1793" s="2" t="s">
        <v>31</v>
      </c>
      <c r="P1793" s="2" t="s">
        <v>2029</v>
      </c>
      <c r="Q1793" s="2">
        <v>2154.9</v>
      </c>
      <c r="R1793" s="2">
        <v>5</v>
      </c>
      <c r="S1793" s="2">
        <v>129.29400000000001</v>
      </c>
      <c r="T1793" s="2" t="s">
        <v>83</v>
      </c>
      <c r="U1793" s="2" t="s">
        <v>48</v>
      </c>
    </row>
    <row r="1794" spans="1:21" ht="14.25" customHeight="1" x14ac:dyDescent="0.3">
      <c r="A1794" s="2" t="s">
        <v>4036</v>
      </c>
      <c r="B1794" s="5">
        <v>42723</v>
      </c>
      <c r="C1794" s="2" t="str">
        <f>TEXT(data[[#This Row],[Order Date]],"YYYY")</f>
        <v>2016</v>
      </c>
      <c r="D1794" s="2">
        <v>42725</v>
      </c>
      <c r="E1794" s="2" t="s">
        <v>21</v>
      </c>
      <c r="F1794" s="2" t="s">
        <v>2226</v>
      </c>
      <c r="G1794" s="2" t="s">
        <v>2227</v>
      </c>
      <c r="H1794" s="2" t="s">
        <v>24</v>
      </c>
      <c r="I1794" s="2" t="s">
        <v>25</v>
      </c>
      <c r="J1794" s="2" t="s">
        <v>3329</v>
      </c>
      <c r="K1794" s="2" t="s">
        <v>66</v>
      </c>
      <c r="L1794" s="2" t="s">
        <v>67</v>
      </c>
      <c r="M1794" s="2" t="s">
        <v>2606</v>
      </c>
      <c r="N1794" s="2" t="s">
        <v>30</v>
      </c>
      <c r="O1794" s="2" t="s">
        <v>56</v>
      </c>
      <c r="P1794" s="2" t="s">
        <v>2607</v>
      </c>
      <c r="Q1794" s="2">
        <v>303.92</v>
      </c>
      <c r="R1794" s="2">
        <v>5</v>
      </c>
      <c r="S1794" s="2">
        <v>-30.391999999999999</v>
      </c>
      <c r="T1794" s="2" t="s">
        <v>70</v>
      </c>
      <c r="U1794" s="2" t="s">
        <v>96</v>
      </c>
    </row>
    <row r="1795" spans="1:21" ht="14.25" customHeight="1" x14ac:dyDescent="0.3">
      <c r="A1795" s="2" t="s">
        <v>4037</v>
      </c>
      <c r="B1795" s="5">
        <v>43047</v>
      </c>
      <c r="C1795" s="2" t="str">
        <f>TEXT(data[[#This Row],[Order Date]],"YYYY")</f>
        <v>2017</v>
      </c>
      <c r="D1795" s="2">
        <v>43052</v>
      </c>
      <c r="E1795" s="2" t="s">
        <v>39</v>
      </c>
      <c r="F1795" s="2" t="s">
        <v>2098</v>
      </c>
      <c r="G1795" s="2" t="s">
        <v>2099</v>
      </c>
      <c r="H1795" s="2" t="s">
        <v>90</v>
      </c>
      <c r="I1795" s="2" t="s">
        <v>25</v>
      </c>
      <c r="J1795" s="2" t="s">
        <v>2754</v>
      </c>
      <c r="K1795" s="2" t="s">
        <v>1089</v>
      </c>
      <c r="L1795" s="2" t="s">
        <v>67</v>
      </c>
      <c r="M1795" s="2" t="s">
        <v>1149</v>
      </c>
      <c r="N1795" s="2" t="s">
        <v>30</v>
      </c>
      <c r="O1795" s="2" t="s">
        <v>56</v>
      </c>
      <c r="P1795" s="2" t="s">
        <v>1150</v>
      </c>
      <c r="Q1795" s="2">
        <v>274.2</v>
      </c>
      <c r="R1795" s="2">
        <v>10</v>
      </c>
      <c r="S1795" s="2">
        <v>112.422</v>
      </c>
      <c r="T1795" s="2" t="s">
        <v>58</v>
      </c>
      <c r="U1795" s="2" t="s">
        <v>34</v>
      </c>
    </row>
    <row r="1796" spans="1:21" ht="14.25" customHeight="1" x14ac:dyDescent="0.3">
      <c r="A1796" s="2" t="s">
        <v>4038</v>
      </c>
      <c r="B1796" s="5">
        <v>41896</v>
      </c>
      <c r="C1796" s="2" t="str">
        <f>TEXT(data[[#This Row],[Order Date]],"YYYY")</f>
        <v>2014</v>
      </c>
      <c r="D1796" s="2">
        <v>41900</v>
      </c>
      <c r="E1796" s="2" t="s">
        <v>21</v>
      </c>
      <c r="F1796" s="2" t="s">
        <v>1838</v>
      </c>
      <c r="G1796" s="2" t="s">
        <v>1839</v>
      </c>
      <c r="H1796" s="2" t="s">
        <v>90</v>
      </c>
      <c r="I1796" s="2" t="s">
        <v>25</v>
      </c>
      <c r="J1796" s="2" t="s">
        <v>2096</v>
      </c>
      <c r="K1796" s="2" t="s">
        <v>92</v>
      </c>
      <c r="L1796" s="2" t="s">
        <v>93</v>
      </c>
      <c r="M1796" s="2" t="s">
        <v>2237</v>
      </c>
      <c r="N1796" s="2" t="s">
        <v>30</v>
      </c>
      <c r="O1796" s="2" t="s">
        <v>56</v>
      </c>
      <c r="P1796" s="2" t="s">
        <v>2238</v>
      </c>
      <c r="Q1796" s="2">
        <v>9.9600000000000009</v>
      </c>
      <c r="R1796" s="2">
        <v>5</v>
      </c>
      <c r="S1796" s="2">
        <v>-6.7229999999999999</v>
      </c>
      <c r="T1796" s="2" t="s">
        <v>83</v>
      </c>
      <c r="U1796" s="2" t="s">
        <v>77</v>
      </c>
    </row>
    <row r="1797" spans="1:21" ht="14.25" customHeight="1" x14ac:dyDescent="0.3">
      <c r="A1797" s="2" t="s">
        <v>4039</v>
      </c>
      <c r="B1797" s="5">
        <v>43031</v>
      </c>
      <c r="C1797" s="2" t="str">
        <f>TEXT(data[[#This Row],[Order Date]],"YYYY")</f>
        <v>2017</v>
      </c>
      <c r="D1797" s="2">
        <v>43032</v>
      </c>
      <c r="E1797" s="2" t="s">
        <v>87</v>
      </c>
      <c r="F1797" s="2" t="s">
        <v>1556</v>
      </c>
      <c r="G1797" s="2" t="s">
        <v>1557</v>
      </c>
      <c r="H1797" s="2" t="s">
        <v>90</v>
      </c>
      <c r="I1797" s="2" t="s">
        <v>25</v>
      </c>
      <c r="J1797" s="2" t="s">
        <v>2739</v>
      </c>
      <c r="K1797" s="2" t="s">
        <v>1645</v>
      </c>
      <c r="L1797" s="2" t="s">
        <v>67</v>
      </c>
      <c r="M1797" s="2" t="s">
        <v>1259</v>
      </c>
      <c r="N1797" s="2" t="s">
        <v>30</v>
      </c>
      <c r="O1797" s="2" t="s">
        <v>45</v>
      </c>
      <c r="P1797" s="2" t="s">
        <v>1063</v>
      </c>
      <c r="Q1797" s="2">
        <v>240.744</v>
      </c>
      <c r="R1797" s="2">
        <v>4</v>
      </c>
      <c r="S1797" s="2">
        <v>-13.7568</v>
      </c>
      <c r="T1797" s="2" t="s">
        <v>123</v>
      </c>
      <c r="U1797" s="2" t="s">
        <v>48</v>
      </c>
    </row>
    <row r="1798" spans="1:21" ht="14.25" customHeight="1" x14ac:dyDescent="0.3">
      <c r="A1798" s="2" t="s">
        <v>4039</v>
      </c>
      <c r="B1798" s="5">
        <v>43031</v>
      </c>
      <c r="C1798" s="2" t="str">
        <f>TEXT(data[[#This Row],[Order Date]],"YYYY")</f>
        <v>2017</v>
      </c>
      <c r="D1798" s="2">
        <v>43032</v>
      </c>
      <c r="E1798" s="2" t="s">
        <v>87</v>
      </c>
      <c r="F1798" s="2" t="s">
        <v>1556</v>
      </c>
      <c r="G1798" s="2" t="s">
        <v>1557</v>
      </c>
      <c r="H1798" s="2" t="s">
        <v>90</v>
      </c>
      <c r="I1798" s="2" t="s">
        <v>25</v>
      </c>
      <c r="J1798" s="2" t="s">
        <v>2739</v>
      </c>
      <c r="K1798" s="2" t="s">
        <v>1645</v>
      </c>
      <c r="L1798" s="2" t="s">
        <v>67</v>
      </c>
      <c r="M1798" s="2" t="s">
        <v>2189</v>
      </c>
      <c r="N1798" s="2" t="s">
        <v>30</v>
      </c>
      <c r="O1798" s="2" t="s">
        <v>56</v>
      </c>
      <c r="P1798" s="2" t="s">
        <v>2190</v>
      </c>
      <c r="Q1798" s="2">
        <v>35</v>
      </c>
      <c r="R1798" s="2">
        <v>4</v>
      </c>
      <c r="S1798" s="2">
        <v>14.7</v>
      </c>
      <c r="T1798" s="2" t="s">
        <v>123</v>
      </c>
      <c r="U1798" s="2" t="s">
        <v>48</v>
      </c>
    </row>
    <row r="1799" spans="1:21" ht="14.25" customHeight="1" x14ac:dyDescent="0.3">
      <c r="A1799" s="2" t="s">
        <v>4039</v>
      </c>
      <c r="B1799" s="5">
        <v>43031</v>
      </c>
      <c r="C1799" s="2" t="str">
        <f>TEXT(data[[#This Row],[Order Date]],"YYYY")</f>
        <v>2017</v>
      </c>
      <c r="D1799" s="2">
        <v>43032</v>
      </c>
      <c r="E1799" s="2" t="s">
        <v>87</v>
      </c>
      <c r="F1799" s="2" t="s">
        <v>1556</v>
      </c>
      <c r="G1799" s="2" t="s">
        <v>1557</v>
      </c>
      <c r="H1799" s="2" t="s">
        <v>90</v>
      </c>
      <c r="I1799" s="2" t="s">
        <v>25</v>
      </c>
      <c r="J1799" s="2" t="s">
        <v>2739</v>
      </c>
      <c r="K1799" s="2" t="s">
        <v>1645</v>
      </c>
      <c r="L1799" s="2" t="s">
        <v>67</v>
      </c>
      <c r="M1799" s="2" t="s">
        <v>3617</v>
      </c>
      <c r="N1799" s="2" t="s">
        <v>30</v>
      </c>
      <c r="O1799" s="2" t="s">
        <v>56</v>
      </c>
      <c r="P1799" s="2" t="s">
        <v>3618</v>
      </c>
      <c r="Q1799" s="2">
        <v>210.68</v>
      </c>
      <c r="R1799" s="2">
        <v>2</v>
      </c>
      <c r="S1799" s="2">
        <v>50.563200000000002</v>
      </c>
      <c r="T1799" s="2" t="s">
        <v>123</v>
      </c>
      <c r="U1799" s="2" t="s">
        <v>48</v>
      </c>
    </row>
    <row r="1800" spans="1:21" ht="14.25" customHeight="1" x14ac:dyDescent="0.3">
      <c r="A1800" s="2" t="s">
        <v>4039</v>
      </c>
      <c r="B1800" s="5">
        <v>43031</v>
      </c>
      <c r="C1800" s="2" t="str">
        <f>TEXT(data[[#This Row],[Order Date]],"YYYY")</f>
        <v>2017</v>
      </c>
      <c r="D1800" s="2">
        <v>43032</v>
      </c>
      <c r="E1800" s="2" t="s">
        <v>87</v>
      </c>
      <c r="F1800" s="2" t="s">
        <v>1556</v>
      </c>
      <c r="G1800" s="2" t="s">
        <v>1557</v>
      </c>
      <c r="H1800" s="2" t="s">
        <v>90</v>
      </c>
      <c r="I1800" s="2" t="s">
        <v>25</v>
      </c>
      <c r="J1800" s="2" t="s">
        <v>2739</v>
      </c>
      <c r="K1800" s="2" t="s">
        <v>1645</v>
      </c>
      <c r="L1800" s="2" t="s">
        <v>67</v>
      </c>
      <c r="M1800" s="2" t="s">
        <v>435</v>
      </c>
      <c r="N1800" s="2" t="s">
        <v>30</v>
      </c>
      <c r="O1800" s="2" t="s">
        <v>45</v>
      </c>
      <c r="P1800" s="2" t="s">
        <v>436</v>
      </c>
      <c r="Q1800" s="2">
        <v>637.89599999999996</v>
      </c>
      <c r="R1800" s="2">
        <v>3</v>
      </c>
      <c r="S1800" s="2">
        <v>-127.5792</v>
      </c>
      <c r="T1800" s="2" t="s">
        <v>123</v>
      </c>
      <c r="U1800" s="2" t="s">
        <v>48</v>
      </c>
    </row>
    <row r="1801" spans="1:21" ht="14.25" customHeight="1" x14ac:dyDescent="0.3">
      <c r="A1801" s="2" t="s">
        <v>4040</v>
      </c>
      <c r="B1801" s="5">
        <v>42478</v>
      </c>
      <c r="C1801" s="2" t="str">
        <f>TEXT(data[[#This Row],[Order Date]],"YYYY")</f>
        <v>2016</v>
      </c>
      <c r="D1801" s="2">
        <v>42483</v>
      </c>
      <c r="E1801" s="2" t="s">
        <v>39</v>
      </c>
      <c r="F1801" s="2" t="s">
        <v>3181</v>
      </c>
      <c r="G1801" s="2" t="s">
        <v>3182</v>
      </c>
      <c r="H1801" s="2" t="s">
        <v>90</v>
      </c>
      <c r="I1801" s="2" t="s">
        <v>25</v>
      </c>
      <c r="J1801" s="2" t="s">
        <v>101</v>
      </c>
      <c r="K1801" s="2" t="s">
        <v>92</v>
      </c>
      <c r="L1801" s="2" t="s">
        <v>93</v>
      </c>
      <c r="M1801" s="2" t="s">
        <v>1028</v>
      </c>
      <c r="N1801" s="2" t="s">
        <v>30</v>
      </c>
      <c r="O1801" s="2" t="s">
        <v>36</v>
      </c>
      <c r="P1801" s="2" t="s">
        <v>1029</v>
      </c>
      <c r="Q1801" s="2">
        <v>344.37200000000001</v>
      </c>
      <c r="R1801" s="2">
        <v>4</v>
      </c>
      <c r="S1801" s="2">
        <v>-93.472399999999993</v>
      </c>
      <c r="T1801" s="2" t="s">
        <v>58</v>
      </c>
      <c r="U1801" s="2" t="s">
        <v>113</v>
      </c>
    </row>
    <row r="1802" spans="1:21" ht="14.25" customHeight="1" x14ac:dyDescent="0.3">
      <c r="A1802" s="2" t="s">
        <v>4040</v>
      </c>
      <c r="B1802" s="5">
        <v>42478</v>
      </c>
      <c r="C1802" s="2" t="str">
        <f>TEXT(data[[#This Row],[Order Date]],"YYYY")</f>
        <v>2016</v>
      </c>
      <c r="D1802" s="2">
        <v>42483</v>
      </c>
      <c r="E1802" s="2" t="s">
        <v>39</v>
      </c>
      <c r="F1802" s="2" t="s">
        <v>3181</v>
      </c>
      <c r="G1802" s="2" t="s">
        <v>3182</v>
      </c>
      <c r="H1802" s="2" t="s">
        <v>90</v>
      </c>
      <c r="I1802" s="2" t="s">
        <v>25</v>
      </c>
      <c r="J1802" s="2" t="s">
        <v>101</v>
      </c>
      <c r="K1802" s="2" t="s">
        <v>92</v>
      </c>
      <c r="L1802" s="2" t="s">
        <v>93</v>
      </c>
      <c r="M1802" s="2" t="s">
        <v>1755</v>
      </c>
      <c r="N1802" s="2" t="s">
        <v>30</v>
      </c>
      <c r="O1802" s="2" t="s">
        <v>56</v>
      </c>
      <c r="P1802" s="2" t="s">
        <v>1756</v>
      </c>
      <c r="Q1802" s="2">
        <v>127.88</v>
      </c>
      <c r="R1802" s="2">
        <v>5</v>
      </c>
      <c r="S1802" s="2">
        <v>-67.137</v>
      </c>
      <c r="T1802" s="2" t="s">
        <v>58</v>
      </c>
      <c r="U1802" s="2" t="s">
        <v>113</v>
      </c>
    </row>
    <row r="1803" spans="1:21" ht="14.25" customHeight="1" x14ac:dyDescent="0.3">
      <c r="A1803" s="2" t="s">
        <v>4041</v>
      </c>
      <c r="B1803" s="5">
        <v>42883</v>
      </c>
      <c r="C1803" s="2" t="str">
        <f>TEXT(data[[#This Row],[Order Date]],"YYYY")</f>
        <v>2017</v>
      </c>
      <c r="D1803" s="2">
        <v>42888</v>
      </c>
      <c r="E1803" s="2" t="s">
        <v>21</v>
      </c>
      <c r="F1803" s="2" t="s">
        <v>2662</v>
      </c>
      <c r="G1803" s="2" t="s">
        <v>2663</v>
      </c>
      <c r="H1803" s="2" t="s">
        <v>90</v>
      </c>
      <c r="I1803" s="2" t="s">
        <v>25</v>
      </c>
      <c r="J1803" s="2" t="s">
        <v>133</v>
      </c>
      <c r="K1803" s="2" t="s">
        <v>134</v>
      </c>
      <c r="L1803" s="2" t="s">
        <v>93</v>
      </c>
      <c r="M1803" s="2" t="s">
        <v>135</v>
      </c>
      <c r="N1803" s="2" t="s">
        <v>30</v>
      </c>
      <c r="O1803" s="2" t="s">
        <v>36</v>
      </c>
      <c r="P1803" s="2" t="s">
        <v>217</v>
      </c>
      <c r="Q1803" s="2">
        <v>106.869</v>
      </c>
      <c r="R1803" s="2">
        <v>3</v>
      </c>
      <c r="S1803" s="2">
        <v>-29.007300000000001</v>
      </c>
      <c r="T1803" s="2" t="s">
        <v>58</v>
      </c>
      <c r="U1803" s="2" t="s">
        <v>161</v>
      </c>
    </row>
    <row r="1804" spans="1:21" ht="14.25" customHeight="1" x14ac:dyDescent="0.3">
      <c r="A1804" s="2" t="s">
        <v>4042</v>
      </c>
      <c r="B1804" s="5">
        <v>42685</v>
      </c>
      <c r="C1804" s="2" t="str">
        <f>TEXT(data[[#This Row],[Order Date]],"YYYY")</f>
        <v>2016</v>
      </c>
      <c r="D1804" s="2">
        <v>42691</v>
      </c>
      <c r="E1804" s="2" t="s">
        <v>39</v>
      </c>
      <c r="F1804" s="2" t="s">
        <v>723</v>
      </c>
      <c r="G1804" s="2" t="s">
        <v>724</v>
      </c>
      <c r="H1804" s="2" t="s">
        <v>90</v>
      </c>
      <c r="I1804" s="2" t="s">
        <v>25</v>
      </c>
      <c r="J1804" s="2" t="s">
        <v>4043</v>
      </c>
      <c r="K1804" s="2" t="s">
        <v>110</v>
      </c>
      <c r="L1804" s="2" t="s">
        <v>93</v>
      </c>
      <c r="M1804" s="2" t="s">
        <v>1811</v>
      </c>
      <c r="N1804" s="2" t="s">
        <v>30</v>
      </c>
      <c r="O1804" s="2" t="s">
        <v>45</v>
      </c>
      <c r="P1804" s="2" t="s">
        <v>1812</v>
      </c>
      <c r="Q1804" s="2">
        <v>2678.94</v>
      </c>
      <c r="R1804" s="2">
        <v>6</v>
      </c>
      <c r="S1804" s="2">
        <v>241.1046</v>
      </c>
      <c r="T1804" s="2" t="s">
        <v>129</v>
      </c>
      <c r="U1804" s="2" t="s">
        <v>34</v>
      </c>
    </row>
    <row r="1805" spans="1:21" ht="14.25" customHeight="1" x14ac:dyDescent="0.3">
      <c r="A1805" s="2" t="s">
        <v>4044</v>
      </c>
      <c r="B1805" s="5">
        <v>42848</v>
      </c>
      <c r="C1805" s="2" t="str">
        <f>TEXT(data[[#This Row],[Order Date]],"YYYY")</f>
        <v>2017</v>
      </c>
      <c r="D1805" s="2">
        <v>42852</v>
      </c>
      <c r="E1805" s="2" t="s">
        <v>39</v>
      </c>
      <c r="F1805" s="2" t="s">
        <v>171</v>
      </c>
      <c r="G1805" s="2" t="s">
        <v>172</v>
      </c>
      <c r="H1805" s="2" t="s">
        <v>100</v>
      </c>
      <c r="I1805" s="2" t="s">
        <v>25</v>
      </c>
      <c r="J1805" s="2" t="s">
        <v>4045</v>
      </c>
      <c r="K1805" s="2" t="s">
        <v>141</v>
      </c>
      <c r="L1805" s="2" t="s">
        <v>28</v>
      </c>
      <c r="M1805" s="2" t="s">
        <v>456</v>
      </c>
      <c r="N1805" s="2" t="s">
        <v>30</v>
      </c>
      <c r="O1805" s="2" t="s">
        <v>31</v>
      </c>
      <c r="P1805" s="2" t="s">
        <v>457</v>
      </c>
      <c r="Q1805" s="2">
        <v>387.13600000000002</v>
      </c>
      <c r="R1805" s="2">
        <v>4</v>
      </c>
      <c r="S1805" s="2">
        <v>-14.5176</v>
      </c>
      <c r="T1805" s="2" t="s">
        <v>83</v>
      </c>
      <c r="U1805" s="2" t="s">
        <v>113</v>
      </c>
    </row>
    <row r="1806" spans="1:21" ht="14.25" customHeight="1" x14ac:dyDescent="0.3">
      <c r="A1806" s="2" t="s">
        <v>4044</v>
      </c>
      <c r="B1806" s="5">
        <v>42848</v>
      </c>
      <c r="C1806" s="2" t="str">
        <f>TEXT(data[[#This Row],[Order Date]],"YYYY")</f>
        <v>2017</v>
      </c>
      <c r="D1806" s="2">
        <v>42852</v>
      </c>
      <c r="E1806" s="2" t="s">
        <v>39</v>
      </c>
      <c r="F1806" s="2" t="s">
        <v>171</v>
      </c>
      <c r="G1806" s="2" t="s">
        <v>172</v>
      </c>
      <c r="H1806" s="2" t="s">
        <v>100</v>
      </c>
      <c r="I1806" s="2" t="s">
        <v>25</v>
      </c>
      <c r="J1806" s="2" t="s">
        <v>4045</v>
      </c>
      <c r="K1806" s="2" t="s">
        <v>141</v>
      </c>
      <c r="L1806" s="2" t="s">
        <v>28</v>
      </c>
      <c r="M1806" s="2" t="s">
        <v>2395</v>
      </c>
      <c r="N1806" s="2" t="s">
        <v>30</v>
      </c>
      <c r="O1806" s="2" t="s">
        <v>56</v>
      </c>
      <c r="P1806" s="2" t="s">
        <v>2396</v>
      </c>
      <c r="Q1806" s="2">
        <v>77.951999999999998</v>
      </c>
      <c r="R1806" s="2">
        <v>3</v>
      </c>
      <c r="S1806" s="2">
        <v>-11.6928</v>
      </c>
      <c r="T1806" s="2" t="s">
        <v>83</v>
      </c>
      <c r="U1806" s="2" t="s">
        <v>113</v>
      </c>
    </row>
    <row r="1807" spans="1:21" ht="14.25" customHeight="1" x14ac:dyDescent="0.3">
      <c r="A1807" s="2" t="s">
        <v>4046</v>
      </c>
      <c r="B1807" s="5">
        <v>43002</v>
      </c>
      <c r="C1807" s="2" t="str">
        <f>TEXT(data[[#This Row],[Order Date]],"YYYY")</f>
        <v>2017</v>
      </c>
      <c r="D1807" s="2">
        <v>43002</v>
      </c>
      <c r="E1807" s="2" t="s">
        <v>425</v>
      </c>
      <c r="F1807" s="2" t="s">
        <v>464</v>
      </c>
      <c r="G1807" s="2" t="s">
        <v>465</v>
      </c>
      <c r="H1807" s="2" t="s">
        <v>24</v>
      </c>
      <c r="I1807" s="2" t="s">
        <v>25</v>
      </c>
      <c r="J1807" s="2" t="s">
        <v>191</v>
      </c>
      <c r="K1807" s="2" t="s">
        <v>192</v>
      </c>
      <c r="L1807" s="2" t="s">
        <v>54</v>
      </c>
      <c r="M1807" s="2" t="s">
        <v>697</v>
      </c>
      <c r="N1807" s="2" t="s">
        <v>30</v>
      </c>
      <c r="O1807" s="2" t="s">
        <v>56</v>
      </c>
      <c r="P1807" s="2" t="s">
        <v>698</v>
      </c>
      <c r="Q1807" s="2">
        <v>199.8</v>
      </c>
      <c r="R1807" s="2">
        <v>10</v>
      </c>
      <c r="S1807" s="2">
        <v>71.927999999999997</v>
      </c>
      <c r="T1807" s="2" t="s">
        <v>430</v>
      </c>
      <c r="U1807" s="2" t="s">
        <v>77</v>
      </c>
    </row>
    <row r="1808" spans="1:21" ht="14.25" customHeight="1" x14ac:dyDescent="0.3">
      <c r="A1808" s="2" t="s">
        <v>4047</v>
      </c>
      <c r="B1808" s="5">
        <v>42402</v>
      </c>
      <c r="C1808" s="2" t="str">
        <f>TEXT(data[[#This Row],[Order Date]],"YYYY")</f>
        <v>2016</v>
      </c>
      <c r="D1808" s="2">
        <v>42404</v>
      </c>
      <c r="E1808" s="2" t="s">
        <v>21</v>
      </c>
      <c r="F1808" s="2" t="s">
        <v>1986</v>
      </c>
      <c r="G1808" s="2" t="s">
        <v>1987</v>
      </c>
      <c r="H1808" s="2" t="s">
        <v>24</v>
      </c>
      <c r="I1808" s="2" t="s">
        <v>25</v>
      </c>
      <c r="J1808" s="2" t="s">
        <v>689</v>
      </c>
      <c r="K1808" s="2" t="s">
        <v>716</v>
      </c>
      <c r="L1808" s="2" t="s">
        <v>28</v>
      </c>
      <c r="M1808" s="2" t="s">
        <v>2513</v>
      </c>
      <c r="N1808" s="2" t="s">
        <v>30</v>
      </c>
      <c r="O1808" s="2" t="s">
        <v>56</v>
      </c>
      <c r="P1808" s="2" t="s">
        <v>2514</v>
      </c>
      <c r="Q1808" s="2">
        <v>18.690000000000001</v>
      </c>
      <c r="R1808" s="2">
        <v>7</v>
      </c>
      <c r="S1808" s="2">
        <v>7.1021999999999998</v>
      </c>
      <c r="T1808" s="2" t="s">
        <v>70</v>
      </c>
      <c r="U1808" s="2" t="s">
        <v>297</v>
      </c>
    </row>
    <row r="1809" spans="1:21" ht="14.25" customHeight="1" x14ac:dyDescent="0.3">
      <c r="A1809" s="2" t="s">
        <v>4048</v>
      </c>
      <c r="B1809" s="5">
        <v>42064</v>
      </c>
      <c r="C1809" s="2" t="str">
        <f>TEXT(data[[#This Row],[Order Date]],"YYYY")</f>
        <v>2015</v>
      </c>
      <c r="D1809" s="2">
        <v>42066</v>
      </c>
      <c r="E1809" s="2" t="s">
        <v>21</v>
      </c>
      <c r="F1809" s="2" t="s">
        <v>3256</v>
      </c>
      <c r="G1809" s="2" t="s">
        <v>3257</v>
      </c>
      <c r="H1809" s="2" t="s">
        <v>90</v>
      </c>
      <c r="I1809" s="2" t="s">
        <v>25</v>
      </c>
      <c r="J1809" s="2" t="s">
        <v>52</v>
      </c>
      <c r="K1809" s="2" t="s">
        <v>53</v>
      </c>
      <c r="L1809" s="2" t="s">
        <v>54</v>
      </c>
      <c r="M1809" s="2" t="s">
        <v>488</v>
      </c>
      <c r="N1809" s="2" t="s">
        <v>30</v>
      </c>
      <c r="O1809" s="2" t="s">
        <v>36</v>
      </c>
      <c r="P1809" s="2" t="s">
        <v>489</v>
      </c>
      <c r="Q1809" s="2">
        <v>184.75200000000001</v>
      </c>
      <c r="R1809" s="2">
        <v>3</v>
      </c>
      <c r="S1809" s="2">
        <v>-20.784600000000001</v>
      </c>
      <c r="T1809" s="2" t="s">
        <v>70</v>
      </c>
      <c r="U1809" s="2" t="s">
        <v>195</v>
      </c>
    </row>
    <row r="1810" spans="1:21" ht="14.25" customHeight="1" x14ac:dyDescent="0.3">
      <c r="A1810" s="2" t="s">
        <v>4049</v>
      </c>
      <c r="B1810" s="5">
        <v>42492</v>
      </c>
      <c r="C1810" s="2" t="str">
        <f>TEXT(data[[#This Row],[Order Date]],"YYYY")</f>
        <v>2016</v>
      </c>
      <c r="D1810" s="2">
        <v>42496</v>
      </c>
      <c r="E1810" s="2" t="s">
        <v>39</v>
      </c>
      <c r="F1810" s="2" t="s">
        <v>2936</v>
      </c>
      <c r="G1810" s="2" t="s">
        <v>2937</v>
      </c>
      <c r="H1810" s="2" t="s">
        <v>24</v>
      </c>
      <c r="I1810" s="2" t="s">
        <v>25</v>
      </c>
      <c r="J1810" s="2" t="s">
        <v>528</v>
      </c>
      <c r="K1810" s="2" t="s">
        <v>92</v>
      </c>
      <c r="L1810" s="2" t="s">
        <v>93</v>
      </c>
      <c r="M1810" s="2" t="s">
        <v>2578</v>
      </c>
      <c r="N1810" s="2" t="s">
        <v>30</v>
      </c>
      <c r="O1810" s="2" t="s">
        <v>36</v>
      </c>
      <c r="P1810" s="2" t="s">
        <v>2579</v>
      </c>
      <c r="Q1810" s="2">
        <v>366.74400000000003</v>
      </c>
      <c r="R1810" s="2">
        <v>4</v>
      </c>
      <c r="S1810" s="2">
        <v>-110.0232</v>
      </c>
      <c r="T1810" s="2" t="s">
        <v>83</v>
      </c>
      <c r="U1810" s="2" t="s">
        <v>161</v>
      </c>
    </row>
    <row r="1811" spans="1:21" ht="14.25" customHeight="1" x14ac:dyDescent="0.3">
      <c r="A1811" s="2" t="s">
        <v>4050</v>
      </c>
      <c r="B1811" s="5">
        <v>42402</v>
      </c>
      <c r="C1811" s="2" t="str">
        <f>TEXT(data[[#This Row],[Order Date]],"YYYY")</f>
        <v>2016</v>
      </c>
      <c r="D1811" s="2">
        <v>42408</v>
      </c>
      <c r="E1811" s="2" t="s">
        <v>39</v>
      </c>
      <c r="F1811" s="2" t="s">
        <v>1038</v>
      </c>
      <c r="G1811" s="2" t="s">
        <v>1039</v>
      </c>
      <c r="H1811" s="2" t="s">
        <v>90</v>
      </c>
      <c r="I1811" s="2" t="s">
        <v>25</v>
      </c>
      <c r="J1811" s="2" t="s">
        <v>101</v>
      </c>
      <c r="K1811" s="2" t="s">
        <v>92</v>
      </c>
      <c r="L1811" s="2" t="s">
        <v>93</v>
      </c>
      <c r="M1811" s="2" t="s">
        <v>920</v>
      </c>
      <c r="N1811" s="2" t="s">
        <v>30</v>
      </c>
      <c r="O1811" s="2" t="s">
        <v>56</v>
      </c>
      <c r="P1811" s="2" t="s">
        <v>921</v>
      </c>
      <c r="Q1811" s="2">
        <v>73.784000000000006</v>
      </c>
      <c r="R1811" s="2">
        <v>2</v>
      </c>
      <c r="S1811" s="2">
        <v>-77.473200000000006</v>
      </c>
      <c r="T1811" s="2" t="s">
        <v>129</v>
      </c>
      <c r="U1811" s="2" t="s">
        <v>297</v>
      </c>
    </row>
    <row r="1812" spans="1:21" ht="14.25" customHeight="1" x14ac:dyDescent="0.3">
      <c r="A1812" s="2" t="s">
        <v>4051</v>
      </c>
      <c r="B1812" s="5">
        <v>42890</v>
      </c>
      <c r="C1812" s="2" t="str">
        <f>TEXT(data[[#This Row],[Order Date]],"YYYY")</f>
        <v>2017</v>
      </c>
      <c r="D1812" s="2">
        <v>42893</v>
      </c>
      <c r="E1812" s="2" t="s">
        <v>21</v>
      </c>
      <c r="F1812" s="2" t="s">
        <v>4052</v>
      </c>
      <c r="G1812" s="2" t="s">
        <v>4053</v>
      </c>
      <c r="H1812" s="2" t="s">
        <v>24</v>
      </c>
      <c r="I1812" s="2" t="s">
        <v>25</v>
      </c>
      <c r="J1812" s="2" t="s">
        <v>4054</v>
      </c>
      <c r="K1812" s="2" t="s">
        <v>92</v>
      </c>
      <c r="L1812" s="2" t="s">
        <v>93</v>
      </c>
      <c r="M1812" s="2" t="s">
        <v>1834</v>
      </c>
      <c r="N1812" s="2" t="s">
        <v>30</v>
      </c>
      <c r="O1812" s="2" t="s">
        <v>56</v>
      </c>
      <c r="P1812" s="2" t="s">
        <v>1835</v>
      </c>
      <c r="Q1812" s="2">
        <v>30.335999999999999</v>
      </c>
      <c r="R1812" s="2">
        <v>6</v>
      </c>
      <c r="S1812" s="2">
        <v>-17.443200000000001</v>
      </c>
      <c r="T1812" s="2" t="s">
        <v>33</v>
      </c>
      <c r="U1812" s="2" t="s">
        <v>59</v>
      </c>
    </row>
    <row r="1813" spans="1:21" ht="14.25" customHeight="1" x14ac:dyDescent="0.3">
      <c r="A1813" s="2" t="s">
        <v>4055</v>
      </c>
      <c r="B1813" s="5">
        <v>43073</v>
      </c>
      <c r="C1813" s="2" t="str">
        <f>TEXT(data[[#This Row],[Order Date]],"YYYY")</f>
        <v>2017</v>
      </c>
      <c r="D1813" s="2">
        <v>43079</v>
      </c>
      <c r="E1813" s="2" t="s">
        <v>39</v>
      </c>
      <c r="F1813" s="2" t="s">
        <v>3712</v>
      </c>
      <c r="G1813" s="2" t="s">
        <v>3713</v>
      </c>
      <c r="H1813" s="2" t="s">
        <v>24</v>
      </c>
      <c r="I1813" s="2" t="s">
        <v>25</v>
      </c>
      <c r="J1813" s="2" t="s">
        <v>3563</v>
      </c>
      <c r="K1813" s="2" t="s">
        <v>362</v>
      </c>
      <c r="L1813" s="2" t="s">
        <v>67</v>
      </c>
      <c r="M1813" s="2" t="s">
        <v>3825</v>
      </c>
      <c r="N1813" s="2" t="s">
        <v>30</v>
      </c>
      <c r="O1813" s="2" t="s">
        <v>56</v>
      </c>
      <c r="P1813" s="2" t="s">
        <v>3826</v>
      </c>
      <c r="Q1813" s="2">
        <v>12.99</v>
      </c>
      <c r="R1813" s="2">
        <v>1</v>
      </c>
      <c r="S1813" s="2">
        <v>1.5588</v>
      </c>
      <c r="T1813" s="2" t="s">
        <v>129</v>
      </c>
      <c r="U1813" s="2" t="s">
        <v>96</v>
      </c>
    </row>
    <row r="1814" spans="1:21" ht="14.25" customHeight="1" x14ac:dyDescent="0.3">
      <c r="A1814" s="2" t="s">
        <v>4055</v>
      </c>
      <c r="B1814" s="5">
        <v>43073</v>
      </c>
      <c r="C1814" s="2" t="str">
        <f>TEXT(data[[#This Row],[Order Date]],"YYYY")</f>
        <v>2017</v>
      </c>
      <c r="D1814" s="2">
        <v>43079</v>
      </c>
      <c r="E1814" s="2" t="s">
        <v>39</v>
      </c>
      <c r="F1814" s="2" t="s">
        <v>3712</v>
      </c>
      <c r="G1814" s="2" t="s">
        <v>3713</v>
      </c>
      <c r="H1814" s="2" t="s">
        <v>24</v>
      </c>
      <c r="I1814" s="2" t="s">
        <v>25</v>
      </c>
      <c r="J1814" s="2" t="s">
        <v>3563</v>
      </c>
      <c r="K1814" s="2" t="s">
        <v>362</v>
      </c>
      <c r="L1814" s="2" t="s">
        <v>67</v>
      </c>
      <c r="M1814" s="2" t="s">
        <v>251</v>
      </c>
      <c r="N1814" s="2" t="s">
        <v>30</v>
      </c>
      <c r="O1814" s="2" t="s">
        <v>36</v>
      </c>
      <c r="P1814" s="2" t="s">
        <v>252</v>
      </c>
      <c r="Q1814" s="2">
        <v>182.22</v>
      </c>
      <c r="R1814" s="2">
        <v>3</v>
      </c>
      <c r="S1814" s="2">
        <v>45.555</v>
      </c>
      <c r="T1814" s="2" t="s">
        <v>129</v>
      </c>
      <c r="U1814" s="2" t="s">
        <v>96</v>
      </c>
    </row>
    <row r="1815" spans="1:21" ht="14.25" customHeight="1" x14ac:dyDescent="0.3">
      <c r="A1815" s="2" t="s">
        <v>4055</v>
      </c>
      <c r="B1815" s="5">
        <v>43073</v>
      </c>
      <c r="C1815" s="2" t="str">
        <f>TEXT(data[[#This Row],[Order Date]],"YYYY")</f>
        <v>2017</v>
      </c>
      <c r="D1815" s="2">
        <v>43079</v>
      </c>
      <c r="E1815" s="2" t="s">
        <v>39</v>
      </c>
      <c r="F1815" s="2" t="s">
        <v>3712</v>
      </c>
      <c r="G1815" s="2" t="s">
        <v>3713</v>
      </c>
      <c r="H1815" s="2" t="s">
        <v>24</v>
      </c>
      <c r="I1815" s="2" t="s">
        <v>25</v>
      </c>
      <c r="J1815" s="2" t="s">
        <v>3563</v>
      </c>
      <c r="K1815" s="2" t="s">
        <v>362</v>
      </c>
      <c r="L1815" s="2" t="s">
        <v>67</v>
      </c>
      <c r="M1815" s="2" t="s">
        <v>295</v>
      </c>
      <c r="N1815" s="2" t="s">
        <v>30</v>
      </c>
      <c r="O1815" s="2" t="s">
        <v>36</v>
      </c>
      <c r="P1815" s="2" t="s">
        <v>296</v>
      </c>
      <c r="Q1815" s="2">
        <v>302.94</v>
      </c>
      <c r="R1815" s="2">
        <v>3</v>
      </c>
      <c r="S1815" s="2">
        <v>18.176400000000001</v>
      </c>
      <c r="T1815" s="2" t="s">
        <v>129</v>
      </c>
      <c r="U1815" s="2" t="s">
        <v>96</v>
      </c>
    </row>
    <row r="1816" spans="1:21" ht="14.25" customHeight="1" x14ac:dyDescent="0.3">
      <c r="A1816" s="2" t="s">
        <v>4056</v>
      </c>
      <c r="B1816" s="5">
        <v>42380</v>
      </c>
      <c r="C1816" s="2" t="str">
        <f>TEXT(data[[#This Row],[Order Date]],"YYYY")</f>
        <v>2016</v>
      </c>
      <c r="D1816" s="2">
        <v>42384</v>
      </c>
      <c r="E1816" s="2" t="s">
        <v>39</v>
      </c>
      <c r="F1816" s="2" t="s">
        <v>258</v>
      </c>
      <c r="G1816" s="2" t="s">
        <v>259</v>
      </c>
      <c r="H1816" s="2" t="s">
        <v>100</v>
      </c>
      <c r="I1816" s="2" t="s">
        <v>25</v>
      </c>
      <c r="J1816" s="2" t="s">
        <v>347</v>
      </c>
      <c r="K1816" s="2" t="s">
        <v>231</v>
      </c>
      <c r="L1816" s="2" t="s">
        <v>67</v>
      </c>
      <c r="M1816" s="2" t="s">
        <v>1099</v>
      </c>
      <c r="N1816" s="2" t="s">
        <v>30</v>
      </c>
      <c r="O1816" s="2" t="s">
        <v>56</v>
      </c>
      <c r="P1816" s="2" t="s">
        <v>1100</v>
      </c>
      <c r="Q1816" s="2">
        <v>54.991999999999997</v>
      </c>
      <c r="R1816" s="2">
        <v>14</v>
      </c>
      <c r="S1816" s="2">
        <v>8.9361999999999995</v>
      </c>
      <c r="T1816" s="2" t="s">
        <v>83</v>
      </c>
      <c r="U1816" s="2" t="s">
        <v>169</v>
      </c>
    </row>
    <row r="1817" spans="1:21" ht="14.25" customHeight="1" x14ac:dyDescent="0.3">
      <c r="A1817" s="2" t="s">
        <v>4057</v>
      </c>
      <c r="B1817" s="5">
        <v>42810</v>
      </c>
      <c r="C1817" s="2" t="str">
        <f>TEXT(data[[#This Row],[Order Date]],"YYYY")</f>
        <v>2017</v>
      </c>
      <c r="D1817" s="2">
        <v>42810</v>
      </c>
      <c r="E1817" s="2" t="s">
        <v>425</v>
      </c>
      <c r="F1817" s="2" t="s">
        <v>3374</v>
      </c>
      <c r="G1817" s="2" t="s">
        <v>3375</v>
      </c>
      <c r="H1817" s="2" t="s">
        <v>24</v>
      </c>
      <c r="I1817" s="2" t="s">
        <v>25</v>
      </c>
      <c r="J1817" s="2" t="s">
        <v>347</v>
      </c>
      <c r="K1817" s="2" t="s">
        <v>231</v>
      </c>
      <c r="L1817" s="2" t="s">
        <v>67</v>
      </c>
      <c r="M1817" s="2" t="s">
        <v>2885</v>
      </c>
      <c r="N1817" s="2" t="s">
        <v>30</v>
      </c>
      <c r="O1817" s="2" t="s">
        <v>56</v>
      </c>
      <c r="P1817" s="2" t="s">
        <v>2886</v>
      </c>
      <c r="Q1817" s="2">
        <v>51.264000000000003</v>
      </c>
      <c r="R1817" s="2">
        <v>6</v>
      </c>
      <c r="S1817" s="2">
        <v>7.6896000000000004</v>
      </c>
      <c r="T1817" s="2" t="s">
        <v>430</v>
      </c>
      <c r="U1817" s="2" t="s">
        <v>195</v>
      </c>
    </row>
    <row r="1818" spans="1:21" ht="14.25" customHeight="1" x14ac:dyDescent="0.3">
      <c r="A1818" s="2" t="s">
        <v>4058</v>
      </c>
      <c r="B1818" s="5">
        <v>43049</v>
      </c>
      <c r="C1818" s="2" t="str">
        <f>TEXT(data[[#This Row],[Order Date]],"YYYY")</f>
        <v>2017</v>
      </c>
      <c r="D1818" s="2">
        <v>43056</v>
      </c>
      <c r="E1818" s="2" t="s">
        <v>39</v>
      </c>
      <c r="F1818" s="2" t="s">
        <v>1282</v>
      </c>
      <c r="G1818" s="2" t="s">
        <v>1283</v>
      </c>
      <c r="H1818" s="2" t="s">
        <v>100</v>
      </c>
      <c r="I1818" s="2" t="s">
        <v>25</v>
      </c>
      <c r="J1818" s="2" t="s">
        <v>52</v>
      </c>
      <c r="K1818" s="2" t="s">
        <v>53</v>
      </c>
      <c r="L1818" s="2" t="s">
        <v>54</v>
      </c>
      <c r="M1818" s="2" t="s">
        <v>1850</v>
      </c>
      <c r="N1818" s="2" t="s">
        <v>30</v>
      </c>
      <c r="O1818" s="2" t="s">
        <v>36</v>
      </c>
      <c r="P1818" s="2" t="s">
        <v>1851</v>
      </c>
      <c r="Q1818" s="2">
        <v>241.42400000000001</v>
      </c>
      <c r="R1818" s="2">
        <v>2</v>
      </c>
      <c r="S1818" s="2">
        <v>-36.2136</v>
      </c>
      <c r="T1818" s="2" t="s">
        <v>47</v>
      </c>
      <c r="U1818" s="2" t="s">
        <v>34</v>
      </c>
    </row>
    <row r="1819" spans="1:21" ht="14.25" customHeight="1" x14ac:dyDescent="0.3">
      <c r="A1819" s="2" t="s">
        <v>4059</v>
      </c>
      <c r="B1819" s="5">
        <v>42704</v>
      </c>
      <c r="C1819" s="2" t="str">
        <f>TEXT(data[[#This Row],[Order Date]],"YYYY")</f>
        <v>2016</v>
      </c>
      <c r="D1819" s="2">
        <v>42710</v>
      </c>
      <c r="E1819" s="2" t="s">
        <v>39</v>
      </c>
      <c r="F1819" s="2" t="s">
        <v>263</v>
      </c>
      <c r="G1819" s="2" t="s">
        <v>264</v>
      </c>
      <c r="H1819" s="2" t="s">
        <v>24</v>
      </c>
      <c r="I1819" s="2" t="s">
        <v>25</v>
      </c>
      <c r="J1819" s="2" t="s">
        <v>288</v>
      </c>
      <c r="K1819" s="2" t="s">
        <v>289</v>
      </c>
      <c r="L1819" s="2" t="s">
        <v>93</v>
      </c>
      <c r="M1819" s="2" t="s">
        <v>142</v>
      </c>
      <c r="N1819" s="2" t="s">
        <v>30</v>
      </c>
      <c r="O1819" s="2" t="s">
        <v>36</v>
      </c>
      <c r="P1819" s="2" t="s">
        <v>143</v>
      </c>
      <c r="Q1819" s="2">
        <v>389.97</v>
      </c>
      <c r="R1819" s="2">
        <v>3</v>
      </c>
      <c r="S1819" s="2">
        <v>35.097299999999997</v>
      </c>
      <c r="T1819" s="2" t="s">
        <v>129</v>
      </c>
      <c r="U1819" s="2" t="s">
        <v>34</v>
      </c>
    </row>
    <row r="1820" spans="1:21" ht="14.25" customHeight="1" x14ac:dyDescent="0.3">
      <c r="A1820" s="2" t="s">
        <v>4060</v>
      </c>
      <c r="B1820" s="5">
        <v>42360</v>
      </c>
      <c r="C1820" s="2" t="str">
        <f>TEXT(data[[#This Row],[Order Date]],"YYYY")</f>
        <v>2015</v>
      </c>
      <c r="D1820" s="2">
        <v>42361</v>
      </c>
      <c r="E1820" s="2" t="s">
        <v>87</v>
      </c>
      <c r="F1820" s="2" t="s">
        <v>2031</v>
      </c>
      <c r="G1820" s="2" t="s">
        <v>2032</v>
      </c>
      <c r="H1820" s="2" t="s">
        <v>90</v>
      </c>
      <c r="I1820" s="2" t="s">
        <v>25</v>
      </c>
      <c r="J1820" s="2" t="s">
        <v>65</v>
      </c>
      <c r="K1820" s="2" t="s">
        <v>66</v>
      </c>
      <c r="L1820" s="2" t="s">
        <v>67</v>
      </c>
      <c r="M1820" s="2" t="s">
        <v>1090</v>
      </c>
      <c r="N1820" s="2" t="s">
        <v>30</v>
      </c>
      <c r="O1820" s="2" t="s">
        <v>36</v>
      </c>
      <c r="P1820" s="2" t="s">
        <v>1091</v>
      </c>
      <c r="Q1820" s="2">
        <v>422.625</v>
      </c>
      <c r="R1820" s="2">
        <v>7</v>
      </c>
      <c r="S1820" s="2">
        <v>0</v>
      </c>
      <c r="T1820" s="2" t="s">
        <v>123</v>
      </c>
      <c r="U1820" s="2" t="s">
        <v>96</v>
      </c>
    </row>
    <row r="1821" spans="1:21" ht="14.25" customHeight="1" x14ac:dyDescent="0.3">
      <c r="A1821" s="2" t="s">
        <v>4061</v>
      </c>
      <c r="B1821" s="5">
        <v>42456</v>
      </c>
      <c r="C1821" s="2" t="str">
        <f>TEXT(data[[#This Row],[Order Date]],"YYYY")</f>
        <v>2016</v>
      </c>
      <c r="D1821" s="2">
        <v>42460</v>
      </c>
      <c r="E1821" s="2" t="s">
        <v>39</v>
      </c>
      <c r="F1821" s="2" t="s">
        <v>286</v>
      </c>
      <c r="G1821" s="2" t="s">
        <v>287</v>
      </c>
      <c r="H1821" s="2" t="s">
        <v>90</v>
      </c>
      <c r="I1821" s="2" t="s">
        <v>25</v>
      </c>
      <c r="J1821" s="2" t="s">
        <v>347</v>
      </c>
      <c r="K1821" s="2" t="s">
        <v>667</v>
      </c>
      <c r="L1821" s="2" t="s">
        <v>28</v>
      </c>
      <c r="M1821" s="2" t="s">
        <v>2795</v>
      </c>
      <c r="N1821" s="2" t="s">
        <v>30</v>
      </c>
      <c r="O1821" s="2" t="s">
        <v>56</v>
      </c>
      <c r="P1821" s="2" t="s">
        <v>2796</v>
      </c>
      <c r="Q1821" s="2">
        <v>20.239999999999998</v>
      </c>
      <c r="R1821" s="2">
        <v>1</v>
      </c>
      <c r="S1821" s="2">
        <v>8.7032000000000007</v>
      </c>
      <c r="T1821" s="2" t="s">
        <v>83</v>
      </c>
      <c r="U1821" s="2" t="s">
        <v>195</v>
      </c>
    </row>
    <row r="1822" spans="1:21" ht="14.25" customHeight="1" x14ac:dyDescent="0.3">
      <c r="A1822" s="2" t="s">
        <v>4061</v>
      </c>
      <c r="B1822" s="5">
        <v>42456</v>
      </c>
      <c r="C1822" s="2" t="str">
        <f>TEXT(data[[#This Row],[Order Date]],"YYYY")</f>
        <v>2016</v>
      </c>
      <c r="D1822" s="2">
        <v>42460</v>
      </c>
      <c r="E1822" s="2" t="s">
        <v>39</v>
      </c>
      <c r="F1822" s="2" t="s">
        <v>286</v>
      </c>
      <c r="G1822" s="2" t="s">
        <v>287</v>
      </c>
      <c r="H1822" s="2" t="s">
        <v>90</v>
      </c>
      <c r="I1822" s="2" t="s">
        <v>25</v>
      </c>
      <c r="J1822" s="2" t="s">
        <v>347</v>
      </c>
      <c r="K1822" s="2" t="s">
        <v>667</v>
      </c>
      <c r="L1822" s="2" t="s">
        <v>28</v>
      </c>
      <c r="M1822" s="2" t="s">
        <v>2659</v>
      </c>
      <c r="N1822" s="2" t="s">
        <v>30</v>
      </c>
      <c r="O1822" s="2" t="s">
        <v>56</v>
      </c>
      <c r="P1822" s="2" t="s">
        <v>2660</v>
      </c>
      <c r="Q1822" s="2">
        <v>39.92</v>
      </c>
      <c r="R1822" s="2">
        <v>4</v>
      </c>
      <c r="S1822" s="2">
        <v>11.1776</v>
      </c>
      <c r="T1822" s="2" t="s">
        <v>83</v>
      </c>
      <c r="U1822" s="2" t="s">
        <v>195</v>
      </c>
    </row>
    <row r="1823" spans="1:21" ht="14.25" customHeight="1" x14ac:dyDescent="0.3">
      <c r="A1823" s="2" t="s">
        <v>4062</v>
      </c>
      <c r="B1823" s="5">
        <v>42258</v>
      </c>
      <c r="C1823" s="2" t="str">
        <f>TEXT(data[[#This Row],[Order Date]],"YYYY")</f>
        <v>2015</v>
      </c>
      <c r="D1823" s="2">
        <v>42259</v>
      </c>
      <c r="E1823" s="2" t="s">
        <v>87</v>
      </c>
      <c r="F1823" s="2" t="s">
        <v>1080</v>
      </c>
      <c r="G1823" s="2" t="s">
        <v>1081</v>
      </c>
      <c r="H1823" s="2" t="s">
        <v>90</v>
      </c>
      <c r="I1823" s="2" t="s">
        <v>25</v>
      </c>
      <c r="J1823" s="2" t="s">
        <v>179</v>
      </c>
      <c r="K1823" s="2" t="s">
        <v>180</v>
      </c>
      <c r="L1823" s="2" t="s">
        <v>54</v>
      </c>
      <c r="M1823" s="2" t="s">
        <v>553</v>
      </c>
      <c r="N1823" s="2" t="s">
        <v>30</v>
      </c>
      <c r="O1823" s="2" t="s">
        <v>56</v>
      </c>
      <c r="P1823" s="2" t="s">
        <v>554</v>
      </c>
      <c r="Q1823" s="2">
        <v>24.64</v>
      </c>
      <c r="R1823" s="2">
        <v>4</v>
      </c>
      <c r="S1823" s="2">
        <v>4.0039999999999996</v>
      </c>
      <c r="T1823" s="2" t="s">
        <v>123</v>
      </c>
      <c r="U1823" s="2" t="s">
        <v>77</v>
      </c>
    </row>
    <row r="1824" spans="1:21" ht="14.25" customHeight="1" x14ac:dyDescent="0.3">
      <c r="A1824" s="2" t="s">
        <v>4063</v>
      </c>
      <c r="B1824" s="5">
        <v>42713</v>
      </c>
      <c r="C1824" s="2" t="str">
        <f>TEXT(data[[#This Row],[Order Date]],"YYYY")</f>
        <v>2016</v>
      </c>
      <c r="D1824" s="2">
        <v>42715</v>
      </c>
      <c r="E1824" s="2" t="s">
        <v>87</v>
      </c>
      <c r="F1824" s="2" t="s">
        <v>3530</v>
      </c>
      <c r="G1824" s="2" t="s">
        <v>3531</v>
      </c>
      <c r="H1824" s="2" t="s">
        <v>24</v>
      </c>
      <c r="I1824" s="2" t="s">
        <v>25</v>
      </c>
      <c r="J1824" s="2" t="s">
        <v>878</v>
      </c>
      <c r="K1824" s="2" t="s">
        <v>716</v>
      </c>
      <c r="L1824" s="2" t="s">
        <v>28</v>
      </c>
      <c r="M1824" s="2" t="s">
        <v>1284</v>
      </c>
      <c r="N1824" s="2" t="s">
        <v>30</v>
      </c>
      <c r="O1824" s="2" t="s">
        <v>45</v>
      </c>
      <c r="P1824" s="2" t="s">
        <v>1285</v>
      </c>
      <c r="Q1824" s="2">
        <v>1056.8599999999999</v>
      </c>
      <c r="R1824" s="2">
        <v>7</v>
      </c>
      <c r="S1824" s="2">
        <v>158.529</v>
      </c>
      <c r="T1824" s="2" t="s">
        <v>70</v>
      </c>
      <c r="U1824" s="2" t="s">
        <v>96</v>
      </c>
    </row>
    <row r="1825" spans="1:21" ht="14.25" customHeight="1" x14ac:dyDescent="0.3">
      <c r="A1825" s="2" t="s">
        <v>4064</v>
      </c>
      <c r="B1825" s="5">
        <v>42727</v>
      </c>
      <c r="C1825" s="2" t="str">
        <f>TEXT(data[[#This Row],[Order Date]],"YYYY")</f>
        <v>2016</v>
      </c>
      <c r="D1825" s="2">
        <v>42730</v>
      </c>
      <c r="E1825" s="2" t="s">
        <v>21</v>
      </c>
      <c r="F1825" s="2" t="s">
        <v>984</v>
      </c>
      <c r="G1825" s="2" t="s">
        <v>985</v>
      </c>
      <c r="H1825" s="2" t="s">
        <v>90</v>
      </c>
      <c r="I1825" s="2" t="s">
        <v>25</v>
      </c>
      <c r="J1825" s="2" t="s">
        <v>101</v>
      </c>
      <c r="K1825" s="2" t="s">
        <v>92</v>
      </c>
      <c r="L1825" s="2" t="s">
        <v>93</v>
      </c>
      <c r="M1825" s="2" t="s">
        <v>500</v>
      </c>
      <c r="N1825" s="2" t="s">
        <v>30</v>
      </c>
      <c r="O1825" s="2" t="s">
        <v>56</v>
      </c>
      <c r="P1825" s="2" t="s">
        <v>501</v>
      </c>
      <c r="Q1825" s="2">
        <v>2.3279999999999998</v>
      </c>
      <c r="R1825" s="2">
        <v>2</v>
      </c>
      <c r="S1825" s="2">
        <v>-0.75660000000000005</v>
      </c>
      <c r="T1825" s="2" t="s">
        <v>33</v>
      </c>
      <c r="U1825" s="2" t="s">
        <v>96</v>
      </c>
    </row>
    <row r="1826" spans="1:21" ht="14.25" customHeight="1" x14ac:dyDescent="0.3">
      <c r="A1826" s="2" t="s">
        <v>4065</v>
      </c>
      <c r="B1826" s="5">
        <v>42462</v>
      </c>
      <c r="C1826" s="2" t="str">
        <f>TEXT(data[[#This Row],[Order Date]],"YYYY")</f>
        <v>2016</v>
      </c>
      <c r="D1826" s="2">
        <v>42466</v>
      </c>
      <c r="E1826" s="2" t="s">
        <v>21</v>
      </c>
      <c r="F1826" s="2" t="s">
        <v>664</v>
      </c>
      <c r="G1826" s="2" t="s">
        <v>665</v>
      </c>
      <c r="H1826" s="2" t="s">
        <v>90</v>
      </c>
      <c r="I1826" s="2" t="s">
        <v>25</v>
      </c>
      <c r="J1826" s="2" t="s">
        <v>905</v>
      </c>
      <c r="K1826" s="2" t="s">
        <v>238</v>
      </c>
      <c r="L1826" s="2" t="s">
        <v>93</v>
      </c>
      <c r="M1826" s="2" t="s">
        <v>1306</v>
      </c>
      <c r="N1826" s="2" t="s">
        <v>30</v>
      </c>
      <c r="O1826" s="2" t="s">
        <v>36</v>
      </c>
      <c r="P1826" s="2" t="s">
        <v>1307</v>
      </c>
      <c r="Q1826" s="2">
        <v>1454.9</v>
      </c>
      <c r="R1826" s="2">
        <v>5</v>
      </c>
      <c r="S1826" s="2">
        <v>378.274</v>
      </c>
      <c r="T1826" s="2" t="s">
        <v>83</v>
      </c>
      <c r="U1826" s="2" t="s">
        <v>113</v>
      </c>
    </row>
    <row r="1827" spans="1:21" ht="14.25" customHeight="1" x14ac:dyDescent="0.3">
      <c r="A1827" s="2" t="s">
        <v>4066</v>
      </c>
      <c r="B1827" s="5">
        <v>42855</v>
      </c>
      <c r="C1827" s="2" t="str">
        <f>TEXT(data[[#This Row],[Order Date]],"YYYY")</f>
        <v>2017</v>
      </c>
      <c r="D1827" s="2">
        <v>42859</v>
      </c>
      <c r="E1827" s="2" t="s">
        <v>39</v>
      </c>
      <c r="F1827" s="2" t="s">
        <v>1144</v>
      </c>
      <c r="G1827" s="2" t="s">
        <v>1145</v>
      </c>
      <c r="H1827" s="2" t="s">
        <v>100</v>
      </c>
      <c r="I1827" s="2" t="s">
        <v>25</v>
      </c>
      <c r="J1827" s="2" t="s">
        <v>4067</v>
      </c>
      <c r="K1827" s="2" t="s">
        <v>43</v>
      </c>
      <c r="L1827" s="2" t="s">
        <v>28</v>
      </c>
      <c r="M1827" s="2" t="s">
        <v>3288</v>
      </c>
      <c r="N1827" s="2" t="s">
        <v>30</v>
      </c>
      <c r="O1827" s="2" t="s">
        <v>56</v>
      </c>
      <c r="P1827" s="2" t="s">
        <v>3289</v>
      </c>
      <c r="Q1827" s="2">
        <v>220.70400000000001</v>
      </c>
      <c r="R1827" s="2">
        <v>6</v>
      </c>
      <c r="S1827" s="2">
        <v>-8.2764000000000006</v>
      </c>
      <c r="T1827" s="2" t="s">
        <v>83</v>
      </c>
      <c r="U1827" s="2" t="s">
        <v>113</v>
      </c>
    </row>
    <row r="1828" spans="1:21" ht="14.25" customHeight="1" x14ac:dyDescent="0.3">
      <c r="A1828" s="2" t="s">
        <v>4068</v>
      </c>
      <c r="B1828" s="5">
        <v>42919</v>
      </c>
      <c r="C1828" s="2" t="str">
        <f>TEXT(data[[#This Row],[Order Date]],"YYYY")</f>
        <v>2017</v>
      </c>
      <c r="D1828" s="2">
        <v>42920</v>
      </c>
      <c r="E1828" s="2" t="s">
        <v>87</v>
      </c>
      <c r="F1828" s="2" t="s">
        <v>2384</v>
      </c>
      <c r="G1828" s="2" t="s">
        <v>2385</v>
      </c>
      <c r="H1828" s="2" t="s">
        <v>24</v>
      </c>
      <c r="I1828" s="2" t="s">
        <v>25</v>
      </c>
      <c r="J1828" s="2" t="s">
        <v>509</v>
      </c>
      <c r="K1828" s="2" t="s">
        <v>884</v>
      </c>
      <c r="L1828" s="2" t="s">
        <v>67</v>
      </c>
      <c r="M1828" s="2" t="s">
        <v>935</v>
      </c>
      <c r="N1828" s="2" t="s">
        <v>30</v>
      </c>
      <c r="O1828" s="2" t="s">
        <v>56</v>
      </c>
      <c r="P1828" s="2" t="s">
        <v>936</v>
      </c>
      <c r="Q1828" s="2">
        <v>102.3</v>
      </c>
      <c r="R1828" s="2">
        <v>1</v>
      </c>
      <c r="S1828" s="2">
        <v>26.597999999999999</v>
      </c>
      <c r="T1828" s="2" t="s">
        <v>123</v>
      </c>
      <c r="U1828" s="2" t="s">
        <v>71</v>
      </c>
    </row>
    <row r="1829" spans="1:21" ht="14.25" customHeight="1" x14ac:dyDescent="0.3">
      <c r="A1829" s="2" t="s">
        <v>4069</v>
      </c>
      <c r="B1829" s="5">
        <v>43091</v>
      </c>
      <c r="C1829" s="2" t="str">
        <f>TEXT(data[[#This Row],[Order Date]],"YYYY")</f>
        <v>2017</v>
      </c>
      <c r="D1829" s="2">
        <v>43095</v>
      </c>
      <c r="E1829" s="2" t="s">
        <v>39</v>
      </c>
      <c r="F1829" s="2" t="s">
        <v>1634</v>
      </c>
      <c r="G1829" s="2" t="s">
        <v>1635</v>
      </c>
      <c r="H1829" s="2" t="s">
        <v>24</v>
      </c>
      <c r="I1829" s="2" t="s">
        <v>25</v>
      </c>
      <c r="J1829" s="2" t="s">
        <v>894</v>
      </c>
      <c r="K1829" s="2" t="s">
        <v>166</v>
      </c>
      <c r="L1829" s="2" t="s">
        <v>93</v>
      </c>
      <c r="M1829" s="2" t="s">
        <v>435</v>
      </c>
      <c r="N1829" s="2" t="s">
        <v>30</v>
      </c>
      <c r="O1829" s="2" t="s">
        <v>45</v>
      </c>
      <c r="P1829" s="2" t="s">
        <v>436</v>
      </c>
      <c r="Q1829" s="2">
        <v>607.52</v>
      </c>
      <c r="R1829" s="2">
        <v>2</v>
      </c>
      <c r="S1829" s="2">
        <v>97.203199999999995</v>
      </c>
      <c r="T1829" s="2" t="s">
        <v>83</v>
      </c>
      <c r="U1829" s="2" t="s">
        <v>96</v>
      </c>
    </row>
    <row r="1830" spans="1:21" ht="14.25" customHeight="1" x14ac:dyDescent="0.3">
      <c r="A1830" s="2" t="s">
        <v>4070</v>
      </c>
      <c r="B1830" s="5">
        <v>41779</v>
      </c>
      <c r="C1830" s="2" t="str">
        <f>TEXT(data[[#This Row],[Order Date]],"YYYY")</f>
        <v>2014</v>
      </c>
      <c r="D1830" s="2">
        <v>41781</v>
      </c>
      <c r="E1830" s="2" t="s">
        <v>21</v>
      </c>
      <c r="F1830" s="2" t="s">
        <v>1997</v>
      </c>
      <c r="G1830" s="2" t="s">
        <v>1998</v>
      </c>
      <c r="H1830" s="2" t="s">
        <v>90</v>
      </c>
      <c r="I1830" s="2" t="s">
        <v>25</v>
      </c>
      <c r="J1830" s="2" t="s">
        <v>4071</v>
      </c>
      <c r="K1830" s="2" t="s">
        <v>92</v>
      </c>
      <c r="L1830" s="2" t="s">
        <v>93</v>
      </c>
      <c r="M1830" s="2" t="s">
        <v>3438</v>
      </c>
      <c r="N1830" s="2" t="s">
        <v>30</v>
      </c>
      <c r="O1830" s="2" t="s">
        <v>56</v>
      </c>
      <c r="P1830" s="2" t="s">
        <v>3439</v>
      </c>
      <c r="Q1830" s="2">
        <v>10.332000000000001</v>
      </c>
      <c r="R1830" s="2">
        <v>3</v>
      </c>
      <c r="S1830" s="2">
        <v>-5.9409000000000001</v>
      </c>
      <c r="T1830" s="2" t="s">
        <v>70</v>
      </c>
      <c r="U1830" s="2" t="s">
        <v>161</v>
      </c>
    </row>
    <row r="1831" spans="1:21" ht="14.25" customHeight="1" x14ac:dyDescent="0.3">
      <c r="A1831" s="2" t="s">
        <v>4072</v>
      </c>
      <c r="B1831" s="5">
        <v>42848</v>
      </c>
      <c r="C1831" s="2" t="str">
        <f>TEXT(data[[#This Row],[Order Date]],"YYYY")</f>
        <v>2017</v>
      </c>
      <c r="D1831" s="2">
        <v>42851</v>
      </c>
      <c r="E1831" s="2" t="s">
        <v>87</v>
      </c>
      <c r="F1831" s="2" t="s">
        <v>40</v>
      </c>
      <c r="G1831" s="2" t="s">
        <v>41</v>
      </c>
      <c r="H1831" s="2" t="s">
        <v>24</v>
      </c>
      <c r="I1831" s="2" t="s">
        <v>25</v>
      </c>
      <c r="J1831" s="2" t="s">
        <v>4073</v>
      </c>
      <c r="K1831" s="2" t="s">
        <v>180</v>
      </c>
      <c r="L1831" s="2" t="s">
        <v>54</v>
      </c>
      <c r="M1831" s="2" t="s">
        <v>3043</v>
      </c>
      <c r="N1831" s="2" t="s">
        <v>30</v>
      </c>
      <c r="O1831" s="2" t="s">
        <v>56</v>
      </c>
      <c r="P1831" s="2" t="s">
        <v>3044</v>
      </c>
      <c r="Q1831" s="2">
        <v>11.664</v>
      </c>
      <c r="R1831" s="2">
        <v>3</v>
      </c>
      <c r="S1831" s="2">
        <v>3.3534000000000002</v>
      </c>
      <c r="T1831" s="2" t="s">
        <v>33</v>
      </c>
      <c r="U1831" s="2" t="s">
        <v>113</v>
      </c>
    </row>
    <row r="1832" spans="1:21" ht="14.25" customHeight="1" x14ac:dyDescent="0.3">
      <c r="A1832" s="2" t="s">
        <v>4074</v>
      </c>
      <c r="B1832" s="5">
        <v>41794</v>
      </c>
      <c r="C1832" s="2" t="str">
        <f>TEXT(data[[#This Row],[Order Date]],"YYYY")</f>
        <v>2014</v>
      </c>
      <c r="D1832" s="2">
        <v>41799</v>
      </c>
      <c r="E1832" s="2" t="s">
        <v>39</v>
      </c>
      <c r="F1832" s="2" t="s">
        <v>1772</v>
      </c>
      <c r="G1832" s="2" t="s">
        <v>1773</v>
      </c>
      <c r="H1832" s="2" t="s">
        <v>24</v>
      </c>
      <c r="I1832" s="2" t="s">
        <v>25</v>
      </c>
      <c r="J1832" s="2" t="s">
        <v>173</v>
      </c>
      <c r="K1832" s="2" t="s">
        <v>120</v>
      </c>
      <c r="L1832" s="2" t="s">
        <v>67</v>
      </c>
      <c r="M1832" s="2" t="s">
        <v>1518</v>
      </c>
      <c r="N1832" s="2" t="s">
        <v>30</v>
      </c>
      <c r="O1832" s="2" t="s">
        <v>56</v>
      </c>
      <c r="P1832" s="2" t="s">
        <v>1519</v>
      </c>
      <c r="Q1832" s="2">
        <v>56.96</v>
      </c>
      <c r="R1832" s="2">
        <v>2</v>
      </c>
      <c r="S1832" s="2">
        <v>21.075199999999999</v>
      </c>
      <c r="T1832" s="2" t="s">
        <v>58</v>
      </c>
      <c r="U1832" s="2" t="s">
        <v>59</v>
      </c>
    </row>
    <row r="1833" spans="1:21" ht="14.25" customHeight="1" x14ac:dyDescent="0.3">
      <c r="A1833" s="2" t="s">
        <v>4074</v>
      </c>
      <c r="B1833" s="5">
        <v>41794</v>
      </c>
      <c r="C1833" s="2" t="str">
        <f>TEXT(data[[#This Row],[Order Date]],"YYYY")</f>
        <v>2014</v>
      </c>
      <c r="D1833" s="2">
        <v>41799</v>
      </c>
      <c r="E1833" s="2" t="s">
        <v>39</v>
      </c>
      <c r="F1833" s="2" t="s">
        <v>1772</v>
      </c>
      <c r="G1833" s="2" t="s">
        <v>1773</v>
      </c>
      <c r="H1833" s="2" t="s">
        <v>24</v>
      </c>
      <c r="I1833" s="2" t="s">
        <v>25</v>
      </c>
      <c r="J1833" s="2" t="s">
        <v>173</v>
      </c>
      <c r="K1833" s="2" t="s">
        <v>120</v>
      </c>
      <c r="L1833" s="2" t="s">
        <v>67</v>
      </c>
      <c r="M1833" s="2" t="s">
        <v>736</v>
      </c>
      <c r="N1833" s="2" t="s">
        <v>30</v>
      </c>
      <c r="O1833" s="2" t="s">
        <v>31</v>
      </c>
      <c r="P1833" s="2" t="s">
        <v>737</v>
      </c>
      <c r="Q1833" s="2">
        <v>353.56799999999998</v>
      </c>
      <c r="R1833" s="2">
        <v>2</v>
      </c>
      <c r="S1833" s="2">
        <v>-44.195999999999998</v>
      </c>
      <c r="T1833" s="2" t="s">
        <v>58</v>
      </c>
      <c r="U1833" s="2" t="s">
        <v>59</v>
      </c>
    </row>
    <row r="1834" spans="1:21" ht="14.25" customHeight="1" x14ac:dyDescent="0.3">
      <c r="A1834" s="2" t="s">
        <v>4074</v>
      </c>
      <c r="B1834" s="5">
        <v>41794</v>
      </c>
      <c r="C1834" s="2" t="str">
        <f>TEXT(data[[#This Row],[Order Date]],"YYYY")</f>
        <v>2014</v>
      </c>
      <c r="D1834" s="2">
        <v>41799</v>
      </c>
      <c r="E1834" s="2" t="s">
        <v>39</v>
      </c>
      <c r="F1834" s="2" t="s">
        <v>1772</v>
      </c>
      <c r="G1834" s="2" t="s">
        <v>1773</v>
      </c>
      <c r="H1834" s="2" t="s">
        <v>24</v>
      </c>
      <c r="I1834" s="2" t="s">
        <v>25</v>
      </c>
      <c r="J1834" s="2" t="s">
        <v>173</v>
      </c>
      <c r="K1834" s="2" t="s">
        <v>120</v>
      </c>
      <c r="L1834" s="2" t="s">
        <v>67</v>
      </c>
      <c r="M1834" s="2" t="s">
        <v>977</v>
      </c>
      <c r="N1834" s="2" t="s">
        <v>30</v>
      </c>
      <c r="O1834" s="2" t="s">
        <v>56</v>
      </c>
      <c r="P1834" s="2" t="s">
        <v>978</v>
      </c>
      <c r="Q1834" s="2">
        <v>13.96</v>
      </c>
      <c r="R1834" s="2">
        <v>2</v>
      </c>
      <c r="S1834" s="2">
        <v>6.7008000000000001</v>
      </c>
      <c r="T1834" s="2" t="s">
        <v>58</v>
      </c>
      <c r="U1834" s="2" t="s">
        <v>59</v>
      </c>
    </row>
    <row r="1835" spans="1:21" ht="14.25" customHeight="1" x14ac:dyDescent="0.3">
      <c r="A1835" s="2" t="s">
        <v>4075</v>
      </c>
      <c r="B1835" s="5">
        <v>42797</v>
      </c>
      <c r="C1835" s="2" t="str">
        <f>TEXT(data[[#This Row],[Order Date]],"YYYY")</f>
        <v>2017</v>
      </c>
      <c r="D1835" s="2">
        <v>42802</v>
      </c>
      <c r="E1835" s="2" t="s">
        <v>39</v>
      </c>
      <c r="F1835" s="2" t="s">
        <v>1026</v>
      </c>
      <c r="G1835" s="2" t="s">
        <v>1027</v>
      </c>
      <c r="H1835" s="2" t="s">
        <v>90</v>
      </c>
      <c r="I1835" s="2" t="s">
        <v>25</v>
      </c>
      <c r="J1835" s="2" t="s">
        <v>52</v>
      </c>
      <c r="K1835" s="2" t="s">
        <v>53</v>
      </c>
      <c r="L1835" s="2" t="s">
        <v>54</v>
      </c>
      <c r="M1835" s="2" t="s">
        <v>907</v>
      </c>
      <c r="N1835" s="2" t="s">
        <v>30</v>
      </c>
      <c r="O1835" s="2" t="s">
        <v>45</v>
      </c>
      <c r="P1835" s="2" t="s">
        <v>908</v>
      </c>
      <c r="Q1835" s="2">
        <v>399.67200000000003</v>
      </c>
      <c r="R1835" s="2">
        <v>7</v>
      </c>
      <c r="S1835" s="2">
        <v>-14.9877</v>
      </c>
      <c r="T1835" s="2" t="s">
        <v>58</v>
      </c>
      <c r="U1835" s="2" t="s">
        <v>195</v>
      </c>
    </row>
    <row r="1836" spans="1:21" ht="14.25" customHeight="1" x14ac:dyDescent="0.3">
      <c r="A1836" s="2" t="s">
        <v>4076</v>
      </c>
      <c r="B1836" s="5">
        <v>43045</v>
      </c>
      <c r="C1836" s="2" t="str">
        <f>TEXT(data[[#This Row],[Order Date]],"YYYY")</f>
        <v>2017</v>
      </c>
      <c r="D1836" s="2">
        <v>43048</v>
      </c>
      <c r="E1836" s="2" t="s">
        <v>21</v>
      </c>
      <c r="F1836" s="2" t="s">
        <v>2415</v>
      </c>
      <c r="G1836" s="2" t="s">
        <v>2416</v>
      </c>
      <c r="H1836" s="2" t="s">
        <v>24</v>
      </c>
      <c r="I1836" s="2" t="s">
        <v>25</v>
      </c>
      <c r="J1836" s="2" t="s">
        <v>1739</v>
      </c>
      <c r="K1836" s="2" t="s">
        <v>92</v>
      </c>
      <c r="L1836" s="2" t="s">
        <v>93</v>
      </c>
      <c r="M1836" s="2" t="s">
        <v>870</v>
      </c>
      <c r="N1836" s="2" t="s">
        <v>30</v>
      </c>
      <c r="O1836" s="2" t="s">
        <v>56</v>
      </c>
      <c r="P1836" s="2" t="s">
        <v>871</v>
      </c>
      <c r="Q1836" s="2">
        <v>30.56</v>
      </c>
      <c r="R1836" s="2">
        <v>5</v>
      </c>
      <c r="S1836" s="2">
        <v>-19.864000000000001</v>
      </c>
      <c r="T1836" s="2" t="s">
        <v>33</v>
      </c>
      <c r="U1836" s="2" t="s">
        <v>34</v>
      </c>
    </row>
    <row r="1837" spans="1:21" ht="14.25" customHeight="1" x14ac:dyDescent="0.3">
      <c r="A1837" s="2" t="s">
        <v>4077</v>
      </c>
      <c r="B1837" s="5">
        <v>42254</v>
      </c>
      <c r="C1837" s="2" t="str">
        <f>TEXT(data[[#This Row],[Order Date]],"YYYY")</f>
        <v>2015</v>
      </c>
      <c r="D1837" s="2">
        <v>42259</v>
      </c>
      <c r="E1837" s="2" t="s">
        <v>39</v>
      </c>
      <c r="F1837" s="2" t="s">
        <v>4078</v>
      </c>
      <c r="G1837" s="2" t="s">
        <v>4079</v>
      </c>
      <c r="H1837" s="2" t="s">
        <v>90</v>
      </c>
      <c r="I1837" s="2" t="s">
        <v>25</v>
      </c>
      <c r="J1837" s="2" t="s">
        <v>173</v>
      </c>
      <c r="K1837" s="2" t="s">
        <v>120</v>
      </c>
      <c r="L1837" s="2" t="s">
        <v>67</v>
      </c>
      <c r="M1837" s="2" t="s">
        <v>1991</v>
      </c>
      <c r="N1837" s="2" t="s">
        <v>30</v>
      </c>
      <c r="O1837" s="2" t="s">
        <v>45</v>
      </c>
      <c r="P1837" s="2" t="s">
        <v>1992</v>
      </c>
      <c r="Q1837" s="2">
        <v>481.17599999999999</v>
      </c>
      <c r="R1837" s="2">
        <v>2</v>
      </c>
      <c r="S1837" s="2">
        <v>-120.294</v>
      </c>
      <c r="T1837" s="2" t="s">
        <v>58</v>
      </c>
      <c r="U1837" s="2" t="s">
        <v>77</v>
      </c>
    </row>
    <row r="1838" spans="1:21" ht="14.25" customHeight="1" x14ac:dyDescent="0.3">
      <c r="A1838" s="2" t="s">
        <v>4080</v>
      </c>
      <c r="B1838" s="5">
        <v>42579</v>
      </c>
      <c r="C1838" s="2" t="str">
        <f>TEXT(data[[#This Row],[Order Date]],"YYYY")</f>
        <v>2016</v>
      </c>
      <c r="D1838" s="2">
        <v>42580</v>
      </c>
      <c r="E1838" s="2" t="s">
        <v>87</v>
      </c>
      <c r="F1838" s="2" t="s">
        <v>610</v>
      </c>
      <c r="G1838" s="2" t="s">
        <v>611</v>
      </c>
      <c r="H1838" s="2" t="s">
        <v>24</v>
      </c>
      <c r="I1838" s="2" t="s">
        <v>25</v>
      </c>
      <c r="J1838" s="2" t="s">
        <v>3101</v>
      </c>
      <c r="K1838" s="2" t="s">
        <v>66</v>
      </c>
      <c r="L1838" s="2" t="s">
        <v>67</v>
      </c>
      <c r="M1838" s="2" t="s">
        <v>810</v>
      </c>
      <c r="N1838" s="2" t="s">
        <v>30</v>
      </c>
      <c r="O1838" s="2" t="s">
        <v>31</v>
      </c>
      <c r="P1838" s="2" t="s">
        <v>811</v>
      </c>
      <c r="Q1838" s="2">
        <v>177.45</v>
      </c>
      <c r="R1838" s="2">
        <v>5</v>
      </c>
      <c r="S1838" s="2">
        <v>-78.078000000000003</v>
      </c>
      <c r="T1838" s="2" t="s">
        <v>123</v>
      </c>
      <c r="U1838" s="2" t="s">
        <v>71</v>
      </c>
    </row>
    <row r="1839" spans="1:21" ht="14.25" customHeight="1" x14ac:dyDescent="0.3">
      <c r="A1839" s="2" t="s">
        <v>4081</v>
      </c>
      <c r="B1839" s="5">
        <v>42972</v>
      </c>
      <c r="C1839" s="2" t="str">
        <f>TEXT(data[[#This Row],[Order Date]],"YYYY")</f>
        <v>2017</v>
      </c>
      <c r="D1839" s="2">
        <v>42976</v>
      </c>
      <c r="E1839" s="2" t="s">
        <v>39</v>
      </c>
      <c r="F1839" s="2" t="s">
        <v>739</v>
      </c>
      <c r="G1839" s="2" t="s">
        <v>740</v>
      </c>
      <c r="H1839" s="2" t="s">
        <v>24</v>
      </c>
      <c r="I1839" s="2" t="s">
        <v>25</v>
      </c>
      <c r="J1839" s="2" t="s">
        <v>65</v>
      </c>
      <c r="K1839" s="2" t="s">
        <v>66</v>
      </c>
      <c r="L1839" s="2" t="s">
        <v>67</v>
      </c>
      <c r="M1839" s="2" t="s">
        <v>29</v>
      </c>
      <c r="N1839" s="2" t="s">
        <v>30</v>
      </c>
      <c r="O1839" s="2" t="s">
        <v>31</v>
      </c>
      <c r="P1839" s="2" t="s">
        <v>32</v>
      </c>
      <c r="Q1839" s="2">
        <v>130.97999999999999</v>
      </c>
      <c r="R1839" s="2">
        <v>2</v>
      </c>
      <c r="S1839" s="2">
        <v>-89.066400000000002</v>
      </c>
      <c r="T1839" s="2" t="s">
        <v>83</v>
      </c>
      <c r="U1839" s="2" t="s">
        <v>253</v>
      </c>
    </row>
    <row r="1840" spans="1:21" ht="14.25" customHeight="1" x14ac:dyDescent="0.3">
      <c r="A1840" s="2" t="s">
        <v>4082</v>
      </c>
      <c r="B1840" s="5">
        <v>42852</v>
      </c>
      <c r="C1840" s="2" t="str">
        <f>TEXT(data[[#This Row],[Order Date]],"YYYY")</f>
        <v>2017</v>
      </c>
      <c r="D1840" s="2">
        <v>42857</v>
      </c>
      <c r="E1840" s="2" t="s">
        <v>39</v>
      </c>
      <c r="F1840" s="2" t="s">
        <v>4083</v>
      </c>
      <c r="G1840" s="2" t="s">
        <v>4084</v>
      </c>
      <c r="H1840" s="2" t="s">
        <v>24</v>
      </c>
      <c r="I1840" s="2" t="s">
        <v>25</v>
      </c>
      <c r="J1840" s="2" t="s">
        <v>191</v>
      </c>
      <c r="K1840" s="2" t="s">
        <v>192</v>
      </c>
      <c r="L1840" s="2" t="s">
        <v>54</v>
      </c>
      <c r="M1840" s="2" t="s">
        <v>127</v>
      </c>
      <c r="N1840" s="2" t="s">
        <v>30</v>
      </c>
      <c r="O1840" s="2" t="s">
        <v>56</v>
      </c>
      <c r="P1840" s="2" t="s">
        <v>128</v>
      </c>
      <c r="Q1840" s="2">
        <v>139.58000000000001</v>
      </c>
      <c r="R1840" s="2">
        <v>7</v>
      </c>
      <c r="S1840" s="2">
        <v>39.0824</v>
      </c>
      <c r="T1840" s="2" t="s">
        <v>58</v>
      </c>
      <c r="U1840" s="2" t="s">
        <v>113</v>
      </c>
    </row>
    <row r="1841" spans="1:21" ht="14.25" customHeight="1" x14ac:dyDescent="0.3">
      <c r="A1841" s="2" t="s">
        <v>4085</v>
      </c>
      <c r="B1841" s="5">
        <v>42316</v>
      </c>
      <c r="C1841" s="2" t="str">
        <f>TEXT(data[[#This Row],[Order Date]],"YYYY")</f>
        <v>2015</v>
      </c>
      <c r="D1841" s="2">
        <v>42323</v>
      </c>
      <c r="E1841" s="2" t="s">
        <v>39</v>
      </c>
      <c r="F1841" s="2" t="s">
        <v>1038</v>
      </c>
      <c r="G1841" s="2" t="s">
        <v>1039</v>
      </c>
      <c r="H1841" s="2" t="s">
        <v>90</v>
      </c>
      <c r="I1841" s="2" t="s">
        <v>25</v>
      </c>
      <c r="J1841" s="2" t="s">
        <v>606</v>
      </c>
      <c r="K1841" s="2" t="s">
        <v>1036</v>
      </c>
      <c r="L1841" s="2" t="s">
        <v>28</v>
      </c>
      <c r="M1841" s="2" t="s">
        <v>422</v>
      </c>
      <c r="N1841" s="2" t="s">
        <v>30</v>
      </c>
      <c r="O1841" s="2" t="s">
        <v>56</v>
      </c>
      <c r="P1841" s="2" t="s">
        <v>423</v>
      </c>
      <c r="Q1841" s="2">
        <v>4.7119999999999997</v>
      </c>
      <c r="R1841" s="2">
        <v>1</v>
      </c>
      <c r="S1841" s="2">
        <v>1.4136</v>
      </c>
      <c r="T1841" s="2" t="s">
        <v>47</v>
      </c>
      <c r="U1841" s="2" t="s">
        <v>34</v>
      </c>
    </row>
    <row r="1842" spans="1:21" ht="14.25" customHeight="1" x14ac:dyDescent="0.3">
      <c r="A1842" s="2" t="s">
        <v>4086</v>
      </c>
      <c r="B1842" s="5">
        <v>42699</v>
      </c>
      <c r="C1842" s="2" t="str">
        <f>TEXT(data[[#This Row],[Order Date]],"YYYY")</f>
        <v>2016</v>
      </c>
      <c r="D1842" s="2">
        <v>42703</v>
      </c>
      <c r="E1842" s="2" t="s">
        <v>39</v>
      </c>
      <c r="F1842" s="2" t="s">
        <v>2633</v>
      </c>
      <c r="G1842" s="2" t="s">
        <v>2634</v>
      </c>
      <c r="H1842" s="2" t="s">
        <v>24</v>
      </c>
      <c r="I1842" s="2" t="s">
        <v>25</v>
      </c>
      <c r="J1842" s="2" t="s">
        <v>52</v>
      </c>
      <c r="K1842" s="2" t="s">
        <v>53</v>
      </c>
      <c r="L1842" s="2" t="s">
        <v>54</v>
      </c>
      <c r="M1842" s="2" t="s">
        <v>255</v>
      </c>
      <c r="N1842" s="2" t="s">
        <v>30</v>
      </c>
      <c r="O1842" s="2" t="s">
        <v>36</v>
      </c>
      <c r="P1842" s="2" t="s">
        <v>256</v>
      </c>
      <c r="Q1842" s="2">
        <v>194.352</v>
      </c>
      <c r="R1842" s="2">
        <v>3</v>
      </c>
      <c r="S1842" s="2">
        <v>19.435199999999998</v>
      </c>
      <c r="T1842" s="2" t="s">
        <v>83</v>
      </c>
      <c r="U1842" s="2" t="s">
        <v>34</v>
      </c>
    </row>
    <row r="1843" spans="1:21" ht="14.25" customHeight="1" x14ac:dyDescent="0.3">
      <c r="A1843" s="2" t="s">
        <v>4087</v>
      </c>
      <c r="B1843" s="5">
        <v>42343</v>
      </c>
      <c r="C1843" s="2" t="str">
        <f>TEXT(data[[#This Row],[Order Date]],"YYYY")</f>
        <v>2015</v>
      </c>
      <c r="D1843" s="2">
        <v>42346</v>
      </c>
      <c r="E1843" s="2" t="s">
        <v>87</v>
      </c>
      <c r="F1843" s="2" t="s">
        <v>2041</v>
      </c>
      <c r="G1843" s="2" t="s">
        <v>2042</v>
      </c>
      <c r="H1843" s="2" t="s">
        <v>90</v>
      </c>
      <c r="I1843" s="2" t="s">
        <v>25</v>
      </c>
      <c r="J1843" s="2" t="s">
        <v>2647</v>
      </c>
      <c r="K1843" s="2" t="s">
        <v>141</v>
      </c>
      <c r="L1843" s="2" t="s">
        <v>28</v>
      </c>
      <c r="M1843" s="2" t="s">
        <v>298</v>
      </c>
      <c r="N1843" s="2" t="s">
        <v>30</v>
      </c>
      <c r="O1843" s="2" t="s">
        <v>36</v>
      </c>
      <c r="P1843" s="2" t="s">
        <v>299</v>
      </c>
      <c r="Q1843" s="2">
        <v>97.424000000000007</v>
      </c>
      <c r="R1843" s="2">
        <v>2</v>
      </c>
      <c r="S1843" s="2">
        <v>10.9602</v>
      </c>
      <c r="T1843" s="2" t="s">
        <v>33</v>
      </c>
      <c r="U1843" s="2" t="s">
        <v>96</v>
      </c>
    </row>
    <row r="1844" spans="1:21" ht="14.25" customHeight="1" x14ac:dyDescent="0.3">
      <c r="A1844" s="2" t="s">
        <v>4088</v>
      </c>
      <c r="B1844" s="5">
        <v>41895</v>
      </c>
      <c r="C1844" s="2" t="str">
        <f>TEXT(data[[#This Row],[Order Date]],"YYYY")</f>
        <v>2014</v>
      </c>
      <c r="D1844" s="2">
        <v>41895</v>
      </c>
      <c r="E1844" s="2" t="s">
        <v>425</v>
      </c>
      <c r="F1844" s="2" t="s">
        <v>691</v>
      </c>
      <c r="G1844" s="2" t="s">
        <v>692</v>
      </c>
      <c r="H1844" s="2" t="s">
        <v>24</v>
      </c>
      <c r="I1844" s="2" t="s">
        <v>25</v>
      </c>
      <c r="J1844" s="2" t="s">
        <v>191</v>
      </c>
      <c r="K1844" s="2" t="s">
        <v>192</v>
      </c>
      <c r="L1844" s="2" t="s">
        <v>54</v>
      </c>
      <c r="M1844" s="2" t="s">
        <v>379</v>
      </c>
      <c r="N1844" s="2" t="s">
        <v>30</v>
      </c>
      <c r="O1844" s="2" t="s">
        <v>56</v>
      </c>
      <c r="P1844" s="2" t="s">
        <v>380</v>
      </c>
      <c r="Q1844" s="2">
        <v>14.19</v>
      </c>
      <c r="R1844" s="2">
        <v>3</v>
      </c>
      <c r="S1844" s="2">
        <v>5.5340999999999996</v>
      </c>
      <c r="T1844" s="2" t="s">
        <v>430</v>
      </c>
      <c r="U1844" s="2" t="s">
        <v>77</v>
      </c>
    </row>
    <row r="1845" spans="1:21" ht="14.25" customHeight="1" x14ac:dyDescent="0.3">
      <c r="A1845" s="2" t="s">
        <v>4089</v>
      </c>
      <c r="B1845" s="5">
        <v>43064</v>
      </c>
      <c r="C1845" s="2" t="str">
        <f>TEXT(data[[#This Row],[Order Date]],"YYYY")</f>
        <v>2017</v>
      </c>
      <c r="D1845" s="2">
        <v>43069</v>
      </c>
      <c r="E1845" s="2" t="s">
        <v>39</v>
      </c>
      <c r="F1845" s="2" t="s">
        <v>1431</v>
      </c>
      <c r="G1845" s="2" t="s">
        <v>1432</v>
      </c>
      <c r="H1845" s="2" t="s">
        <v>24</v>
      </c>
      <c r="I1845" s="2" t="s">
        <v>25</v>
      </c>
      <c r="J1845" s="2" t="s">
        <v>42</v>
      </c>
      <c r="K1845" s="2" t="s">
        <v>43</v>
      </c>
      <c r="L1845" s="2" t="s">
        <v>28</v>
      </c>
      <c r="M1845" s="2" t="s">
        <v>1446</v>
      </c>
      <c r="N1845" s="2" t="s">
        <v>30</v>
      </c>
      <c r="O1845" s="2" t="s">
        <v>31</v>
      </c>
      <c r="P1845" s="2" t="s">
        <v>1447</v>
      </c>
      <c r="Q1845" s="2">
        <v>723.92</v>
      </c>
      <c r="R1845" s="2">
        <v>5</v>
      </c>
      <c r="S1845" s="2">
        <v>-81.441000000000003</v>
      </c>
      <c r="T1845" s="2" t="s">
        <v>58</v>
      </c>
      <c r="U1845" s="2" t="s">
        <v>34</v>
      </c>
    </row>
    <row r="1846" spans="1:21" ht="14.25" customHeight="1" x14ac:dyDescent="0.3">
      <c r="A1846" s="2" t="s">
        <v>4090</v>
      </c>
      <c r="B1846" s="5">
        <v>42136</v>
      </c>
      <c r="C1846" s="2" t="str">
        <f>TEXT(data[[#This Row],[Order Date]],"YYYY")</f>
        <v>2015</v>
      </c>
      <c r="D1846" s="2">
        <v>42141</v>
      </c>
      <c r="E1846" s="2" t="s">
        <v>39</v>
      </c>
      <c r="F1846" s="2" t="s">
        <v>1571</v>
      </c>
      <c r="G1846" s="2" t="s">
        <v>1572</v>
      </c>
      <c r="H1846" s="2" t="s">
        <v>24</v>
      </c>
      <c r="I1846" s="2" t="s">
        <v>25</v>
      </c>
      <c r="J1846" s="2" t="s">
        <v>101</v>
      </c>
      <c r="K1846" s="2" t="s">
        <v>92</v>
      </c>
      <c r="L1846" s="2" t="s">
        <v>93</v>
      </c>
      <c r="M1846" s="2" t="s">
        <v>2787</v>
      </c>
      <c r="N1846" s="2" t="s">
        <v>30</v>
      </c>
      <c r="O1846" s="2" t="s">
        <v>56</v>
      </c>
      <c r="P1846" s="2" t="s">
        <v>2788</v>
      </c>
      <c r="Q1846" s="2">
        <v>21.968</v>
      </c>
      <c r="R1846" s="2">
        <v>4</v>
      </c>
      <c r="S1846" s="2">
        <v>-15.9268</v>
      </c>
      <c r="T1846" s="2" t="s">
        <v>58</v>
      </c>
      <c r="U1846" s="2" t="s">
        <v>161</v>
      </c>
    </row>
    <row r="1847" spans="1:21" ht="14.25" customHeight="1" x14ac:dyDescent="0.3">
      <c r="A1847" s="2" t="s">
        <v>4091</v>
      </c>
      <c r="B1847" s="5">
        <v>42824</v>
      </c>
      <c r="C1847" s="2" t="str">
        <f>TEXT(data[[#This Row],[Order Date]],"YYYY")</f>
        <v>2017</v>
      </c>
      <c r="D1847" s="2">
        <v>42826</v>
      </c>
      <c r="E1847" s="2" t="s">
        <v>21</v>
      </c>
      <c r="F1847" s="2" t="s">
        <v>3115</v>
      </c>
      <c r="G1847" s="2" t="s">
        <v>3116</v>
      </c>
      <c r="H1847" s="2" t="s">
        <v>24</v>
      </c>
      <c r="I1847" s="2" t="s">
        <v>25</v>
      </c>
      <c r="J1847" s="2" t="s">
        <v>2060</v>
      </c>
      <c r="K1847" s="2" t="s">
        <v>53</v>
      </c>
      <c r="L1847" s="2" t="s">
        <v>54</v>
      </c>
      <c r="M1847" s="2" t="s">
        <v>1542</v>
      </c>
      <c r="N1847" s="2" t="s">
        <v>30</v>
      </c>
      <c r="O1847" s="2" t="s">
        <v>56</v>
      </c>
      <c r="P1847" s="2" t="s">
        <v>1543</v>
      </c>
      <c r="Q1847" s="2">
        <v>94.2</v>
      </c>
      <c r="R1847" s="2">
        <v>5</v>
      </c>
      <c r="S1847" s="2">
        <v>39.564</v>
      </c>
      <c r="T1847" s="2" t="s">
        <v>70</v>
      </c>
      <c r="U1847" s="2" t="s">
        <v>195</v>
      </c>
    </row>
    <row r="1848" spans="1:21" ht="14.25" customHeight="1" x14ac:dyDescent="0.3">
      <c r="A1848" s="2" t="s">
        <v>4092</v>
      </c>
      <c r="B1848" s="5">
        <v>42000</v>
      </c>
      <c r="C1848" s="2" t="str">
        <f>TEXT(data[[#This Row],[Order Date]],"YYYY")</f>
        <v>2014</v>
      </c>
      <c r="D1848" s="2">
        <v>42005</v>
      </c>
      <c r="E1848" s="2" t="s">
        <v>21</v>
      </c>
      <c r="F1848" s="2" t="s">
        <v>163</v>
      </c>
      <c r="G1848" s="2" t="s">
        <v>164</v>
      </c>
      <c r="H1848" s="2" t="s">
        <v>24</v>
      </c>
      <c r="I1848" s="2" t="s">
        <v>25</v>
      </c>
      <c r="J1848" s="2" t="s">
        <v>693</v>
      </c>
      <c r="K1848" s="2" t="s">
        <v>231</v>
      </c>
      <c r="L1848" s="2" t="s">
        <v>67</v>
      </c>
      <c r="M1848" s="2" t="s">
        <v>2606</v>
      </c>
      <c r="N1848" s="2" t="s">
        <v>30</v>
      </c>
      <c r="O1848" s="2" t="s">
        <v>56</v>
      </c>
      <c r="P1848" s="2" t="s">
        <v>2607</v>
      </c>
      <c r="Q1848" s="2">
        <v>182.352</v>
      </c>
      <c r="R1848" s="2">
        <v>3</v>
      </c>
      <c r="S1848" s="2">
        <v>-18.235199999999999</v>
      </c>
      <c r="T1848" s="2" t="s">
        <v>58</v>
      </c>
      <c r="U1848" s="2" t="s">
        <v>96</v>
      </c>
    </row>
    <row r="1849" spans="1:21" ht="14.25" customHeight="1" x14ac:dyDescent="0.3">
      <c r="A1849" s="2" t="s">
        <v>4093</v>
      </c>
      <c r="B1849" s="5">
        <v>42782</v>
      </c>
      <c r="C1849" s="2" t="str">
        <f>TEXT(data[[#This Row],[Order Date]],"YYYY")</f>
        <v>2017</v>
      </c>
      <c r="D1849" s="2">
        <v>42787</v>
      </c>
      <c r="E1849" s="2" t="s">
        <v>39</v>
      </c>
      <c r="F1849" s="2" t="s">
        <v>1630</v>
      </c>
      <c r="G1849" s="2" t="s">
        <v>1631</v>
      </c>
      <c r="H1849" s="2" t="s">
        <v>24</v>
      </c>
      <c r="I1849" s="2" t="s">
        <v>25</v>
      </c>
      <c r="J1849" s="2" t="s">
        <v>513</v>
      </c>
      <c r="K1849" s="2" t="s">
        <v>134</v>
      </c>
      <c r="L1849" s="2" t="s">
        <v>93</v>
      </c>
      <c r="M1849" s="2" t="s">
        <v>206</v>
      </c>
      <c r="N1849" s="2" t="s">
        <v>30</v>
      </c>
      <c r="O1849" s="2" t="s">
        <v>36</v>
      </c>
      <c r="P1849" s="2" t="s">
        <v>207</v>
      </c>
      <c r="Q1849" s="2">
        <v>600.55799999999999</v>
      </c>
      <c r="R1849" s="2">
        <v>3</v>
      </c>
      <c r="S1849" s="2">
        <v>-8.5793999999999997</v>
      </c>
      <c r="T1849" s="2" t="s">
        <v>58</v>
      </c>
      <c r="U1849" s="2" t="s">
        <v>297</v>
      </c>
    </row>
    <row r="1850" spans="1:21" ht="14.25" customHeight="1" x14ac:dyDescent="0.3">
      <c r="A1850" s="2" t="s">
        <v>4093</v>
      </c>
      <c r="B1850" s="5">
        <v>42782</v>
      </c>
      <c r="C1850" s="2" t="str">
        <f>TEXT(data[[#This Row],[Order Date]],"YYYY")</f>
        <v>2017</v>
      </c>
      <c r="D1850" s="2">
        <v>42787</v>
      </c>
      <c r="E1850" s="2" t="s">
        <v>39</v>
      </c>
      <c r="F1850" s="2" t="s">
        <v>1630</v>
      </c>
      <c r="G1850" s="2" t="s">
        <v>1631</v>
      </c>
      <c r="H1850" s="2" t="s">
        <v>24</v>
      </c>
      <c r="I1850" s="2" t="s">
        <v>25</v>
      </c>
      <c r="J1850" s="2" t="s">
        <v>513</v>
      </c>
      <c r="K1850" s="2" t="s">
        <v>134</v>
      </c>
      <c r="L1850" s="2" t="s">
        <v>93</v>
      </c>
      <c r="M1850" s="2" t="s">
        <v>1311</v>
      </c>
      <c r="N1850" s="2" t="s">
        <v>30</v>
      </c>
      <c r="O1850" s="2" t="s">
        <v>56</v>
      </c>
      <c r="P1850" s="2" t="s">
        <v>2022</v>
      </c>
      <c r="Q1850" s="2">
        <v>7.6920000000000002</v>
      </c>
      <c r="R1850" s="2">
        <v>1</v>
      </c>
      <c r="S1850" s="2">
        <v>-3.6537000000000002</v>
      </c>
      <c r="T1850" s="2" t="s">
        <v>58</v>
      </c>
      <c r="U1850" s="2" t="s">
        <v>297</v>
      </c>
    </row>
    <row r="1851" spans="1:21" ht="14.25" customHeight="1" x14ac:dyDescent="0.3">
      <c r="A1851" s="2" t="s">
        <v>4094</v>
      </c>
      <c r="B1851" s="5">
        <v>43032</v>
      </c>
      <c r="C1851" s="2" t="str">
        <f>TEXT(data[[#This Row],[Order Date]],"YYYY")</f>
        <v>2017</v>
      </c>
      <c r="D1851" s="2">
        <v>43034</v>
      </c>
      <c r="E1851" s="2" t="s">
        <v>87</v>
      </c>
      <c r="F1851" s="2" t="s">
        <v>403</v>
      </c>
      <c r="G1851" s="2" t="s">
        <v>404</v>
      </c>
      <c r="H1851" s="2" t="s">
        <v>24</v>
      </c>
      <c r="I1851" s="2" t="s">
        <v>25</v>
      </c>
      <c r="J1851" s="2" t="s">
        <v>4095</v>
      </c>
      <c r="K1851" s="2" t="s">
        <v>92</v>
      </c>
      <c r="L1851" s="2" t="s">
        <v>93</v>
      </c>
      <c r="M1851" s="2" t="s">
        <v>1465</v>
      </c>
      <c r="N1851" s="2" t="s">
        <v>30</v>
      </c>
      <c r="O1851" s="2" t="s">
        <v>45</v>
      </c>
      <c r="P1851" s="2" t="s">
        <v>1466</v>
      </c>
      <c r="Q1851" s="2">
        <v>517.40499999999997</v>
      </c>
      <c r="R1851" s="2">
        <v>5</v>
      </c>
      <c r="S1851" s="2">
        <v>-81.3065</v>
      </c>
      <c r="T1851" s="2" t="s">
        <v>70</v>
      </c>
      <c r="U1851" s="2" t="s">
        <v>48</v>
      </c>
    </row>
    <row r="1852" spans="1:21" ht="14.25" customHeight="1" x14ac:dyDescent="0.3">
      <c r="A1852" s="2" t="s">
        <v>4096</v>
      </c>
      <c r="B1852" s="5">
        <v>42993</v>
      </c>
      <c r="C1852" s="2" t="str">
        <f>TEXT(data[[#This Row],[Order Date]],"YYYY")</f>
        <v>2017</v>
      </c>
      <c r="D1852" s="2">
        <v>42995</v>
      </c>
      <c r="E1852" s="2" t="s">
        <v>21</v>
      </c>
      <c r="F1852" s="2" t="s">
        <v>301</v>
      </c>
      <c r="G1852" s="2" t="s">
        <v>302</v>
      </c>
      <c r="H1852" s="2" t="s">
        <v>100</v>
      </c>
      <c r="I1852" s="2" t="s">
        <v>25</v>
      </c>
      <c r="J1852" s="2" t="s">
        <v>328</v>
      </c>
      <c r="K1852" s="2" t="s">
        <v>53</v>
      </c>
      <c r="L1852" s="2" t="s">
        <v>54</v>
      </c>
      <c r="M1852" s="2" t="s">
        <v>306</v>
      </c>
      <c r="N1852" s="2" t="s">
        <v>30</v>
      </c>
      <c r="O1852" s="2" t="s">
        <v>45</v>
      </c>
      <c r="P1852" s="2" t="s">
        <v>307</v>
      </c>
      <c r="Q1852" s="2">
        <v>300.904</v>
      </c>
      <c r="R1852" s="2">
        <v>1</v>
      </c>
      <c r="S1852" s="2">
        <v>11.283899999999999</v>
      </c>
      <c r="T1852" s="2" t="s">
        <v>70</v>
      </c>
      <c r="U1852" s="2" t="s">
        <v>77</v>
      </c>
    </row>
    <row r="1853" spans="1:21" ht="14.25" customHeight="1" x14ac:dyDescent="0.3">
      <c r="A1853" s="2" t="s">
        <v>4097</v>
      </c>
      <c r="B1853" s="5">
        <v>42901</v>
      </c>
      <c r="C1853" s="2" t="str">
        <f>TEXT(data[[#This Row],[Order Date]],"YYYY")</f>
        <v>2017</v>
      </c>
      <c r="D1853" s="2">
        <v>42906</v>
      </c>
      <c r="E1853" s="2" t="s">
        <v>39</v>
      </c>
      <c r="F1853" s="2" t="s">
        <v>386</v>
      </c>
      <c r="G1853" s="2" t="s">
        <v>387</v>
      </c>
      <c r="H1853" s="2" t="s">
        <v>90</v>
      </c>
      <c r="I1853" s="2" t="s">
        <v>25</v>
      </c>
      <c r="J1853" s="2" t="s">
        <v>2647</v>
      </c>
      <c r="K1853" s="2" t="s">
        <v>141</v>
      </c>
      <c r="L1853" s="2" t="s">
        <v>28</v>
      </c>
      <c r="M1853" s="2" t="s">
        <v>315</v>
      </c>
      <c r="N1853" s="2" t="s">
        <v>30</v>
      </c>
      <c r="O1853" s="2" t="s">
        <v>56</v>
      </c>
      <c r="P1853" s="2" t="s">
        <v>316</v>
      </c>
      <c r="Q1853" s="2">
        <v>31.167999999999999</v>
      </c>
      <c r="R1853" s="2">
        <v>4</v>
      </c>
      <c r="S1853" s="2">
        <v>9.3504000000000005</v>
      </c>
      <c r="T1853" s="2" t="s">
        <v>58</v>
      </c>
      <c r="U1853" s="2" t="s">
        <v>59</v>
      </c>
    </row>
    <row r="1854" spans="1:21" ht="14.25" customHeight="1" x14ac:dyDescent="0.3">
      <c r="A1854" s="2" t="s">
        <v>4097</v>
      </c>
      <c r="B1854" s="5">
        <v>42901</v>
      </c>
      <c r="C1854" s="2" t="str">
        <f>TEXT(data[[#This Row],[Order Date]],"YYYY")</f>
        <v>2017</v>
      </c>
      <c r="D1854" s="2">
        <v>42906</v>
      </c>
      <c r="E1854" s="2" t="s">
        <v>39</v>
      </c>
      <c r="F1854" s="2" t="s">
        <v>386</v>
      </c>
      <c r="G1854" s="2" t="s">
        <v>387</v>
      </c>
      <c r="H1854" s="2" t="s">
        <v>90</v>
      </c>
      <c r="I1854" s="2" t="s">
        <v>25</v>
      </c>
      <c r="J1854" s="2" t="s">
        <v>2647</v>
      </c>
      <c r="K1854" s="2" t="s">
        <v>141</v>
      </c>
      <c r="L1854" s="2" t="s">
        <v>28</v>
      </c>
      <c r="M1854" s="2" t="s">
        <v>2406</v>
      </c>
      <c r="N1854" s="2" t="s">
        <v>30</v>
      </c>
      <c r="O1854" s="2" t="s">
        <v>45</v>
      </c>
      <c r="P1854" s="2" t="s">
        <v>2407</v>
      </c>
      <c r="Q1854" s="2">
        <v>120.96</v>
      </c>
      <c r="R1854" s="2">
        <v>2</v>
      </c>
      <c r="S1854" s="2">
        <v>-28.224</v>
      </c>
      <c r="T1854" s="2" t="s">
        <v>58</v>
      </c>
      <c r="U1854" s="2" t="s">
        <v>59</v>
      </c>
    </row>
    <row r="1855" spans="1:21" ht="14.25" customHeight="1" x14ac:dyDescent="0.3">
      <c r="A1855" s="2" t="s">
        <v>4098</v>
      </c>
      <c r="B1855" s="5">
        <v>41890</v>
      </c>
      <c r="C1855" s="2" t="str">
        <f>TEXT(data[[#This Row],[Order Date]],"YYYY")</f>
        <v>2014</v>
      </c>
      <c r="D1855" s="2">
        <v>41895</v>
      </c>
      <c r="E1855" s="2" t="s">
        <v>39</v>
      </c>
      <c r="F1855" s="2" t="s">
        <v>1240</v>
      </c>
      <c r="G1855" s="2" t="s">
        <v>1241</v>
      </c>
      <c r="H1855" s="2" t="s">
        <v>100</v>
      </c>
      <c r="I1855" s="2" t="s">
        <v>25</v>
      </c>
      <c r="J1855" s="2" t="s">
        <v>173</v>
      </c>
      <c r="K1855" s="2" t="s">
        <v>120</v>
      </c>
      <c r="L1855" s="2" t="s">
        <v>67</v>
      </c>
      <c r="M1855" s="2" t="s">
        <v>1279</v>
      </c>
      <c r="N1855" s="2" t="s">
        <v>30</v>
      </c>
      <c r="O1855" s="2" t="s">
        <v>36</v>
      </c>
      <c r="P1855" s="2" t="s">
        <v>1280</v>
      </c>
      <c r="Q1855" s="2">
        <v>172.76400000000001</v>
      </c>
      <c r="R1855" s="2">
        <v>2</v>
      </c>
      <c r="S1855" s="2">
        <v>13.437200000000001</v>
      </c>
      <c r="T1855" s="2" t="s">
        <v>58</v>
      </c>
      <c r="U1855" s="2" t="s">
        <v>77</v>
      </c>
    </row>
    <row r="1856" spans="1:21" ht="14.25" customHeight="1" x14ac:dyDescent="0.3">
      <c r="A1856" s="2" t="s">
        <v>4099</v>
      </c>
      <c r="B1856" s="5">
        <v>41959</v>
      </c>
      <c r="C1856" s="2" t="str">
        <f>TEXT(data[[#This Row],[Order Date]],"YYYY")</f>
        <v>2014</v>
      </c>
      <c r="D1856" s="2">
        <v>41961</v>
      </c>
      <c r="E1856" s="2" t="s">
        <v>87</v>
      </c>
      <c r="F1856" s="2" t="s">
        <v>675</v>
      </c>
      <c r="G1856" s="2" t="s">
        <v>676</v>
      </c>
      <c r="H1856" s="2" t="s">
        <v>90</v>
      </c>
      <c r="I1856" s="2" t="s">
        <v>25</v>
      </c>
      <c r="J1856" s="2" t="s">
        <v>52</v>
      </c>
      <c r="K1856" s="2" t="s">
        <v>53</v>
      </c>
      <c r="L1856" s="2" t="s">
        <v>54</v>
      </c>
      <c r="M1856" s="2" t="s">
        <v>710</v>
      </c>
      <c r="N1856" s="2" t="s">
        <v>30</v>
      </c>
      <c r="O1856" s="2" t="s">
        <v>31</v>
      </c>
      <c r="P1856" s="2" t="s">
        <v>711</v>
      </c>
      <c r="Q1856" s="2">
        <v>305.97449999999998</v>
      </c>
      <c r="R1856" s="2">
        <v>3</v>
      </c>
      <c r="S1856" s="2">
        <v>25.197900000000001</v>
      </c>
      <c r="T1856" s="2" t="s">
        <v>70</v>
      </c>
      <c r="U1856" s="2" t="s">
        <v>34</v>
      </c>
    </row>
    <row r="1857" spans="1:21" ht="14.25" customHeight="1" x14ac:dyDescent="0.3">
      <c r="A1857" s="2" t="s">
        <v>4100</v>
      </c>
      <c r="B1857" s="5">
        <v>41701</v>
      </c>
      <c r="C1857" s="2" t="str">
        <f>TEXT(data[[#This Row],[Order Date]],"YYYY")</f>
        <v>2014</v>
      </c>
      <c r="D1857" s="2">
        <v>41705</v>
      </c>
      <c r="E1857" s="2" t="s">
        <v>39</v>
      </c>
      <c r="F1857" s="2" t="s">
        <v>4021</v>
      </c>
      <c r="G1857" s="2" t="s">
        <v>4022</v>
      </c>
      <c r="H1857" s="2" t="s">
        <v>24</v>
      </c>
      <c r="I1857" s="2" t="s">
        <v>25</v>
      </c>
      <c r="J1857" s="2" t="s">
        <v>639</v>
      </c>
      <c r="K1857" s="2" t="s">
        <v>53</v>
      </c>
      <c r="L1857" s="2" t="s">
        <v>54</v>
      </c>
      <c r="M1857" s="2" t="s">
        <v>1247</v>
      </c>
      <c r="N1857" s="2" t="s">
        <v>30</v>
      </c>
      <c r="O1857" s="2" t="s">
        <v>45</v>
      </c>
      <c r="P1857" s="2" t="s">
        <v>1248</v>
      </c>
      <c r="Q1857" s="2">
        <v>626.35199999999998</v>
      </c>
      <c r="R1857" s="2">
        <v>3</v>
      </c>
      <c r="S1857" s="2">
        <v>-23.488199999999999</v>
      </c>
      <c r="T1857" s="2" t="s">
        <v>83</v>
      </c>
      <c r="U1857" s="2" t="s">
        <v>195</v>
      </c>
    </row>
    <row r="1858" spans="1:21" ht="14.25" customHeight="1" x14ac:dyDescent="0.3">
      <c r="A1858" s="2" t="s">
        <v>4101</v>
      </c>
      <c r="B1858" s="5">
        <v>42341</v>
      </c>
      <c r="C1858" s="2" t="str">
        <f>TEXT(data[[#This Row],[Order Date]],"YYYY")</f>
        <v>2015</v>
      </c>
      <c r="D1858" s="2">
        <v>42345</v>
      </c>
      <c r="E1858" s="2" t="s">
        <v>39</v>
      </c>
      <c r="F1858" s="2" t="s">
        <v>1898</v>
      </c>
      <c r="G1858" s="2" t="s">
        <v>1899</v>
      </c>
      <c r="H1858" s="2" t="s">
        <v>24</v>
      </c>
      <c r="I1858" s="2" t="s">
        <v>25</v>
      </c>
      <c r="J1858" s="2" t="s">
        <v>328</v>
      </c>
      <c r="K1858" s="2" t="s">
        <v>53</v>
      </c>
      <c r="L1858" s="2" t="s">
        <v>54</v>
      </c>
      <c r="M1858" s="2" t="s">
        <v>1695</v>
      </c>
      <c r="N1858" s="2" t="s">
        <v>30</v>
      </c>
      <c r="O1858" s="2" t="s">
        <v>31</v>
      </c>
      <c r="P1858" s="2" t="s">
        <v>1914</v>
      </c>
      <c r="Q1858" s="2">
        <v>359.49900000000002</v>
      </c>
      <c r="R1858" s="2">
        <v>3</v>
      </c>
      <c r="S1858" s="2">
        <v>-29.605799999999999</v>
      </c>
      <c r="T1858" s="2" t="s">
        <v>83</v>
      </c>
      <c r="U1858" s="2" t="s">
        <v>96</v>
      </c>
    </row>
    <row r="1859" spans="1:21" ht="14.25" customHeight="1" x14ac:dyDescent="0.3">
      <c r="A1859" s="2" t="s">
        <v>4102</v>
      </c>
      <c r="B1859" s="5">
        <v>42533</v>
      </c>
      <c r="C1859" s="2" t="str">
        <f>TEXT(data[[#This Row],[Order Date]],"YYYY")</f>
        <v>2016</v>
      </c>
      <c r="D1859" s="2">
        <v>42537</v>
      </c>
      <c r="E1859" s="2" t="s">
        <v>21</v>
      </c>
      <c r="F1859" s="2" t="s">
        <v>3698</v>
      </c>
      <c r="G1859" s="2" t="s">
        <v>3699</v>
      </c>
      <c r="H1859" s="2" t="s">
        <v>100</v>
      </c>
      <c r="I1859" s="2" t="s">
        <v>25</v>
      </c>
      <c r="J1859" s="2" t="s">
        <v>101</v>
      </c>
      <c r="K1859" s="2" t="s">
        <v>92</v>
      </c>
      <c r="L1859" s="2" t="s">
        <v>93</v>
      </c>
      <c r="M1859" s="2" t="s">
        <v>895</v>
      </c>
      <c r="N1859" s="2" t="s">
        <v>30</v>
      </c>
      <c r="O1859" s="2" t="s">
        <v>56</v>
      </c>
      <c r="P1859" s="2" t="s">
        <v>896</v>
      </c>
      <c r="Q1859" s="2">
        <v>6.984</v>
      </c>
      <c r="R1859" s="2">
        <v>2</v>
      </c>
      <c r="S1859" s="2">
        <v>-4.5396000000000001</v>
      </c>
      <c r="T1859" s="2" t="s">
        <v>83</v>
      </c>
      <c r="U1859" s="2" t="s">
        <v>59</v>
      </c>
    </row>
    <row r="1860" spans="1:21" ht="14.25" customHeight="1" x14ac:dyDescent="0.3">
      <c r="A1860" s="2" t="s">
        <v>4102</v>
      </c>
      <c r="B1860" s="5">
        <v>42533</v>
      </c>
      <c r="C1860" s="2" t="str">
        <f>TEXT(data[[#This Row],[Order Date]],"YYYY")</f>
        <v>2016</v>
      </c>
      <c r="D1860" s="2">
        <v>42537</v>
      </c>
      <c r="E1860" s="2" t="s">
        <v>21</v>
      </c>
      <c r="F1860" s="2" t="s">
        <v>3698</v>
      </c>
      <c r="G1860" s="2" t="s">
        <v>3699</v>
      </c>
      <c r="H1860" s="2" t="s">
        <v>100</v>
      </c>
      <c r="I1860" s="2" t="s">
        <v>25</v>
      </c>
      <c r="J1860" s="2" t="s">
        <v>101</v>
      </c>
      <c r="K1860" s="2" t="s">
        <v>92</v>
      </c>
      <c r="L1860" s="2" t="s">
        <v>93</v>
      </c>
      <c r="M1860" s="2" t="s">
        <v>2730</v>
      </c>
      <c r="N1860" s="2" t="s">
        <v>30</v>
      </c>
      <c r="O1860" s="2" t="s">
        <v>36</v>
      </c>
      <c r="P1860" s="2" t="s">
        <v>2731</v>
      </c>
      <c r="Q1860" s="2">
        <v>379.37200000000001</v>
      </c>
      <c r="R1860" s="2">
        <v>2</v>
      </c>
      <c r="S1860" s="2">
        <v>-119.2312</v>
      </c>
      <c r="T1860" s="2" t="s">
        <v>83</v>
      </c>
      <c r="U1860" s="2" t="s">
        <v>59</v>
      </c>
    </row>
    <row r="1861" spans="1:21" ht="14.25" customHeight="1" x14ac:dyDescent="0.3">
      <c r="A1861" s="2" t="s">
        <v>4103</v>
      </c>
      <c r="B1861" s="5">
        <v>42365</v>
      </c>
      <c r="C1861" s="2" t="str">
        <f>TEXT(data[[#This Row],[Order Date]],"YYYY")</f>
        <v>2015</v>
      </c>
      <c r="D1861" s="2">
        <v>42369</v>
      </c>
      <c r="E1861" s="2" t="s">
        <v>39</v>
      </c>
      <c r="F1861" s="2" t="s">
        <v>2617</v>
      </c>
      <c r="G1861" s="2" t="s">
        <v>2618</v>
      </c>
      <c r="H1861" s="2" t="s">
        <v>90</v>
      </c>
      <c r="I1861" s="2" t="s">
        <v>25</v>
      </c>
      <c r="J1861" s="2" t="s">
        <v>399</v>
      </c>
      <c r="K1861" s="2" t="s">
        <v>141</v>
      </c>
      <c r="L1861" s="2" t="s">
        <v>28</v>
      </c>
      <c r="M1861" s="2" t="s">
        <v>3973</v>
      </c>
      <c r="N1861" s="2" t="s">
        <v>30</v>
      </c>
      <c r="O1861" s="2" t="s">
        <v>56</v>
      </c>
      <c r="P1861" s="2" t="s">
        <v>3974</v>
      </c>
      <c r="Q1861" s="2">
        <v>53.351999999999997</v>
      </c>
      <c r="R1861" s="2">
        <v>3</v>
      </c>
      <c r="S1861" s="2">
        <v>16.005600000000001</v>
      </c>
      <c r="T1861" s="2" t="s">
        <v>83</v>
      </c>
      <c r="U1861" s="2" t="s">
        <v>96</v>
      </c>
    </row>
    <row r="1862" spans="1:21" ht="14.25" customHeight="1" x14ac:dyDescent="0.3">
      <c r="A1862" s="2" t="s">
        <v>4103</v>
      </c>
      <c r="B1862" s="5">
        <v>42365</v>
      </c>
      <c r="C1862" s="2" t="str">
        <f>TEXT(data[[#This Row],[Order Date]],"YYYY")</f>
        <v>2015</v>
      </c>
      <c r="D1862" s="2">
        <v>42369</v>
      </c>
      <c r="E1862" s="2" t="s">
        <v>39</v>
      </c>
      <c r="F1862" s="2" t="s">
        <v>2617</v>
      </c>
      <c r="G1862" s="2" t="s">
        <v>2618</v>
      </c>
      <c r="H1862" s="2" t="s">
        <v>90</v>
      </c>
      <c r="I1862" s="2" t="s">
        <v>25</v>
      </c>
      <c r="J1862" s="2" t="s">
        <v>399</v>
      </c>
      <c r="K1862" s="2" t="s">
        <v>141</v>
      </c>
      <c r="L1862" s="2" t="s">
        <v>28</v>
      </c>
      <c r="M1862" s="2" t="s">
        <v>2733</v>
      </c>
      <c r="N1862" s="2" t="s">
        <v>30</v>
      </c>
      <c r="O1862" s="2" t="s">
        <v>31</v>
      </c>
      <c r="P1862" s="2" t="s">
        <v>2734</v>
      </c>
      <c r="Q1862" s="2">
        <v>131.10400000000001</v>
      </c>
      <c r="R1862" s="2">
        <v>2</v>
      </c>
      <c r="S1862" s="2">
        <v>8.1940000000000008</v>
      </c>
      <c r="T1862" s="2" t="s">
        <v>83</v>
      </c>
      <c r="U1862" s="2" t="s">
        <v>96</v>
      </c>
    </row>
    <row r="1863" spans="1:21" ht="14.25" customHeight="1" x14ac:dyDescent="0.3">
      <c r="A1863" s="2" t="s">
        <v>4104</v>
      </c>
      <c r="B1863" s="5">
        <v>42913</v>
      </c>
      <c r="C1863" s="2" t="str">
        <f>TEXT(data[[#This Row],[Order Date]],"YYYY")</f>
        <v>2017</v>
      </c>
      <c r="D1863" s="2">
        <v>42915</v>
      </c>
      <c r="E1863" s="2" t="s">
        <v>21</v>
      </c>
      <c r="F1863" s="2" t="s">
        <v>3851</v>
      </c>
      <c r="G1863" s="2" t="s">
        <v>3852</v>
      </c>
      <c r="H1863" s="2" t="s">
        <v>90</v>
      </c>
      <c r="I1863" s="2" t="s">
        <v>25</v>
      </c>
      <c r="J1863" s="2" t="s">
        <v>191</v>
      </c>
      <c r="K1863" s="2" t="s">
        <v>192</v>
      </c>
      <c r="L1863" s="2" t="s">
        <v>54</v>
      </c>
      <c r="M1863" s="2" t="s">
        <v>566</v>
      </c>
      <c r="N1863" s="2" t="s">
        <v>30</v>
      </c>
      <c r="O1863" s="2" t="s">
        <v>56</v>
      </c>
      <c r="P1863" s="2" t="s">
        <v>567</v>
      </c>
      <c r="Q1863" s="2">
        <v>126.3</v>
      </c>
      <c r="R1863" s="2">
        <v>3</v>
      </c>
      <c r="S1863" s="2">
        <v>40.415999999999997</v>
      </c>
      <c r="T1863" s="2" t="s">
        <v>70</v>
      </c>
      <c r="U1863" s="2" t="s">
        <v>59</v>
      </c>
    </row>
    <row r="1864" spans="1:21" ht="14.25" customHeight="1" x14ac:dyDescent="0.3">
      <c r="A1864" s="2" t="s">
        <v>4105</v>
      </c>
      <c r="B1864" s="5">
        <v>42279</v>
      </c>
      <c r="C1864" s="2" t="str">
        <f>TEXT(data[[#This Row],[Order Date]],"YYYY")</f>
        <v>2015</v>
      </c>
      <c r="D1864" s="2">
        <v>42281</v>
      </c>
      <c r="E1864" s="2" t="s">
        <v>87</v>
      </c>
      <c r="F1864" s="2" t="s">
        <v>1359</v>
      </c>
      <c r="G1864" s="2" t="s">
        <v>1360</v>
      </c>
      <c r="H1864" s="2" t="s">
        <v>24</v>
      </c>
      <c r="I1864" s="2" t="s">
        <v>25</v>
      </c>
      <c r="J1864" s="2" t="s">
        <v>4106</v>
      </c>
      <c r="K1864" s="2" t="s">
        <v>1517</v>
      </c>
      <c r="L1864" s="2" t="s">
        <v>54</v>
      </c>
      <c r="M1864" s="2" t="s">
        <v>174</v>
      </c>
      <c r="N1864" s="2" t="s">
        <v>30</v>
      </c>
      <c r="O1864" s="2" t="s">
        <v>56</v>
      </c>
      <c r="P1864" s="2" t="s">
        <v>175</v>
      </c>
      <c r="Q1864" s="2">
        <v>11.032</v>
      </c>
      <c r="R1864" s="2">
        <v>1</v>
      </c>
      <c r="S1864" s="2">
        <v>3.0337999999999998</v>
      </c>
      <c r="T1864" s="2" t="s">
        <v>70</v>
      </c>
      <c r="U1864" s="2" t="s">
        <v>48</v>
      </c>
    </row>
    <row r="1865" spans="1:21" ht="14.25" customHeight="1" x14ac:dyDescent="0.3">
      <c r="A1865" s="2" t="s">
        <v>4107</v>
      </c>
      <c r="B1865" s="5">
        <v>42768</v>
      </c>
      <c r="C1865" s="2" t="str">
        <f>TEXT(data[[#This Row],[Order Date]],"YYYY")</f>
        <v>2017</v>
      </c>
      <c r="D1865" s="2">
        <v>42773</v>
      </c>
      <c r="E1865" s="2" t="s">
        <v>39</v>
      </c>
      <c r="F1865" s="2" t="s">
        <v>2000</v>
      </c>
      <c r="G1865" s="2" t="s">
        <v>2001</v>
      </c>
      <c r="H1865" s="2" t="s">
        <v>90</v>
      </c>
      <c r="I1865" s="2" t="s">
        <v>25</v>
      </c>
      <c r="J1865" s="2" t="s">
        <v>639</v>
      </c>
      <c r="K1865" s="2" t="s">
        <v>53</v>
      </c>
      <c r="L1865" s="2" t="s">
        <v>54</v>
      </c>
      <c r="M1865" s="2" t="s">
        <v>1010</v>
      </c>
      <c r="N1865" s="2" t="s">
        <v>30</v>
      </c>
      <c r="O1865" s="2" t="s">
        <v>56</v>
      </c>
      <c r="P1865" s="2" t="s">
        <v>1011</v>
      </c>
      <c r="Q1865" s="2">
        <v>210.58</v>
      </c>
      <c r="R1865" s="2">
        <v>2</v>
      </c>
      <c r="S1865" s="2">
        <v>12.6348</v>
      </c>
      <c r="T1865" s="2" t="s">
        <v>58</v>
      </c>
      <c r="U1865" s="2" t="s">
        <v>297</v>
      </c>
    </row>
    <row r="1866" spans="1:21" ht="14.25" customHeight="1" x14ac:dyDescent="0.3">
      <c r="A1866" s="2" t="s">
        <v>4108</v>
      </c>
      <c r="B1866" s="5">
        <v>42573</v>
      </c>
      <c r="C1866" s="2" t="str">
        <f>TEXT(data[[#This Row],[Order Date]],"YYYY")</f>
        <v>2016</v>
      </c>
      <c r="D1866" s="2">
        <v>42577</v>
      </c>
      <c r="E1866" s="2" t="s">
        <v>39</v>
      </c>
      <c r="F1866" s="2" t="s">
        <v>2529</v>
      </c>
      <c r="G1866" s="2" t="s">
        <v>2530</v>
      </c>
      <c r="H1866" s="2" t="s">
        <v>90</v>
      </c>
      <c r="I1866" s="2" t="s">
        <v>25</v>
      </c>
      <c r="J1866" s="2" t="s">
        <v>157</v>
      </c>
      <c r="K1866" s="2" t="s">
        <v>1089</v>
      </c>
      <c r="L1866" s="2" t="s">
        <v>67</v>
      </c>
      <c r="M1866" s="2" t="s">
        <v>835</v>
      </c>
      <c r="N1866" s="2" t="s">
        <v>30</v>
      </c>
      <c r="O1866" s="2" t="s">
        <v>56</v>
      </c>
      <c r="P1866" s="2" t="s">
        <v>836</v>
      </c>
      <c r="Q1866" s="2">
        <v>27.42</v>
      </c>
      <c r="R1866" s="2">
        <v>3</v>
      </c>
      <c r="S1866" s="2">
        <v>9.3228000000000009</v>
      </c>
      <c r="T1866" s="2" t="s">
        <v>83</v>
      </c>
      <c r="U1866" s="2" t="s">
        <v>71</v>
      </c>
    </row>
    <row r="1867" spans="1:21" ht="14.25" customHeight="1" x14ac:dyDescent="0.3">
      <c r="A1867" s="2" t="s">
        <v>4109</v>
      </c>
      <c r="B1867" s="5">
        <v>42625</v>
      </c>
      <c r="C1867" s="2" t="str">
        <f>TEXT(data[[#This Row],[Order Date]],"YYYY")</f>
        <v>2016</v>
      </c>
      <c r="D1867" s="2">
        <v>42626</v>
      </c>
      <c r="E1867" s="2" t="s">
        <v>425</v>
      </c>
      <c r="F1867" s="2" t="s">
        <v>3301</v>
      </c>
      <c r="G1867" s="2" t="s">
        <v>3302</v>
      </c>
      <c r="H1867" s="2" t="s">
        <v>100</v>
      </c>
      <c r="I1867" s="2" t="s">
        <v>25</v>
      </c>
      <c r="J1867" s="2" t="s">
        <v>865</v>
      </c>
      <c r="K1867" s="2" t="s">
        <v>180</v>
      </c>
      <c r="L1867" s="2" t="s">
        <v>54</v>
      </c>
      <c r="M1867" s="2" t="s">
        <v>1003</v>
      </c>
      <c r="N1867" s="2" t="s">
        <v>30</v>
      </c>
      <c r="O1867" s="2" t="s">
        <v>36</v>
      </c>
      <c r="P1867" s="2" t="s">
        <v>1004</v>
      </c>
      <c r="Q1867" s="2">
        <v>83.135999999999996</v>
      </c>
      <c r="R1867" s="2">
        <v>4</v>
      </c>
      <c r="S1867" s="2">
        <v>5.1959999999999997</v>
      </c>
      <c r="T1867" s="2" t="s">
        <v>123</v>
      </c>
      <c r="U1867" s="2" t="s">
        <v>77</v>
      </c>
    </row>
    <row r="1868" spans="1:21" ht="14.25" customHeight="1" x14ac:dyDescent="0.3">
      <c r="A1868" s="2" t="s">
        <v>4110</v>
      </c>
      <c r="B1868" s="5">
        <v>42553</v>
      </c>
      <c r="C1868" s="2" t="str">
        <f>TEXT(data[[#This Row],[Order Date]],"YYYY")</f>
        <v>2016</v>
      </c>
      <c r="D1868" s="2">
        <v>42554</v>
      </c>
      <c r="E1868" s="2" t="s">
        <v>87</v>
      </c>
      <c r="F1868" s="2" t="s">
        <v>1511</v>
      </c>
      <c r="G1868" s="2" t="s">
        <v>1512</v>
      </c>
      <c r="H1868" s="2" t="s">
        <v>90</v>
      </c>
      <c r="I1868" s="2" t="s">
        <v>25</v>
      </c>
      <c r="J1868" s="2" t="s">
        <v>1868</v>
      </c>
      <c r="K1868" s="2" t="s">
        <v>92</v>
      </c>
      <c r="L1868" s="2" t="s">
        <v>93</v>
      </c>
      <c r="M1868" s="2" t="s">
        <v>855</v>
      </c>
      <c r="N1868" s="2" t="s">
        <v>30</v>
      </c>
      <c r="O1868" s="2" t="s">
        <v>36</v>
      </c>
      <c r="P1868" s="2" t="s">
        <v>856</v>
      </c>
      <c r="Q1868" s="2">
        <v>528.42999999999995</v>
      </c>
      <c r="R1868" s="2">
        <v>5</v>
      </c>
      <c r="S1868" s="2">
        <v>0</v>
      </c>
      <c r="T1868" s="2" t="s">
        <v>123</v>
      </c>
      <c r="U1868" s="2" t="s">
        <v>71</v>
      </c>
    </row>
    <row r="1869" spans="1:21" ht="14.25" customHeight="1" x14ac:dyDescent="0.3">
      <c r="A1869" s="2" t="s">
        <v>4111</v>
      </c>
      <c r="B1869" s="5">
        <v>43082</v>
      </c>
      <c r="C1869" s="2" t="str">
        <f>TEXT(data[[#This Row],[Order Date]],"YYYY")</f>
        <v>2017</v>
      </c>
      <c r="D1869" s="2">
        <v>43087</v>
      </c>
      <c r="E1869" s="2" t="s">
        <v>39</v>
      </c>
      <c r="F1869" s="2" t="s">
        <v>4112</v>
      </c>
      <c r="G1869" s="2" t="s">
        <v>4113</v>
      </c>
      <c r="H1869" s="2" t="s">
        <v>90</v>
      </c>
      <c r="I1869" s="2" t="s">
        <v>25</v>
      </c>
      <c r="J1869" s="2" t="s">
        <v>173</v>
      </c>
      <c r="K1869" s="2" t="s">
        <v>120</v>
      </c>
      <c r="L1869" s="2" t="s">
        <v>67</v>
      </c>
      <c r="M1869" s="2" t="s">
        <v>710</v>
      </c>
      <c r="N1869" s="2" t="s">
        <v>30</v>
      </c>
      <c r="O1869" s="2" t="s">
        <v>31</v>
      </c>
      <c r="P1869" s="2" t="s">
        <v>711</v>
      </c>
      <c r="Q1869" s="2">
        <v>287.976</v>
      </c>
      <c r="R1869" s="2">
        <v>3</v>
      </c>
      <c r="S1869" s="2">
        <v>7.1993999999999998</v>
      </c>
      <c r="T1869" s="2" t="s">
        <v>58</v>
      </c>
      <c r="U1869" s="2" t="s">
        <v>96</v>
      </c>
    </row>
    <row r="1870" spans="1:21" ht="14.25" customHeight="1" x14ac:dyDescent="0.3">
      <c r="A1870" s="2" t="s">
        <v>4114</v>
      </c>
      <c r="B1870" s="5">
        <v>42064</v>
      </c>
      <c r="C1870" s="2" t="str">
        <f>TEXT(data[[#This Row],[Order Date]],"YYYY")</f>
        <v>2015</v>
      </c>
      <c r="D1870" s="2">
        <v>42067</v>
      </c>
      <c r="E1870" s="2" t="s">
        <v>87</v>
      </c>
      <c r="F1870" s="2" t="s">
        <v>3922</v>
      </c>
      <c r="G1870" s="2" t="s">
        <v>3923</v>
      </c>
      <c r="H1870" s="2" t="s">
        <v>90</v>
      </c>
      <c r="I1870" s="2" t="s">
        <v>25</v>
      </c>
      <c r="J1870" s="2" t="s">
        <v>101</v>
      </c>
      <c r="K1870" s="2" t="s">
        <v>92</v>
      </c>
      <c r="L1870" s="2" t="s">
        <v>93</v>
      </c>
      <c r="M1870" s="2" t="s">
        <v>999</v>
      </c>
      <c r="N1870" s="2" t="s">
        <v>30</v>
      </c>
      <c r="O1870" s="2" t="s">
        <v>31</v>
      </c>
      <c r="P1870" s="2" t="s">
        <v>1000</v>
      </c>
      <c r="Q1870" s="2">
        <v>1227.9983999999999</v>
      </c>
      <c r="R1870" s="2">
        <v>6</v>
      </c>
      <c r="S1870" s="2">
        <v>-36.117600000000003</v>
      </c>
      <c r="T1870" s="2" t="s">
        <v>33</v>
      </c>
      <c r="U1870" s="2" t="s">
        <v>195</v>
      </c>
    </row>
    <row r="1871" spans="1:21" ht="14.25" customHeight="1" x14ac:dyDescent="0.3">
      <c r="A1871" s="2" t="s">
        <v>4115</v>
      </c>
      <c r="B1871" s="5">
        <v>42628</v>
      </c>
      <c r="C1871" s="2" t="str">
        <f>TEXT(data[[#This Row],[Order Date]],"YYYY")</f>
        <v>2016</v>
      </c>
      <c r="D1871" s="2">
        <v>42633</v>
      </c>
      <c r="E1871" s="2" t="s">
        <v>39</v>
      </c>
      <c r="F1871" s="2" t="s">
        <v>675</v>
      </c>
      <c r="G1871" s="2" t="s">
        <v>676</v>
      </c>
      <c r="H1871" s="2" t="s">
        <v>90</v>
      </c>
      <c r="I1871" s="2" t="s">
        <v>25</v>
      </c>
      <c r="J1871" s="2" t="s">
        <v>4116</v>
      </c>
      <c r="K1871" s="2" t="s">
        <v>2280</v>
      </c>
      <c r="L1871" s="2" t="s">
        <v>54</v>
      </c>
      <c r="M1871" s="2" t="s">
        <v>306</v>
      </c>
      <c r="N1871" s="2" t="s">
        <v>30</v>
      </c>
      <c r="O1871" s="2" t="s">
        <v>45</v>
      </c>
      <c r="P1871" s="2" t="s">
        <v>307</v>
      </c>
      <c r="Q1871" s="2">
        <v>1128.3900000000001</v>
      </c>
      <c r="R1871" s="2">
        <v>3</v>
      </c>
      <c r="S1871" s="2">
        <v>259.52969999999999</v>
      </c>
      <c r="T1871" s="2" t="s">
        <v>58</v>
      </c>
      <c r="U1871" s="2" t="s">
        <v>77</v>
      </c>
    </row>
    <row r="1872" spans="1:21" ht="14.25" customHeight="1" x14ac:dyDescent="0.3">
      <c r="A1872" s="2" t="s">
        <v>4117</v>
      </c>
      <c r="B1872" s="5">
        <v>42901</v>
      </c>
      <c r="C1872" s="2" t="str">
        <f>TEXT(data[[#This Row],[Order Date]],"YYYY")</f>
        <v>2017</v>
      </c>
      <c r="D1872" s="2">
        <v>42905</v>
      </c>
      <c r="E1872" s="2" t="s">
        <v>39</v>
      </c>
      <c r="F1872" s="2" t="s">
        <v>1609</v>
      </c>
      <c r="G1872" s="2" t="s">
        <v>1610</v>
      </c>
      <c r="H1872" s="2" t="s">
        <v>24</v>
      </c>
      <c r="I1872" s="2" t="s">
        <v>25</v>
      </c>
      <c r="J1872" s="2" t="s">
        <v>1035</v>
      </c>
      <c r="K1872" s="2" t="s">
        <v>1036</v>
      </c>
      <c r="L1872" s="2" t="s">
        <v>28</v>
      </c>
      <c r="M1872" s="2" t="s">
        <v>1306</v>
      </c>
      <c r="N1872" s="2" t="s">
        <v>30</v>
      </c>
      <c r="O1872" s="2" t="s">
        <v>36</v>
      </c>
      <c r="P1872" s="2" t="s">
        <v>1307</v>
      </c>
      <c r="Q1872" s="2">
        <v>698.35199999999998</v>
      </c>
      <c r="R1872" s="2">
        <v>3</v>
      </c>
      <c r="S1872" s="2">
        <v>52.376399999999997</v>
      </c>
      <c r="T1872" s="2" t="s">
        <v>83</v>
      </c>
      <c r="U1872" s="2" t="s">
        <v>59</v>
      </c>
    </row>
    <row r="1873" spans="1:21" ht="14.25" customHeight="1" x14ac:dyDescent="0.3">
      <c r="A1873" s="2" t="s">
        <v>4117</v>
      </c>
      <c r="B1873" s="5">
        <v>42901</v>
      </c>
      <c r="C1873" s="2" t="str">
        <f>TEXT(data[[#This Row],[Order Date]],"YYYY")</f>
        <v>2017</v>
      </c>
      <c r="D1873" s="2">
        <v>42905</v>
      </c>
      <c r="E1873" s="2" t="s">
        <v>39</v>
      </c>
      <c r="F1873" s="2" t="s">
        <v>1609</v>
      </c>
      <c r="G1873" s="2" t="s">
        <v>1610</v>
      </c>
      <c r="H1873" s="2" t="s">
        <v>24</v>
      </c>
      <c r="I1873" s="2" t="s">
        <v>25</v>
      </c>
      <c r="J1873" s="2" t="s">
        <v>1035</v>
      </c>
      <c r="K1873" s="2" t="s">
        <v>1036</v>
      </c>
      <c r="L1873" s="2" t="s">
        <v>28</v>
      </c>
      <c r="M1873" s="2" t="s">
        <v>1603</v>
      </c>
      <c r="N1873" s="2" t="s">
        <v>30</v>
      </c>
      <c r="O1873" s="2" t="s">
        <v>31</v>
      </c>
      <c r="P1873" s="2" t="s">
        <v>1604</v>
      </c>
      <c r="Q1873" s="2">
        <v>77.727999999999994</v>
      </c>
      <c r="R1873" s="2">
        <v>2</v>
      </c>
      <c r="S1873" s="2">
        <v>-3.8864000000000001</v>
      </c>
      <c r="T1873" s="2" t="s">
        <v>83</v>
      </c>
      <c r="U1873" s="2" t="s">
        <v>59</v>
      </c>
    </row>
    <row r="1874" spans="1:21" ht="14.25" customHeight="1" x14ac:dyDescent="0.3">
      <c r="A1874" s="2" t="s">
        <v>4118</v>
      </c>
      <c r="B1874" s="5">
        <v>42684</v>
      </c>
      <c r="C1874" s="2" t="str">
        <f>TEXT(data[[#This Row],[Order Date]],"YYYY")</f>
        <v>2016</v>
      </c>
      <c r="D1874" s="2">
        <v>42686</v>
      </c>
      <c r="E1874" s="2" t="s">
        <v>87</v>
      </c>
      <c r="F1874" s="2" t="s">
        <v>2999</v>
      </c>
      <c r="G1874" s="2" t="s">
        <v>3000</v>
      </c>
      <c r="H1874" s="2" t="s">
        <v>24</v>
      </c>
      <c r="I1874" s="2" t="s">
        <v>25</v>
      </c>
      <c r="J1874" s="2" t="s">
        <v>3016</v>
      </c>
      <c r="K1874" s="2" t="s">
        <v>1522</v>
      </c>
      <c r="L1874" s="2" t="s">
        <v>93</v>
      </c>
      <c r="M1874" s="2" t="s">
        <v>1456</v>
      </c>
      <c r="N1874" s="2" t="s">
        <v>30</v>
      </c>
      <c r="O1874" s="2" t="s">
        <v>31</v>
      </c>
      <c r="P1874" s="2" t="s">
        <v>1457</v>
      </c>
      <c r="Q1874" s="2">
        <v>341.96</v>
      </c>
      <c r="R1874" s="2">
        <v>2</v>
      </c>
      <c r="S1874" s="2">
        <v>54.7136</v>
      </c>
      <c r="T1874" s="2" t="s">
        <v>70</v>
      </c>
      <c r="U1874" s="2" t="s">
        <v>34</v>
      </c>
    </row>
    <row r="1875" spans="1:21" ht="14.25" customHeight="1" x14ac:dyDescent="0.3">
      <c r="A1875" s="2" t="s">
        <v>4119</v>
      </c>
      <c r="B1875" s="5">
        <v>42625</v>
      </c>
      <c r="C1875" s="2" t="str">
        <f>TEXT(data[[#This Row],[Order Date]],"YYYY")</f>
        <v>2016</v>
      </c>
      <c r="D1875" s="2">
        <v>42629</v>
      </c>
      <c r="E1875" s="2" t="s">
        <v>39</v>
      </c>
      <c r="F1875" s="2" t="s">
        <v>1997</v>
      </c>
      <c r="G1875" s="2" t="s">
        <v>1998</v>
      </c>
      <c r="H1875" s="2" t="s">
        <v>90</v>
      </c>
      <c r="I1875" s="2" t="s">
        <v>25</v>
      </c>
      <c r="J1875" s="2" t="s">
        <v>4120</v>
      </c>
      <c r="K1875" s="2" t="s">
        <v>120</v>
      </c>
      <c r="L1875" s="2" t="s">
        <v>67</v>
      </c>
      <c r="M1875" s="2" t="s">
        <v>2965</v>
      </c>
      <c r="N1875" s="2" t="s">
        <v>30</v>
      </c>
      <c r="O1875" s="2" t="s">
        <v>56</v>
      </c>
      <c r="P1875" s="2" t="s">
        <v>2966</v>
      </c>
      <c r="Q1875" s="2">
        <v>40.479999999999997</v>
      </c>
      <c r="R1875" s="2">
        <v>2</v>
      </c>
      <c r="S1875" s="2">
        <v>14.572800000000001</v>
      </c>
      <c r="T1875" s="2" t="s">
        <v>83</v>
      </c>
      <c r="U1875" s="2" t="s">
        <v>77</v>
      </c>
    </row>
    <row r="1876" spans="1:21" ht="14.25" customHeight="1" x14ac:dyDescent="0.3">
      <c r="A1876" s="2" t="s">
        <v>4121</v>
      </c>
      <c r="B1876" s="5">
        <v>42211</v>
      </c>
      <c r="C1876" s="2" t="str">
        <f>TEXT(data[[#This Row],[Order Date]],"YYYY")</f>
        <v>2015</v>
      </c>
      <c r="D1876" s="2">
        <v>42216</v>
      </c>
      <c r="E1876" s="2" t="s">
        <v>39</v>
      </c>
      <c r="F1876" s="2" t="s">
        <v>1245</v>
      </c>
      <c r="G1876" s="2" t="s">
        <v>1246</v>
      </c>
      <c r="H1876" s="2" t="s">
        <v>90</v>
      </c>
      <c r="I1876" s="2" t="s">
        <v>25</v>
      </c>
      <c r="J1876" s="2" t="s">
        <v>1302</v>
      </c>
      <c r="K1876" s="2" t="s">
        <v>520</v>
      </c>
      <c r="L1876" s="2" t="s">
        <v>54</v>
      </c>
      <c r="M1876" s="2" t="s">
        <v>821</v>
      </c>
      <c r="N1876" s="2" t="s">
        <v>30</v>
      </c>
      <c r="O1876" s="2" t="s">
        <v>36</v>
      </c>
      <c r="P1876" s="2" t="s">
        <v>822</v>
      </c>
      <c r="Q1876" s="2">
        <v>266.35199999999998</v>
      </c>
      <c r="R1876" s="2">
        <v>3</v>
      </c>
      <c r="S1876" s="2">
        <v>13.317600000000001</v>
      </c>
      <c r="T1876" s="2" t="s">
        <v>58</v>
      </c>
      <c r="U1876" s="2" t="s">
        <v>71</v>
      </c>
    </row>
    <row r="1877" spans="1:21" ht="14.25" customHeight="1" x14ac:dyDescent="0.3">
      <c r="A1877" s="2" t="s">
        <v>4122</v>
      </c>
      <c r="B1877" s="5">
        <v>42323</v>
      </c>
      <c r="C1877" s="2" t="str">
        <f>TEXT(data[[#This Row],[Order Date]],"YYYY")</f>
        <v>2015</v>
      </c>
      <c r="D1877" s="2">
        <v>42327</v>
      </c>
      <c r="E1877" s="2" t="s">
        <v>39</v>
      </c>
      <c r="F1877" s="2" t="s">
        <v>2596</v>
      </c>
      <c r="G1877" s="2" t="s">
        <v>2597</v>
      </c>
      <c r="H1877" s="2" t="s">
        <v>100</v>
      </c>
      <c r="I1877" s="2" t="s">
        <v>25</v>
      </c>
      <c r="J1877" s="2" t="s">
        <v>1076</v>
      </c>
      <c r="K1877" s="2" t="s">
        <v>716</v>
      </c>
      <c r="L1877" s="2" t="s">
        <v>28</v>
      </c>
      <c r="M1877" s="2" t="s">
        <v>697</v>
      </c>
      <c r="N1877" s="2" t="s">
        <v>30</v>
      </c>
      <c r="O1877" s="2" t="s">
        <v>56</v>
      </c>
      <c r="P1877" s="2" t="s">
        <v>698</v>
      </c>
      <c r="Q1877" s="2">
        <v>39.96</v>
      </c>
      <c r="R1877" s="2">
        <v>2</v>
      </c>
      <c r="S1877" s="2">
        <v>14.3856</v>
      </c>
      <c r="T1877" s="2" t="s">
        <v>83</v>
      </c>
      <c r="U1877" s="2" t="s">
        <v>34</v>
      </c>
    </row>
    <row r="1878" spans="1:21" ht="14.25" customHeight="1" x14ac:dyDescent="0.3">
      <c r="A1878" s="2" t="s">
        <v>4123</v>
      </c>
      <c r="B1878" s="5">
        <v>42187</v>
      </c>
      <c r="C1878" s="2" t="str">
        <f>TEXT(data[[#This Row],[Order Date]],"YYYY")</f>
        <v>2015</v>
      </c>
      <c r="D1878" s="2">
        <v>42189</v>
      </c>
      <c r="E1878" s="2" t="s">
        <v>87</v>
      </c>
      <c r="F1878" s="2" t="s">
        <v>1535</v>
      </c>
      <c r="G1878" s="2" t="s">
        <v>1536</v>
      </c>
      <c r="H1878" s="2" t="s">
        <v>90</v>
      </c>
      <c r="I1878" s="2" t="s">
        <v>25</v>
      </c>
      <c r="J1878" s="2" t="s">
        <v>2017</v>
      </c>
      <c r="K1878" s="2" t="s">
        <v>1036</v>
      </c>
      <c r="L1878" s="2" t="s">
        <v>28</v>
      </c>
      <c r="M1878" s="2" t="s">
        <v>1121</v>
      </c>
      <c r="N1878" s="2" t="s">
        <v>30</v>
      </c>
      <c r="O1878" s="2" t="s">
        <v>56</v>
      </c>
      <c r="P1878" s="2" t="s">
        <v>1122</v>
      </c>
      <c r="Q1878" s="2">
        <v>159.84</v>
      </c>
      <c r="R1878" s="2">
        <v>10</v>
      </c>
      <c r="S1878" s="2">
        <v>45.954000000000001</v>
      </c>
      <c r="T1878" s="2" t="s">
        <v>70</v>
      </c>
      <c r="U1878" s="2" t="s">
        <v>71</v>
      </c>
    </row>
    <row r="1879" spans="1:21" ht="14.25" customHeight="1" x14ac:dyDescent="0.3">
      <c r="A1879" s="2" t="s">
        <v>4124</v>
      </c>
      <c r="B1879" s="5">
        <v>42258</v>
      </c>
      <c r="C1879" s="2" t="str">
        <f>TEXT(data[[#This Row],[Order Date]],"YYYY")</f>
        <v>2015</v>
      </c>
      <c r="D1879" s="2">
        <v>42265</v>
      </c>
      <c r="E1879" s="2" t="s">
        <v>39</v>
      </c>
      <c r="F1879" s="2" t="s">
        <v>1651</v>
      </c>
      <c r="G1879" s="2" t="s">
        <v>1652</v>
      </c>
      <c r="H1879" s="2" t="s">
        <v>100</v>
      </c>
      <c r="I1879" s="2" t="s">
        <v>25</v>
      </c>
      <c r="J1879" s="2" t="s">
        <v>3563</v>
      </c>
      <c r="K1879" s="2" t="s">
        <v>362</v>
      </c>
      <c r="L1879" s="2" t="s">
        <v>67</v>
      </c>
      <c r="M1879" s="2" t="s">
        <v>1912</v>
      </c>
      <c r="N1879" s="2" t="s">
        <v>30</v>
      </c>
      <c r="O1879" s="2" t="s">
        <v>56</v>
      </c>
      <c r="P1879" s="2" t="s">
        <v>1913</v>
      </c>
      <c r="Q1879" s="2">
        <v>8.92</v>
      </c>
      <c r="R1879" s="2">
        <v>4</v>
      </c>
      <c r="S1879" s="2">
        <v>3.9247999999999998</v>
      </c>
      <c r="T1879" s="2" t="s">
        <v>47</v>
      </c>
      <c r="U1879" s="2" t="s">
        <v>77</v>
      </c>
    </row>
    <row r="1880" spans="1:21" ht="14.25" customHeight="1" x14ac:dyDescent="0.3">
      <c r="A1880" s="2" t="s">
        <v>4125</v>
      </c>
      <c r="B1880" s="5">
        <v>41902</v>
      </c>
      <c r="C1880" s="2" t="str">
        <f>TEXT(data[[#This Row],[Order Date]],"YYYY")</f>
        <v>2014</v>
      </c>
      <c r="D1880" s="2">
        <v>41905</v>
      </c>
      <c r="E1880" s="2" t="s">
        <v>87</v>
      </c>
      <c r="F1880" s="2" t="s">
        <v>4126</v>
      </c>
      <c r="G1880" s="2" t="s">
        <v>4127</v>
      </c>
      <c r="H1880" s="2" t="s">
        <v>24</v>
      </c>
      <c r="I1880" s="2" t="s">
        <v>25</v>
      </c>
      <c r="J1880" s="2" t="s">
        <v>133</v>
      </c>
      <c r="K1880" s="2" t="s">
        <v>134</v>
      </c>
      <c r="L1880" s="2" t="s">
        <v>93</v>
      </c>
      <c r="M1880" s="2" t="s">
        <v>2622</v>
      </c>
      <c r="N1880" s="2" t="s">
        <v>30</v>
      </c>
      <c r="O1880" s="2" t="s">
        <v>31</v>
      </c>
      <c r="P1880" s="2" t="s">
        <v>2623</v>
      </c>
      <c r="Q1880" s="2">
        <v>493.43</v>
      </c>
      <c r="R1880" s="2">
        <v>5</v>
      </c>
      <c r="S1880" s="2">
        <v>-70.489999999999995</v>
      </c>
      <c r="T1880" s="2" t="s">
        <v>33</v>
      </c>
      <c r="U1880" s="2" t="s">
        <v>77</v>
      </c>
    </row>
    <row r="1881" spans="1:21" ht="14.25" customHeight="1" x14ac:dyDescent="0.3">
      <c r="A1881" s="2" t="s">
        <v>4128</v>
      </c>
      <c r="B1881" s="5">
        <v>43070</v>
      </c>
      <c r="C1881" s="2" t="str">
        <f>TEXT(data[[#This Row],[Order Date]],"YYYY")</f>
        <v>2017</v>
      </c>
      <c r="D1881" s="2">
        <v>43075</v>
      </c>
      <c r="E1881" s="2" t="s">
        <v>39</v>
      </c>
      <c r="F1881" s="2" t="s">
        <v>2024</v>
      </c>
      <c r="G1881" s="2" t="s">
        <v>2025</v>
      </c>
      <c r="H1881" s="2" t="s">
        <v>90</v>
      </c>
      <c r="I1881" s="2" t="s">
        <v>25</v>
      </c>
      <c r="J1881" s="2" t="s">
        <v>191</v>
      </c>
      <c r="K1881" s="2" t="s">
        <v>192</v>
      </c>
      <c r="L1881" s="2" t="s">
        <v>54</v>
      </c>
      <c r="M1881" s="2" t="s">
        <v>422</v>
      </c>
      <c r="N1881" s="2" t="s">
        <v>30</v>
      </c>
      <c r="O1881" s="2" t="s">
        <v>56</v>
      </c>
      <c r="P1881" s="2" t="s">
        <v>423</v>
      </c>
      <c r="Q1881" s="2">
        <v>70.680000000000007</v>
      </c>
      <c r="R1881" s="2">
        <v>12</v>
      </c>
      <c r="S1881" s="2">
        <v>31.0992</v>
      </c>
      <c r="T1881" s="2" t="s">
        <v>58</v>
      </c>
      <c r="U1881" s="2" t="s">
        <v>96</v>
      </c>
    </row>
    <row r="1882" spans="1:21" ht="14.25" customHeight="1" x14ac:dyDescent="0.3">
      <c r="A1882" s="2" t="s">
        <v>4129</v>
      </c>
      <c r="B1882" s="5">
        <v>43070</v>
      </c>
      <c r="C1882" s="2" t="str">
        <f>TEXT(data[[#This Row],[Order Date]],"YYYY")</f>
        <v>2017</v>
      </c>
      <c r="D1882" s="2">
        <v>43076</v>
      </c>
      <c r="E1882" s="2" t="s">
        <v>39</v>
      </c>
      <c r="F1882" s="2" t="s">
        <v>1479</v>
      </c>
      <c r="G1882" s="2" t="s">
        <v>1480</v>
      </c>
      <c r="H1882" s="2" t="s">
        <v>100</v>
      </c>
      <c r="I1882" s="2" t="s">
        <v>25</v>
      </c>
      <c r="J1882" s="2" t="s">
        <v>4130</v>
      </c>
      <c r="K1882" s="2" t="s">
        <v>53</v>
      </c>
      <c r="L1882" s="2" t="s">
        <v>54</v>
      </c>
      <c r="M1882" s="2" t="s">
        <v>725</v>
      </c>
      <c r="N1882" s="2" t="s">
        <v>30</v>
      </c>
      <c r="O1882" s="2" t="s">
        <v>56</v>
      </c>
      <c r="P1882" s="2" t="s">
        <v>726</v>
      </c>
      <c r="Q1882" s="2">
        <v>629.64</v>
      </c>
      <c r="R1882" s="2">
        <v>9</v>
      </c>
      <c r="S1882" s="2">
        <v>107.03879999999999</v>
      </c>
      <c r="T1882" s="2" t="s">
        <v>129</v>
      </c>
      <c r="U1882" s="2" t="s">
        <v>96</v>
      </c>
    </row>
    <row r="1883" spans="1:21" ht="14.25" customHeight="1" x14ac:dyDescent="0.3">
      <c r="A1883" s="2" t="s">
        <v>4131</v>
      </c>
      <c r="B1883" s="5">
        <v>42629</v>
      </c>
      <c r="C1883" s="2" t="str">
        <f>TEXT(data[[#This Row],[Order Date]],"YYYY")</f>
        <v>2016</v>
      </c>
      <c r="D1883" s="2">
        <v>42631</v>
      </c>
      <c r="E1883" s="2" t="s">
        <v>87</v>
      </c>
      <c r="F1883" s="2" t="s">
        <v>4132</v>
      </c>
      <c r="G1883" s="2" t="s">
        <v>4133</v>
      </c>
      <c r="H1883" s="2" t="s">
        <v>100</v>
      </c>
      <c r="I1883" s="2" t="s">
        <v>25</v>
      </c>
      <c r="J1883" s="2" t="s">
        <v>347</v>
      </c>
      <c r="K1883" s="2" t="s">
        <v>667</v>
      </c>
      <c r="L1883" s="2" t="s">
        <v>28</v>
      </c>
      <c r="M1883" s="2" t="s">
        <v>135</v>
      </c>
      <c r="N1883" s="2" t="s">
        <v>30</v>
      </c>
      <c r="O1883" s="2" t="s">
        <v>36</v>
      </c>
      <c r="P1883" s="2" t="s">
        <v>136</v>
      </c>
      <c r="Q1883" s="2">
        <v>121.78</v>
      </c>
      <c r="R1883" s="2">
        <v>2</v>
      </c>
      <c r="S1883" s="2">
        <v>30.445</v>
      </c>
      <c r="T1883" s="2" t="s">
        <v>70</v>
      </c>
      <c r="U1883" s="2" t="s">
        <v>77</v>
      </c>
    </row>
    <row r="1884" spans="1:21" ht="14.25" customHeight="1" x14ac:dyDescent="0.3">
      <c r="A1884" s="2" t="s">
        <v>4134</v>
      </c>
      <c r="B1884" s="5">
        <v>42339</v>
      </c>
      <c r="C1884" s="2" t="str">
        <f>TEXT(data[[#This Row],[Order Date]],"YYYY")</f>
        <v>2015</v>
      </c>
      <c r="D1884" s="2">
        <v>42344</v>
      </c>
      <c r="E1884" s="2" t="s">
        <v>39</v>
      </c>
      <c r="F1884" s="2" t="s">
        <v>3930</v>
      </c>
      <c r="G1884" s="2" t="s">
        <v>3931</v>
      </c>
      <c r="H1884" s="2" t="s">
        <v>100</v>
      </c>
      <c r="I1884" s="2" t="s">
        <v>25</v>
      </c>
      <c r="J1884" s="2" t="s">
        <v>639</v>
      </c>
      <c r="K1884" s="2" t="s">
        <v>53</v>
      </c>
      <c r="L1884" s="2" t="s">
        <v>54</v>
      </c>
      <c r="M1884" s="2" t="s">
        <v>1095</v>
      </c>
      <c r="N1884" s="2" t="s">
        <v>30</v>
      </c>
      <c r="O1884" s="2" t="s">
        <v>36</v>
      </c>
      <c r="P1884" s="2" t="s">
        <v>1096</v>
      </c>
      <c r="Q1884" s="2">
        <v>2676.672</v>
      </c>
      <c r="R1884" s="2">
        <v>9</v>
      </c>
      <c r="S1884" s="2">
        <v>267.66719999999998</v>
      </c>
      <c r="T1884" s="2" t="s">
        <v>58</v>
      </c>
      <c r="U1884" s="2" t="s">
        <v>96</v>
      </c>
    </row>
    <row r="1885" spans="1:21" ht="14.25" customHeight="1" x14ac:dyDescent="0.3">
      <c r="A1885" s="2" t="s">
        <v>4135</v>
      </c>
      <c r="B1885" s="5">
        <v>41856</v>
      </c>
      <c r="C1885" s="2" t="str">
        <f>TEXT(data[[#This Row],[Order Date]],"YYYY")</f>
        <v>2014</v>
      </c>
      <c r="D1885" s="2">
        <v>41863</v>
      </c>
      <c r="E1885" s="2" t="s">
        <v>39</v>
      </c>
      <c r="F1885" s="2" t="s">
        <v>2790</v>
      </c>
      <c r="G1885" s="2" t="s">
        <v>2791</v>
      </c>
      <c r="H1885" s="2" t="s">
        <v>24</v>
      </c>
      <c r="I1885" s="2" t="s">
        <v>25</v>
      </c>
      <c r="J1885" s="2" t="s">
        <v>3532</v>
      </c>
      <c r="K1885" s="2" t="s">
        <v>92</v>
      </c>
      <c r="L1885" s="2" t="s">
        <v>93</v>
      </c>
      <c r="M1885" s="2" t="s">
        <v>1461</v>
      </c>
      <c r="N1885" s="2" t="s">
        <v>30</v>
      </c>
      <c r="O1885" s="2" t="s">
        <v>45</v>
      </c>
      <c r="P1885" s="2" t="s">
        <v>1462</v>
      </c>
      <c r="Q1885" s="2">
        <v>489.23</v>
      </c>
      <c r="R1885" s="2">
        <v>2</v>
      </c>
      <c r="S1885" s="2">
        <v>41.933999999999997</v>
      </c>
      <c r="T1885" s="2" t="s">
        <v>47</v>
      </c>
      <c r="U1885" s="2" t="s">
        <v>253</v>
      </c>
    </row>
    <row r="1886" spans="1:21" ht="14.25" customHeight="1" x14ac:dyDescent="0.3">
      <c r="A1886" s="2" t="s">
        <v>4136</v>
      </c>
      <c r="B1886" s="5">
        <v>42597</v>
      </c>
      <c r="C1886" s="2" t="str">
        <f>TEXT(data[[#This Row],[Order Date]],"YYYY")</f>
        <v>2016</v>
      </c>
      <c r="D1886" s="2">
        <v>42604</v>
      </c>
      <c r="E1886" s="2" t="s">
        <v>39</v>
      </c>
      <c r="F1886" s="2" t="s">
        <v>599</v>
      </c>
      <c r="G1886" s="2" t="s">
        <v>600</v>
      </c>
      <c r="H1886" s="2" t="s">
        <v>24</v>
      </c>
      <c r="I1886" s="2" t="s">
        <v>25</v>
      </c>
      <c r="J1886" s="2" t="s">
        <v>52</v>
      </c>
      <c r="K1886" s="2" t="s">
        <v>53</v>
      </c>
      <c r="L1886" s="2" t="s">
        <v>54</v>
      </c>
      <c r="M1886" s="2" t="s">
        <v>717</v>
      </c>
      <c r="N1886" s="2" t="s">
        <v>30</v>
      </c>
      <c r="O1886" s="2" t="s">
        <v>56</v>
      </c>
      <c r="P1886" s="2" t="s">
        <v>718</v>
      </c>
      <c r="Q1886" s="2">
        <v>312.02999999999997</v>
      </c>
      <c r="R1886" s="2">
        <v>3</v>
      </c>
      <c r="S1886" s="2">
        <v>43.684199999999997</v>
      </c>
      <c r="T1886" s="2" t="s">
        <v>47</v>
      </c>
      <c r="U1886" s="2" t="s">
        <v>253</v>
      </c>
    </row>
    <row r="1887" spans="1:21" ht="14.25" customHeight="1" x14ac:dyDescent="0.3">
      <c r="A1887" s="2" t="s">
        <v>4137</v>
      </c>
      <c r="B1887" s="5">
        <v>42521</v>
      </c>
      <c r="C1887" s="2" t="str">
        <f>TEXT(data[[#This Row],[Order Date]],"YYYY")</f>
        <v>2016</v>
      </c>
      <c r="D1887" s="2">
        <v>42525</v>
      </c>
      <c r="E1887" s="2" t="s">
        <v>39</v>
      </c>
      <c r="F1887" s="2" t="s">
        <v>1207</v>
      </c>
      <c r="G1887" s="2" t="s">
        <v>1208</v>
      </c>
      <c r="H1887" s="2" t="s">
        <v>24</v>
      </c>
      <c r="I1887" s="2" t="s">
        <v>25</v>
      </c>
      <c r="J1887" s="2" t="s">
        <v>513</v>
      </c>
      <c r="K1887" s="2" t="s">
        <v>134</v>
      </c>
      <c r="L1887" s="2" t="s">
        <v>93</v>
      </c>
      <c r="M1887" s="2" t="s">
        <v>3919</v>
      </c>
      <c r="N1887" s="2" t="s">
        <v>30</v>
      </c>
      <c r="O1887" s="2" t="s">
        <v>56</v>
      </c>
      <c r="P1887" s="2" t="s">
        <v>3920</v>
      </c>
      <c r="Q1887" s="2">
        <v>32.064</v>
      </c>
      <c r="R1887" s="2">
        <v>3</v>
      </c>
      <c r="S1887" s="2">
        <v>-12.8256</v>
      </c>
      <c r="T1887" s="2" t="s">
        <v>83</v>
      </c>
      <c r="U1887" s="2" t="s">
        <v>161</v>
      </c>
    </row>
    <row r="1888" spans="1:21" ht="14.25" customHeight="1" x14ac:dyDescent="0.3">
      <c r="A1888" s="2" t="s">
        <v>4137</v>
      </c>
      <c r="B1888" s="5">
        <v>42521</v>
      </c>
      <c r="C1888" s="2" t="str">
        <f>TEXT(data[[#This Row],[Order Date]],"YYYY")</f>
        <v>2016</v>
      </c>
      <c r="D1888" s="2">
        <v>42525</v>
      </c>
      <c r="E1888" s="2" t="s">
        <v>39</v>
      </c>
      <c r="F1888" s="2" t="s">
        <v>1207</v>
      </c>
      <c r="G1888" s="2" t="s">
        <v>1208</v>
      </c>
      <c r="H1888" s="2" t="s">
        <v>24</v>
      </c>
      <c r="I1888" s="2" t="s">
        <v>25</v>
      </c>
      <c r="J1888" s="2" t="s">
        <v>513</v>
      </c>
      <c r="K1888" s="2" t="s">
        <v>134</v>
      </c>
      <c r="L1888" s="2" t="s">
        <v>93</v>
      </c>
      <c r="M1888" s="2" t="s">
        <v>2180</v>
      </c>
      <c r="N1888" s="2" t="s">
        <v>30</v>
      </c>
      <c r="O1888" s="2" t="s">
        <v>36</v>
      </c>
      <c r="P1888" s="2" t="s">
        <v>2181</v>
      </c>
      <c r="Q1888" s="2">
        <v>191.07900000000001</v>
      </c>
      <c r="R1888" s="2">
        <v>3</v>
      </c>
      <c r="S1888" s="2">
        <v>-38.215800000000002</v>
      </c>
      <c r="T1888" s="2" t="s">
        <v>83</v>
      </c>
      <c r="U1888" s="2" t="s">
        <v>161</v>
      </c>
    </row>
    <row r="1889" spans="1:21" ht="14.25" customHeight="1" x14ac:dyDescent="0.3">
      <c r="A1889" s="2" t="s">
        <v>4138</v>
      </c>
      <c r="B1889" s="5">
        <v>41731</v>
      </c>
      <c r="C1889" s="2" t="str">
        <f>TEXT(data[[#This Row],[Order Date]],"YYYY")</f>
        <v>2014</v>
      </c>
      <c r="D1889" s="2">
        <v>41737</v>
      </c>
      <c r="E1889" s="2" t="s">
        <v>39</v>
      </c>
      <c r="F1889" s="2" t="s">
        <v>2576</v>
      </c>
      <c r="G1889" s="2" t="s">
        <v>2577</v>
      </c>
      <c r="H1889" s="2" t="s">
        <v>90</v>
      </c>
      <c r="I1889" s="2" t="s">
        <v>25</v>
      </c>
      <c r="J1889" s="2" t="s">
        <v>3539</v>
      </c>
      <c r="K1889" s="2" t="s">
        <v>716</v>
      </c>
      <c r="L1889" s="2" t="s">
        <v>28</v>
      </c>
      <c r="M1889" s="2" t="s">
        <v>3157</v>
      </c>
      <c r="N1889" s="2" t="s">
        <v>30</v>
      </c>
      <c r="O1889" s="2" t="s">
        <v>56</v>
      </c>
      <c r="P1889" s="2" t="s">
        <v>3158</v>
      </c>
      <c r="Q1889" s="2">
        <v>177.68</v>
      </c>
      <c r="R1889" s="2">
        <v>2</v>
      </c>
      <c r="S1889" s="2">
        <v>46.196800000000003</v>
      </c>
      <c r="T1889" s="2" t="s">
        <v>129</v>
      </c>
      <c r="U1889" s="2" t="s">
        <v>113</v>
      </c>
    </row>
    <row r="1890" spans="1:21" ht="14.25" customHeight="1" x14ac:dyDescent="0.3">
      <c r="A1890" s="2" t="s">
        <v>4139</v>
      </c>
      <c r="B1890" s="5">
        <v>42647</v>
      </c>
      <c r="C1890" s="2" t="str">
        <f>TEXT(data[[#This Row],[Order Date]],"YYYY")</f>
        <v>2016</v>
      </c>
      <c r="D1890" s="2">
        <v>42651</v>
      </c>
      <c r="E1890" s="2" t="s">
        <v>39</v>
      </c>
      <c r="F1890" s="2" t="s">
        <v>2576</v>
      </c>
      <c r="G1890" s="2" t="s">
        <v>2577</v>
      </c>
      <c r="H1890" s="2" t="s">
        <v>90</v>
      </c>
      <c r="I1890" s="2" t="s">
        <v>25</v>
      </c>
      <c r="J1890" s="2" t="s">
        <v>4140</v>
      </c>
      <c r="K1890" s="2" t="s">
        <v>43</v>
      </c>
      <c r="L1890" s="2" t="s">
        <v>28</v>
      </c>
      <c r="M1890" s="2" t="s">
        <v>959</v>
      </c>
      <c r="N1890" s="2" t="s">
        <v>30</v>
      </c>
      <c r="O1890" s="2" t="s">
        <v>56</v>
      </c>
      <c r="P1890" s="2" t="s">
        <v>960</v>
      </c>
      <c r="Q1890" s="2">
        <v>11.568</v>
      </c>
      <c r="R1890" s="2">
        <v>3</v>
      </c>
      <c r="S1890" s="2">
        <v>2.6027999999999998</v>
      </c>
      <c r="T1890" s="2" t="s">
        <v>83</v>
      </c>
      <c r="U1890" s="2" t="s">
        <v>48</v>
      </c>
    </row>
    <row r="1891" spans="1:21" ht="14.25" customHeight="1" x14ac:dyDescent="0.3">
      <c r="A1891" s="2" t="s">
        <v>4141</v>
      </c>
      <c r="B1891" s="5">
        <v>42399</v>
      </c>
      <c r="C1891" s="2" t="str">
        <f>TEXT(data[[#This Row],[Order Date]],"YYYY")</f>
        <v>2016</v>
      </c>
      <c r="D1891" s="2">
        <v>42403</v>
      </c>
      <c r="E1891" s="2" t="s">
        <v>39</v>
      </c>
      <c r="F1891" s="2" t="s">
        <v>4142</v>
      </c>
      <c r="G1891" s="2" t="s">
        <v>4143</v>
      </c>
      <c r="H1891" s="2" t="s">
        <v>24</v>
      </c>
      <c r="I1891" s="2" t="s">
        <v>25</v>
      </c>
      <c r="J1891" s="2" t="s">
        <v>1002</v>
      </c>
      <c r="K1891" s="2" t="s">
        <v>134</v>
      </c>
      <c r="L1891" s="2" t="s">
        <v>93</v>
      </c>
      <c r="M1891" s="2" t="s">
        <v>612</v>
      </c>
      <c r="N1891" s="2" t="s">
        <v>30</v>
      </c>
      <c r="O1891" s="2" t="s">
        <v>45</v>
      </c>
      <c r="P1891" s="2" t="s">
        <v>613</v>
      </c>
      <c r="Q1891" s="2">
        <v>626.1</v>
      </c>
      <c r="R1891" s="2">
        <v>3</v>
      </c>
      <c r="S1891" s="2">
        <v>-538.44600000000003</v>
      </c>
      <c r="T1891" s="2" t="s">
        <v>83</v>
      </c>
      <c r="U1891" s="2" t="s">
        <v>169</v>
      </c>
    </row>
    <row r="1892" spans="1:21" ht="14.25" customHeight="1" x14ac:dyDescent="0.3">
      <c r="A1892" s="2" t="s">
        <v>4144</v>
      </c>
      <c r="B1892" s="5">
        <v>42107</v>
      </c>
      <c r="C1892" s="2" t="str">
        <f>TEXT(data[[#This Row],[Order Date]],"YYYY")</f>
        <v>2015</v>
      </c>
      <c r="D1892" s="2">
        <v>42111</v>
      </c>
      <c r="E1892" s="2" t="s">
        <v>39</v>
      </c>
      <c r="F1892" s="2" t="s">
        <v>3052</v>
      </c>
      <c r="G1892" s="2" t="s">
        <v>3053</v>
      </c>
      <c r="H1892" s="2" t="s">
        <v>24</v>
      </c>
      <c r="I1892" s="2" t="s">
        <v>25</v>
      </c>
      <c r="J1892" s="2" t="s">
        <v>1868</v>
      </c>
      <c r="K1892" s="2" t="s">
        <v>92</v>
      </c>
      <c r="L1892" s="2" t="s">
        <v>93</v>
      </c>
      <c r="M1892" s="2" t="s">
        <v>699</v>
      </c>
      <c r="N1892" s="2" t="s">
        <v>30</v>
      </c>
      <c r="O1892" s="2" t="s">
        <v>45</v>
      </c>
      <c r="P1892" s="2" t="s">
        <v>700</v>
      </c>
      <c r="Q1892" s="2">
        <v>609.98</v>
      </c>
      <c r="R1892" s="2">
        <v>4</v>
      </c>
      <c r="S1892" s="2">
        <v>-113.282</v>
      </c>
      <c r="T1892" s="2" t="s">
        <v>83</v>
      </c>
      <c r="U1892" s="2" t="s">
        <v>113</v>
      </c>
    </row>
    <row r="1893" spans="1:21" ht="14.25" customHeight="1" x14ac:dyDescent="0.3">
      <c r="A1893" s="2" t="s">
        <v>4144</v>
      </c>
      <c r="B1893" s="5">
        <v>42107</v>
      </c>
      <c r="C1893" s="2" t="str">
        <f>TEXT(data[[#This Row],[Order Date]],"YYYY")</f>
        <v>2015</v>
      </c>
      <c r="D1893" s="2">
        <v>42111</v>
      </c>
      <c r="E1893" s="2" t="s">
        <v>39</v>
      </c>
      <c r="F1893" s="2" t="s">
        <v>3052</v>
      </c>
      <c r="G1893" s="2" t="s">
        <v>3053</v>
      </c>
      <c r="H1893" s="2" t="s">
        <v>24</v>
      </c>
      <c r="I1893" s="2" t="s">
        <v>25</v>
      </c>
      <c r="J1893" s="2" t="s">
        <v>1868</v>
      </c>
      <c r="K1893" s="2" t="s">
        <v>92</v>
      </c>
      <c r="L1893" s="2" t="s">
        <v>93</v>
      </c>
      <c r="M1893" s="2" t="s">
        <v>1284</v>
      </c>
      <c r="N1893" s="2" t="s">
        <v>30</v>
      </c>
      <c r="O1893" s="2" t="s">
        <v>45</v>
      </c>
      <c r="P1893" s="2" t="s">
        <v>1285</v>
      </c>
      <c r="Q1893" s="2">
        <v>211.37200000000001</v>
      </c>
      <c r="R1893" s="2">
        <v>2</v>
      </c>
      <c r="S1893" s="2">
        <v>-45.293999999999997</v>
      </c>
      <c r="T1893" s="2" t="s">
        <v>83</v>
      </c>
      <c r="U1893" s="2" t="s">
        <v>113</v>
      </c>
    </row>
    <row r="1894" spans="1:21" ht="14.25" customHeight="1" x14ac:dyDescent="0.3">
      <c r="A1894" s="2" t="s">
        <v>4145</v>
      </c>
      <c r="B1894" s="5">
        <v>43087</v>
      </c>
      <c r="C1894" s="2" t="str">
        <f>TEXT(data[[#This Row],[Order Date]],"YYYY")</f>
        <v>2017</v>
      </c>
      <c r="D1894" s="2">
        <v>43093</v>
      </c>
      <c r="E1894" s="2" t="s">
        <v>39</v>
      </c>
      <c r="F1894" s="2" t="s">
        <v>4028</v>
      </c>
      <c r="G1894" s="2" t="s">
        <v>4029</v>
      </c>
      <c r="H1894" s="2" t="s">
        <v>90</v>
      </c>
      <c r="I1894" s="2" t="s">
        <v>25</v>
      </c>
      <c r="J1894" s="2" t="s">
        <v>905</v>
      </c>
      <c r="K1894" s="2" t="s">
        <v>238</v>
      </c>
      <c r="L1894" s="2" t="s">
        <v>93</v>
      </c>
      <c r="M1894" s="2" t="s">
        <v>3582</v>
      </c>
      <c r="N1894" s="2" t="s">
        <v>30</v>
      </c>
      <c r="O1894" s="2" t="s">
        <v>56</v>
      </c>
      <c r="P1894" s="2" t="s">
        <v>3583</v>
      </c>
      <c r="Q1894" s="2">
        <v>99.95</v>
      </c>
      <c r="R1894" s="2">
        <v>5</v>
      </c>
      <c r="S1894" s="2">
        <v>22.988499999999998</v>
      </c>
      <c r="T1894" s="2" t="s">
        <v>129</v>
      </c>
      <c r="U1894" s="2" t="s">
        <v>96</v>
      </c>
    </row>
    <row r="1895" spans="1:21" ht="14.25" customHeight="1" x14ac:dyDescent="0.3">
      <c r="A1895" s="2" t="s">
        <v>4146</v>
      </c>
      <c r="B1895" s="5">
        <v>42443</v>
      </c>
      <c r="C1895" s="2" t="str">
        <f>TEXT(data[[#This Row],[Order Date]],"YYYY")</f>
        <v>2016</v>
      </c>
      <c r="D1895" s="2">
        <v>42448</v>
      </c>
      <c r="E1895" s="2" t="s">
        <v>39</v>
      </c>
      <c r="F1895" s="2" t="s">
        <v>3497</v>
      </c>
      <c r="G1895" s="2" t="s">
        <v>3498</v>
      </c>
      <c r="H1895" s="2" t="s">
        <v>90</v>
      </c>
      <c r="I1895" s="2" t="s">
        <v>25</v>
      </c>
      <c r="J1895" s="2" t="s">
        <v>4147</v>
      </c>
      <c r="K1895" s="2" t="s">
        <v>238</v>
      </c>
      <c r="L1895" s="2" t="s">
        <v>93</v>
      </c>
      <c r="M1895" s="2" t="s">
        <v>1147</v>
      </c>
      <c r="N1895" s="2" t="s">
        <v>30</v>
      </c>
      <c r="O1895" s="2" t="s">
        <v>56</v>
      </c>
      <c r="P1895" s="2" t="s">
        <v>1148</v>
      </c>
      <c r="Q1895" s="2">
        <v>16.739999999999998</v>
      </c>
      <c r="R1895" s="2">
        <v>2</v>
      </c>
      <c r="S1895" s="2">
        <v>4.3524000000000003</v>
      </c>
      <c r="T1895" s="2" t="s">
        <v>58</v>
      </c>
      <c r="U1895" s="2" t="s">
        <v>195</v>
      </c>
    </row>
    <row r="1896" spans="1:21" ht="14.25" customHeight="1" x14ac:dyDescent="0.3">
      <c r="A1896" s="2" t="s">
        <v>4148</v>
      </c>
      <c r="B1896" s="5">
        <v>43018</v>
      </c>
      <c r="C1896" s="2" t="str">
        <f>TEXT(data[[#This Row],[Order Date]],"YYYY")</f>
        <v>2017</v>
      </c>
      <c r="D1896" s="2">
        <v>43024</v>
      </c>
      <c r="E1896" s="2" t="s">
        <v>39</v>
      </c>
      <c r="F1896" s="2" t="s">
        <v>3348</v>
      </c>
      <c r="G1896" s="2" t="s">
        <v>3349</v>
      </c>
      <c r="H1896" s="2" t="s">
        <v>24</v>
      </c>
      <c r="I1896" s="2" t="s">
        <v>25</v>
      </c>
      <c r="J1896" s="2" t="s">
        <v>179</v>
      </c>
      <c r="K1896" s="2" t="s">
        <v>134</v>
      </c>
      <c r="L1896" s="2" t="s">
        <v>93</v>
      </c>
      <c r="M1896" s="2" t="s">
        <v>3216</v>
      </c>
      <c r="N1896" s="2" t="s">
        <v>30</v>
      </c>
      <c r="O1896" s="2" t="s">
        <v>36</v>
      </c>
      <c r="P1896" s="2" t="s">
        <v>3217</v>
      </c>
      <c r="Q1896" s="2">
        <v>239.358</v>
      </c>
      <c r="R1896" s="2">
        <v>3</v>
      </c>
      <c r="S1896" s="2">
        <v>-47.871600000000001</v>
      </c>
      <c r="T1896" s="2" t="s">
        <v>129</v>
      </c>
      <c r="U1896" s="2" t="s">
        <v>48</v>
      </c>
    </row>
    <row r="1897" spans="1:21" ht="14.25" customHeight="1" x14ac:dyDescent="0.3">
      <c r="A1897" s="2" t="s">
        <v>4149</v>
      </c>
      <c r="B1897" s="5">
        <v>43091</v>
      </c>
      <c r="C1897" s="2" t="str">
        <f>TEXT(data[[#This Row],[Order Date]],"YYYY")</f>
        <v>2017</v>
      </c>
      <c r="D1897" s="2">
        <v>43097</v>
      </c>
      <c r="E1897" s="2" t="s">
        <v>39</v>
      </c>
      <c r="F1897" s="2" t="s">
        <v>4150</v>
      </c>
      <c r="G1897" s="2" t="s">
        <v>4151</v>
      </c>
      <c r="H1897" s="2" t="s">
        <v>24</v>
      </c>
      <c r="I1897" s="2" t="s">
        <v>25</v>
      </c>
      <c r="J1897" s="2" t="s">
        <v>477</v>
      </c>
      <c r="K1897" s="2" t="s">
        <v>141</v>
      </c>
      <c r="L1897" s="2" t="s">
        <v>28</v>
      </c>
      <c r="M1897" s="2" t="s">
        <v>342</v>
      </c>
      <c r="N1897" s="2" t="s">
        <v>30</v>
      </c>
      <c r="O1897" s="2" t="s">
        <v>45</v>
      </c>
      <c r="P1897" s="2" t="s">
        <v>343</v>
      </c>
      <c r="Q1897" s="2">
        <v>934.95600000000002</v>
      </c>
      <c r="R1897" s="2">
        <v>6</v>
      </c>
      <c r="S1897" s="2">
        <v>-249.32159999999999</v>
      </c>
      <c r="T1897" s="2" t="s">
        <v>129</v>
      </c>
      <c r="U1897" s="2" t="s">
        <v>96</v>
      </c>
    </row>
    <row r="1898" spans="1:21" ht="14.25" customHeight="1" x14ac:dyDescent="0.3">
      <c r="A1898" s="2" t="s">
        <v>4152</v>
      </c>
      <c r="B1898" s="5">
        <v>41859</v>
      </c>
      <c r="C1898" s="2" t="str">
        <f>TEXT(data[[#This Row],[Order Date]],"YYYY")</f>
        <v>2014</v>
      </c>
      <c r="D1898" s="2">
        <v>41861</v>
      </c>
      <c r="E1898" s="2" t="s">
        <v>21</v>
      </c>
      <c r="F1898" s="2" t="s">
        <v>965</v>
      </c>
      <c r="G1898" s="2" t="s">
        <v>966</v>
      </c>
      <c r="H1898" s="2" t="s">
        <v>24</v>
      </c>
      <c r="I1898" s="2" t="s">
        <v>25</v>
      </c>
      <c r="J1898" s="2" t="s">
        <v>606</v>
      </c>
      <c r="K1898" s="2" t="s">
        <v>43</v>
      </c>
      <c r="L1898" s="2" t="s">
        <v>28</v>
      </c>
      <c r="M1898" s="2" t="s">
        <v>1603</v>
      </c>
      <c r="N1898" s="2" t="s">
        <v>30</v>
      </c>
      <c r="O1898" s="2" t="s">
        <v>31</v>
      </c>
      <c r="P1898" s="2" t="s">
        <v>1604</v>
      </c>
      <c r="Q1898" s="2">
        <v>155.45599999999999</v>
      </c>
      <c r="R1898" s="2">
        <v>4</v>
      </c>
      <c r="S1898" s="2">
        <v>-7.7728000000000002</v>
      </c>
      <c r="T1898" s="2" t="s">
        <v>70</v>
      </c>
      <c r="U1898" s="2" t="s">
        <v>253</v>
      </c>
    </row>
    <row r="1899" spans="1:21" ht="14.25" customHeight="1" x14ac:dyDescent="0.3">
      <c r="A1899" s="2" t="s">
        <v>4153</v>
      </c>
      <c r="B1899" s="5">
        <v>43094</v>
      </c>
      <c r="C1899" s="2" t="str">
        <f>TEXT(data[[#This Row],[Order Date]],"YYYY")</f>
        <v>2017</v>
      </c>
      <c r="D1899" s="2">
        <v>43097</v>
      </c>
      <c r="E1899" s="2" t="s">
        <v>87</v>
      </c>
      <c r="F1899" s="2" t="s">
        <v>4154</v>
      </c>
      <c r="G1899" s="2" t="s">
        <v>4155</v>
      </c>
      <c r="H1899" s="2" t="s">
        <v>24</v>
      </c>
      <c r="I1899" s="2" t="s">
        <v>25</v>
      </c>
      <c r="J1899" s="2" t="s">
        <v>2050</v>
      </c>
      <c r="K1899" s="2" t="s">
        <v>43</v>
      </c>
      <c r="L1899" s="2" t="s">
        <v>28</v>
      </c>
      <c r="M1899" s="2" t="s">
        <v>2189</v>
      </c>
      <c r="N1899" s="2" t="s">
        <v>30</v>
      </c>
      <c r="O1899" s="2" t="s">
        <v>56</v>
      </c>
      <c r="P1899" s="2" t="s">
        <v>2190</v>
      </c>
      <c r="Q1899" s="2">
        <v>21</v>
      </c>
      <c r="R1899" s="2">
        <v>3</v>
      </c>
      <c r="S1899" s="2">
        <v>5.7750000000000004</v>
      </c>
      <c r="T1899" s="2" t="s">
        <v>33</v>
      </c>
      <c r="U1899" s="2" t="s">
        <v>96</v>
      </c>
    </row>
    <row r="1900" spans="1:21" ht="14.25" customHeight="1" x14ac:dyDescent="0.3">
      <c r="A1900" s="2" t="s">
        <v>4156</v>
      </c>
      <c r="B1900" s="5">
        <v>43064</v>
      </c>
      <c r="C1900" s="2" t="str">
        <f>TEXT(data[[#This Row],[Order Date]],"YYYY")</f>
        <v>2017</v>
      </c>
      <c r="D1900" s="2">
        <v>43069</v>
      </c>
      <c r="E1900" s="2" t="s">
        <v>39</v>
      </c>
      <c r="F1900" s="2" t="s">
        <v>545</v>
      </c>
      <c r="G1900" s="2" t="s">
        <v>546</v>
      </c>
      <c r="H1900" s="2" t="s">
        <v>24</v>
      </c>
      <c r="I1900" s="2" t="s">
        <v>25</v>
      </c>
      <c r="J1900" s="2" t="s">
        <v>101</v>
      </c>
      <c r="K1900" s="2" t="s">
        <v>92</v>
      </c>
      <c r="L1900" s="2" t="s">
        <v>93</v>
      </c>
      <c r="M1900" s="2" t="s">
        <v>1082</v>
      </c>
      <c r="N1900" s="2" t="s">
        <v>30</v>
      </c>
      <c r="O1900" s="2" t="s">
        <v>36</v>
      </c>
      <c r="P1900" s="2" t="s">
        <v>1083</v>
      </c>
      <c r="Q1900" s="2">
        <v>853.93</v>
      </c>
      <c r="R1900" s="2">
        <v>5</v>
      </c>
      <c r="S1900" s="2">
        <v>-24.398</v>
      </c>
      <c r="T1900" s="2" t="s">
        <v>58</v>
      </c>
      <c r="U1900" s="2" t="s">
        <v>34</v>
      </c>
    </row>
    <row r="1901" spans="1:21" ht="14.25" customHeight="1" x14ac:dyDescent="0.3">
      <c r="A1901" s="2" t="s">
        <v>4157</v>
      </c>
      <c r="B1901" s="5">
        <v>42679</v>
      </c>
      <c r="C1901" s="2" t="str">
        <f>TEXT(data[[#This Row],[Order Date]],"YYYY")</f>
        <v>2016</v>
      </c>
      <c r="D1901" s="2">
        <v>42681</v>
      </c>
      <c r="E1901" s="2" t="s">
        <v>87</v>
      </c>
      <c r="F1901" s="2" t="s">
        <v>3445</v>
      </c>
      <c r="G1901" s="2" t="s">
        <v>3446</v>
      </c>
      <c r="H1901" s="2" t="s">
        <v>24</v>
      </c>
      <c r="I1901" s="2" t="s">
        <v>25</v>
      </c>
      <c r="J1901" s="2" t="s">
        <v>3539</v>
      </c>
      <c r="K1901" s="2" t="s">
        <v>716</v>
      </c>
      <c r="L1901" s="2" t="s">
        <v>28</v>
      </c>
      <c r="M1901" s="2" t="s">
        <v>1957</v>
      </c>
      <c r="N1901" s="2" t="s">
        <v>30</v>
      </c>
      <c r="O1901" s="2" t="s">
        <v>56</v>
      </c>
      <c r="P1901" s="2" t="s">
        <v>1958</v>
      </c>
      <c r="Q1901" s="2">
        <v>273.95999999999998</v>
      </c>
      <c r="R1901" s="2">
        <v>2</v>
      </c>
      <c r="S1901" s="2">
        <v>71.229600000000005</v>
      </c>
      <c r="T1901" s="2" t="s">
        <v>70</v>
      </c>
      <c r="U1901" s="2" t="s">
        <v>34</v>
      </c>
    </row>
    <row r="1902" spans="1:21" ht="14.25" customHeight="1" x14ac:dyDescent="0.3">
      <c r="A1902" s="2" t="s">
        <v>4157</v>
      </c>
      <c r="B1902" s="5">
        <v>42679</v>
      </c>
      <c r="C1902" s="2" t="str">
        <f>TEXT(data[[#This Row],[Order Date]],"YYYY")</f>
        <v>2016</v>
      </c>
      <c r="D1902" s="2">
        <v>42681</v>
      </c>
      <c r="E1902" s="2" t="s">
        <v>87</v>
      </c>
      <c r="F1902" s="2" t="s">
        <v>3445</v>
      </c>
      <c r="G1902" s="2" t="s">
        <v>3446</v>
      </c>
      <c r="H1902" s="2" t="s">
        <v>24</v>
      </c>
      <c r="I1902" s="2" t="s">
        <v>25</v>
      </c>
      <c r="J1902" s="2" t="s">
        <v>3539</v>
      </c>
      <c r="K1902" s="2" t="s">
        <v>716</v>
      </c>
      <c r="L1902" s="2" t="s">
        <v>28</v>
      </c>
      <c r="M1902" s="2" t="s">
        <v>3676</v>
      </c>
      <c r="N1902" s="2" t="s">
        <v>30</v>
      </c>
      <c r="O1902" s="2" t="s">
        <v>56</v>
      </c>
      <c r="P1902" s="2" t="s">
        <v>3677</v>
      </c>
      <c r="Q1902" s="2">
        <v>756.8</v>
      </c>
      <c r="R1902" s="2">
        <v>5</v>
      </c>
      <c r="S1902" s="2">
        <v>75.680000000000007</v>
      </c>
      <c r="T1902" s="2" t="s">
        <v>70</v>
      </c>
      <c r="U1902" s="2" t="s">
        <v>34</v>
      </c>
    </row>
    <row r="1903" spans="1:21" ht="14.25" customHeight="1" x14ac:dyDescent="0.3">
      <c r="A1903" s="2" t="s">
        <v>4158</v>
      </c>
      <c r="B1903" s="5">
        <v>42677</v>
      </c>
      <c r="C1903" s="2" t="str">
        <f>TEXT(data[[#This Row],[Order Date]],"YYYY")</f>
        <v>2016</v>
      </c>
      <c r="D1903" s="2">
        <v>42681</v>
      </c>
      <c r="E1903" s="2" t="s">
        <v>39</v>
      </c>
      <c r="F1903" s="2" t="s">
        <v>2081</v>
      </c>
      <c r="G1903" s="2" t="s">
        <v>2082</v>
      </c>
      <c r="H1903" s="2" t="s">
        <v>100</v>
      </c>
      <c r="I1903" s="2" t="s">
        <v>25</v>
      </c>
      <c r="J1903" s="2" t="s">
        <v>65</v>
      </c>
      <c r="K1903" s="2" t="s">
        <v>66</v>
      </c>
      <c r="L1903" s="2" t="s">
        <v>67</v>
      </c>
      <c r="M1903" s="2" t="s">
        <v>466</v>
      </c>
      <c r="N1903" s="2" t="s">
        <v>30</v>
      </c>
      <c r="O1903" s="2" t="s">
        <v>36</v>
      </c>
      <c r="P1903" s="2" t="s">
        <v>467</v>
      </c>
      <c r="Q1903" s="2">
        <v>470.15499999999997</v>
      </c>
      <c r="R1903" s="2">
        <v>7</v>
      </c>
      <c r="S1903" s="2">
        <v>-13.433</v>
      </c>
      <c r="T1903" s="2" t="s">
        <v>83</v>
      </c>
      <c r="U1903" s="2" t="s">
        <v>34</v>
      </c>
    </row>
    <row r="1904" spans="1:21" ht="14.25" customHeight="1" x14ac:dyDescent="0.3">
      <c r="A1904" s="2" t="s">
        <v>4159</v>
      </c>
      <c r="B1904" s="5">
        <v>42818</v>
      </c>
      <c r="C1904" s="2" t="str">
        <f>TEXT(data[[#This Row],[Order Date]],"YYYY")</f>
        <v>2017</v>
      </c>
      <c r="D1904" s="2">
        <v>42822</v>
      </c>
      <c r="E1904" s="2" t="s">
        <v>39</v>
      </c>
      <c r="F1904" s="2" t="s">
        <v>1791</v>
      </c>
      <c r="G1904" s="2" t="s">
        <v>1792</v>
      </c>
      <c r="H1904" s="2" t="s">
        <v>24</v>
      </c>
      <c r="I1904" s="2" t="s">
        <v>25</v>
      </c>
      <c r="J1904" s="2" t="s">
        <v>173</v>
      </c>
      <c r="K1904" s="2" t="s">
        <v>120</v>
      </c>
      <c r="L1904" s="2" t="s">
        <v>67</v>
      </c>
      <c r="M1904" s="2" t="s">
        <v>855</v>
      </c>
      <c r="N1904" s="2" t="s">
        <v>30</v>
      </c>
      <c r="O1904" s="2" t="s">
        <v>36</v>
      </c>
      <c r="P1904" s="2" t="s">
        <v>856</v>
      </c>
      <c r="Q1904" s="2">
        <v>271.76400000000001</v>
      </c>
      <c r="R1904" s="2">
        <v>2</v>
      </c>
      <c r="S1904" s="2">
        <v>60.392000000000003</v>
      </c>
      <c r="T1904" s="2" t="s">
        <v>83</v>
      </c>
      <c r="U1904" s="2" t="s">
        <v>195</v>
      </c>
    </row>
    <row r="1905" spans="1:21" ht="14.25" customHeight="1" x14ac:dyDescent="0.3">
      <c r="A1905" s="2" t="s">
        <v>4160</v>
      </c>
      <c r="B1905" s="5">
        <v>42850</v>
      </c>
      <c r="C1905" s="2" t="str">
        <f>TEXT(data[[#This Row],[Order Date]],"YYYY")</f>
        <v>2017</v>
      </c>
      <c r="D1905" s="2">
        <v>42852</v>
      </c>
      <c r="E1905" s="2" t="s">
        <v>21</v>
      </c>
      <c r="F1905" s="2" t="s">
        <v>2867</v>
      </c>
      <c r="G1905" s="2" t="s">
        <v>2868</v>
      </c>
      <c r="H1905" s="2" t="s">
        <v>24</v>
      </c>
      <c r="I1905" s="2" t="s">
        <v>25</v>
      </c>
      <c r="J1905" s="2" t="s">
        <v>52</v>
      </c>
      <c r="K1905" s="2" t="s">
        <v>53</v>
      </c>
      <c r="L1905" s="2" t="s">
        <v>54</v>
      </c>
      <c r="M1905" s="2" t="s">
        <v>348</v>
      </c>
      <c r="N1905" s="2" t="s">
        <v>30</v>
      </c>
      <c r="O1905" s="2" t="s">
        <v>31</v>
      </c>
      <c r="P1905" s="2" t="s">
        <v>349</v>
      </c>
      <c r="Q1905" s="2">
        <v>344.98099999999999</v>
      </c>
      <c r="R1905" s="2">
        <v>7</v>
      </c>
      <c r="S1905" s="2">
        <v>28.4102</v>
      </c>
      <c r="T1905" s="2" t="s">
        <v>70</v>
      </c>
      <c r="U1905" s="2" t="s">
        <v>113</v>
      </c>
    </row>
    <row r="1906" spans="1:21" ht="14.25" customHeight="1" x14ac:dyDescent="0.3">
      <c r="A1906" s="2" t="s">
        <v>4161</v>
      </c>
      <c r="B1906" s="5">
        <v>43062</v>
      </c>
      <c r="C1906" s="2" t="str">
        <f>TEXT(data[[#This Row],[Order Date]],"YYYY")</f>
        <v>2017</v>
      </c>
      <c r="D1906" s="2">
        <v>43065</v>
      </c>
      <c r="E1906" s="2" t="s">
        <v>87</v>
      </c>
      <c r="F1906" s="2" t="s">
        <v>2324</v>
      </c>
      <c r="G1906" s="2" t="s">
        <v>2325</v>
      </c>
      <c r="H1906" s="2" t="s">
        <v>90</v>
      </c>
      <c r="I1906" s="2" t="s">
        <v>25</v>
      </c>
      <c r="J1906" s="2" t="s">
        <v>1739</v>
      </c>
      <c r="K1906" s="2" t="s">
        <v>92</v>
      </c>
      <c r="L1906" s="2" t="s">
        <v>93</v>
      </c>
      <c r="M1906" s="2" t="s">
        <v>1234</v>
      </c>
      <c r="N1906" s="2" t="s">
        <v>30</v>
      </c>
      <c r="O1906" s="2" t="s">
        <v>45</v>
      </c>
      <c r="P1906" s="2" t="s">
        <v>1235</v>
      </c>
      <c r="Q1906" s="2">
        <v>127.785</v>
      </c>
      <c r="R1906" s="2">
        <v>1</v>
      </c>
      <c r="S1906" s="2">
        <v>-31.0335</v>
      </c>
      <c r="T1906" s="2" t="s">
        <v>33</v>
      </c>
      <c r="U1906" s="2" t="s">
        <v>34</v>
      </c>
    </row>
    <row r="1907" spans="1:21" ht="14.25" customHeight="1" x14ac:dyDescent="0.3">
      <c r="A1907" s="2" t="s">
        <v>4162</v>
      </c>
      <c r="B1907" s="5">
        <v>42435</v>
      </c>
      <c r="C1907" s="2" t="str">
        <f>TEXT(data[[#This Row],[Order Date]],"YYYY")</f>
        <v>2016</v>
      </c>
      <c r="D1907" s="2">
        <v>42441</v>
      </c>
      <c r="E1907" s="2" t="s">
        <v>39</v>
      </c>
      <c r="F1907" s="2" t="s">
        <v>177</v>
      </c>
      <c r="G1907" s="2" t="s">
        <v>178</v>
      </c>
      <c r="H1907" s="2" t="s">
        <v>24</v>
      </c>
      <c r="I1907" s="2" t="s">
        <v>25</v>
      </c>
      <c r="J1907" s="2" t="s">
        <v>133</v>
      </c>
      <c r="K1907" s="2" t="s">
        <v>134</v>
      </c>
      <c r="L1907" s="2" t="s">
        <v>93</v>
      </c>
      <c r="M1907" s="2" t="s">
        <v>218</v>
      </c>
      <c r="N1907" s="2" t="s">
        <v>30</v>
      </c>
      <c r="O1907" s="2" t="s">
        <v>56</v>
      </c>
      <c r="P1907" s="2" t="s">
        <v>219</v>
      </c>
      <c r="Q1907" s="2">
        <v>159.04</v>
      </c>
      <c r="R1907" s="2">
        <v>5</v>
      </c>
      <c r="S1907" s="2">
        <v>-194.82400000000001</v>
      </c>
      <c r="T1907" s="2" t="s">
        <v>129</v>
      </c>
      <c r="U1907" s="2" t="s">
        <v>195</v>
      </c>
    </row>
    <row r="1908" spans="1:21" ht="14.25" customHeight="1" x14ac:dyDescent="0.3">
      <c r="A1908" s="2" t="s">
        <v>4162</v>
      </c>
      <c r="B1908" s="5">
        <v>42435</v>
      </c>
      <c r="C1908" s="2" t="str">
        <f>TEXT(data[[#This Row],[Order Date]],"YYYY")</f>
        <v>2016</v>
      </c>
      <c r="D1908" s="2">
        <v>42441</v>
      </c>
      <c r="E1908" s="2" t="s">
        <v>39</v>
      </c>
      <c r="F1908" s="2" t="s">
        <v>177</v>
      </c>
      <c r="G1908" s="2" t="s">
        <v>178</v>
      </c>
      <c r="H1908" s="2" t="s">
        <v>24</v>
      </c>
      <c r="I1908" s="2" t="s">
        <v>25</v>
      </c>
      <c r="J1908" s="2" t="s">
        <v>133</v>
      </c>
      <c r="K1908" s="2" t="s">
        <v>134</v>
      </c>
      <c r="L1908" s="2" t="s">
        <v>93</v>
      </c>
      <c r="M1908" s="2" t="s">
        <v>1900</v>
      </c>
      <c r="N1908" s="2" t="s">
        <v>30</v>
      </c>
      <c r="O1908" s="2" t="s">
        <v>45</v>
      </c>
      <c r="P1908" s="2" t="s">
        <v>1901</v>
      </c>
      <c r="Q1908" s="2">
        <v>145.97999999999999</v>
      </c>
      <c r="R1908" s="2">
        <v>2</v>
      </c>
      <c r="S1908" s="2">
        <v>-99.266400000000004</v>
      </c>
      <c r="T1908" s="2" t="s">
        <v>129</v>
      </c>
      <c r="U1908" s="2" t="s">
        <v>195</v>
      </c>
    </row>
    <row r="1909" spans="1:21" ht="14.25" customHeight="1" x14ac:dyDescent="0.3">
      <c r="A1909" s="2" t="s">
        <v>4163</v>
      </c>
      <c r="B1909" s="5">
        <v>42341</v>
      </c>
      <c r="C1909" s="2" t="str">
        <f>TEXT(data[[#This Row],[Order Date]],"YYYY")</f>
        <v>2015</v>
      </c>
      <c r="D1909" s="2">
        <v>42345</v>
      </c>
      <c r="E1909" s="2" t="s">
        <v>39</v>
      </c>
      <c r="F1909" s="2" t="s">
        <v>4164</v>
      </c>
      <c r="G1909" s="2" t="s">
        <v>4165</v>
      </c>
      <c r="H1909" s="2" t="s">
        <v>24</v>
      </c>
      <c r="I1909" s="2" t="s">
        <v>25</v>
      </c>
      <c r="J1909" s="2" t="s">
        <v>606</v>
      </c>
      <c r="K1909" s="2" t="s">
        <v>1036</v>
      </c>
      <c r="L1909" s="2" t="s">
        <v>28</v>
      </c>
      <c r="M1909" s="2" t="s">
        <v>756</v>
      </c>
      <c r="N1909" s="2" t="s">
        <v>30</v>
      </c>
      <c r="O1909" s="2" t="s">
        <v>56</v>
      </c>
      <c r="P1909" s="2" t="s">
        <v>757</v>
      </c>
      <c r="Q1909" s="2">
        <v>77.951999999999998</v>
      </c>
      <c r="R1909" s="2">
        <v>3</v>
      </c>
      <c r="S1909" s="2">
        <v>12.667199999999999</v>
      </c>
      <c r="T1909" s="2" t="s">
        <v>83</v>
      </c>
      <c r="U1909" s="2" t="s">
        <v>96</v>
      </c>
    </row>
    <row r="1910" spans="1:21" ht="14.25" customHeight="1" x14ac:dyDescent="0.3">
      <c r="A1910" s="2" t="s">
        <v>4166</v>
      </c>
      <c r="B1910" s="5">
        <v>42362</v>
      </c>
      <c r="C1910" s="2" t="str">
        <f>TEXT(data[[#This Row],[Order Date]],"YYYY")</f>
        <v>2015</v>
      </c>
      <c r="D1910" s="2">
        <v>42368</v>
      </c>
      <c r="E1910" s="2" t="s">
        <v>39</v>
      </c>
      <c r="F1910" s="2" t="s">
        <v>1866</v>
      </c>
      <c r="G1910" s="2" t="s">
        <v>1867</v>
      </c>
      <c r="H1910" s="2" t="s">
        <v>90</v>
      </c>
      <c r="I1910" s="2" t="s">
        <v>25</v>
      </c>
      <c r="J1910" s="2" t="s">
        <v>878</v>
      </c>
      <c r="K1910" s="2" t="s">
        <v>565</v>
      </c>
      <c r="L1910" s="2" t="s">
        <v>93</v>
      </c>
      <c r="M1910" s="2" t="s">
        <v>2524</v>
      </c>
      <c r="N1910" s="2" t="s">
        <v>30</v>
      </c>
      <c r="O1910" s="2" t="s">
        <v>56</v>
      </c>
      <c r="P1910" s="2" t="s">
        <v>2525</v>
      </c>
      <c r="Q1910" s="2">
        <v>9.68</v>
      </c>
      <c r="R1910" s="2">
        <v>2</v>
      </c>
      <c r="S1910" s="2">
        <v>3.7751999999999999</v>
      </c>
      <c r="T1910" s="2" t="s">
        <v>129</v>
      </c>
      <c r="U1910" s="2" t="s">
        <v>96</v>
      </c>
    </row>
    <row r="1911" spans="1:21" ht="14.25" customHeight="1" x14ac:dyDescent="0.3">
      <c r="A1911" s="2" t="s">
        <v>4167</v>
      </c>
      <c r="B1911" s="5">
        <v>43024</v>
      </c>
      <c r="C1911" s="2" t="str">
        <f>TEXT(data[[#This Row],[Order Date]],"YYYY")</f>
        <v>2017</v>
      </c>
      <c r="D1911" s="2">
        <v>43029</v>
      </c>
      <c r="E1911" s="2" t="s">
        <v>39</v>
      </c>
      <c r="F1911" s="2" t="s">
        <v>3527</v>
      </c>
      <c r="G1911" s="2" t="s">
        <v>3528</v>
      </c>
      <c r="H1911" s="2" t="s">
        <v>90</v>
      </c>
      <c r="I1911" s="2" t="s">
        <v>25</v>
      </c>
      <c r="J1911" s="2" t="s">
        <v>157</v>
      </c>
      <c r="K1911" s="2" t="s">
        <v>141</v>
      </c>
      <c r="L1911" s="2" t="s">
        <v>28</v>
      </c>
      <c r="M1911" s="2" t="s">
        <v>1811</v>
      </c>
      <c r="N1911" s="2" t="s">
        <v>30</v>
      </c>
      <c r="O1911" s="2" t="s">
        <v>45</v>
      </c>
      <c r="P1911" s="2" t="s">
        <v>1812</v>
      </c>
      <c r="Q1911" s="2">
        <v>1875.258</v>
      </c>
      <c r="R1911" s="2">
        <v>7</v>
      </c>
      <c r="S1911" s="2">
        <v>-968.88329999999996</v>
      </c>
      <c r="T1911" s="2" t="s">
        <v>58</v>
      </c>
      <c r="U1911" s="2" t="s">
        <v>48</v>
      </c>
    </row>
    <row r="1912" spans="1:21" ht="14.25" customHeight="1" x14ac:dyDescent="0.3">
      <c r="A1912" s="2" t="s">
        <v>4168</v>
      </c>
      <c r="B1912" s="5">
        <v>42868</v>
      </c>
      <c r="C1912" s="2" t="str">
        <f>TEXT(data[[#This Row],[Order Date]],"YYYY")</f>
        <v>2017</v>
      </c>
      <c r="D1912" s="2">
        <v>42872</v>
      </c>
      <c r="E1912" s="2" t="s">
        <v>39</v>
      </c>
      <c r="F1912" s="2" t="s">
        <v>1144</v>
      </c>
      <c r="G1912" s="2" t="s">
        <v>1145</v>
      </c>
      <c r="H1912" s="2" t="s">
        <v>100</v>
      </c>
      <c r="I1912" s="2" t="s">
        <v>25</v>
      </c>
      <c r="J1912" s="2" t="s">
        <v>65</v>
      </c>
      <c r="K1912" s="2" t="s">
        <v>66</v>
      </c>
      <c r="L1912" s="2" t="s">
        <v>67</v>
      </c>
      <c r="M1912" s="2" t="s">
        <v>668</v>
      </c>
      <c r="N1912" s="2" t="s">
        <v>30</v>
      </c>
      <c r="O1912" s="2" t="s">
        <v>36</v>
      </c>
      <c r="P1912" s="2" t="s">
        <v>669</v>
      </c>
      <c r="Q1912" s="2">
        <v>458.43</v>
      </c>
      <c r="R1912" s="2">
        <v>5</v>
      </c>
      <c r="S1912" s="2">
        <v>-124.431</v>
      </c>
      <c r="T1912" s="2" t="s">
        <v>83</v>
      </c>
      <c r="U1912" s="2" t="s">
        <v>161</v>
      </c>
    </row>
    <row r="1913" spans="1:21" ht="14.25" customHeight="1" x14ac:dyDescent="0.3">
      <c r="A1913" s="2" t="s">
        <v>4169</v>
      </c>
      <c r="B1913" s="5">
        <v>43057</v>
      </c>
      <c r="C1913" s="2" t="str">
        <f>TEXT(data[[#This Row],[Order Date]],"YYYY")</f>
        <v>2017</v>
      </c>
      <c r="D1913" s="2">
        <v>43057</v>
      </c>
      <c r="E1913" s="2" t="s">
        <v>425</v>
      </c>
      <c r="F1913" s="2" t="s">
        <v>782</v>
      </c>
      <c r="G1913" s="2" t="s">
        <v>783</v>
      </c>
      <c r="H1913" s="2" t="s">
        <v>90</v>
      </c>
      <c r="I1913" s="2" t="s">
        <v>25</v>
      </c>
      <c r="J1913" s="2" t="s">
        <v>905</v>
      </c>
      <c r="K1913" s="2" t="s">
        <v>238</v>
      </c>
      <c r="L1913" s="2" t="s">
        <v>93</v>
      </c>
      <c r="M1913" s="2" t="s">
        <v>500</v>
      </c>
      <c r="N1913" s="2" t="s">
        <v>30</v>
      </c>
      <c r="O1913" s="2" t="s">
        <v>56</v>
      </c>
      <c r="P1913" s="2" t="s">
        <v>501</v>
      </c>
      <c r="Q1913" s="2">
        <v>5.82</v>
      </c>
      <c r="R1913" s="2">
        <v>2</v>
      </c>
      <c r="S1913" s="2">
        <v>2.7353999999999998</v>
      </c>
      <c r="T1913" s="2" t="s">
        <v>430</v>
      </c>
      <c r="U1913" s="2" t="s">
        <v>34</v>
      </c>
    </row>
    <row r="1914" spans="1:21" ht="14.25" customHeight="1" x14ac:dyDescent="0.3">
      <c r="A1914" s="2" t="s">
        <v>4170</v>
      </c>
      <c r="B1914" s="5">
        <v>42421</v>
      </c>
      <c r="C1914" s="2" t="str">
        <f>TEXT(data[[#This Row],[Order Date]],"YYYY")</f>
        <v>2016</v>
      </c>
      <c r="D1914" s="2">
        <v>42422</v>
      </c>
      <c r="E1914" s="2" t="s">
        <v>87</v>
      </c>
      <c r="F1914" s="2" t="s">
        <v>1511</v>
      </c>
      <c r="G1914" s="2" t="s">
        <v>1512</v>
      </c>
      <c r="H1914" s="2" t="s">
        <v>90</v>
      </c>
      <c r="I1914" s="2" t="s">
        <v>25</v>
      </c>
      <c r="J1914" s="2" t="s">
        <v>173</v>
      </c>
      <c r="K1914" s="2" t="s">
        <v>120</v>
      </c>
      <c r="L1914" s="2" t="s">
        <v>67</v>
      </c>
      <c r="M1914" s="2" t="s">
        <v>363</v>
      </c>
      <c r="N1914" s="2" t="s">
        <v>30</v>
      </c>
      <c r="O1914" s="2" t="s">
        <v>56</v>
      </c>
      <c r="P1914" s="2" t="s">
        <v>364</v>
      </c>
      <c r="Q1914" s="2">
        <v>135.80000000000001</v>
      </c>
      <c r="R1914" s="2">
        <v>7</v>
      </c>
      <c r="S1914" s="2">
        <v>66.542000000000002</v>
      </c>
      <c r="T1914" s="2" t="s">
        <v>123</v>
      </c>
      <c r="U1914" s="2" t="s">
        <v>297</v>
      </c>
    </row>
    <row r="1915" spans="1:21" ht="14.25" customHeight="1" x14ac:dyDescent="0.3">
      <c r="A1915" s="2" t="s">
        <v>4171</v>
      </c>
      <c r="B1915" s="5">
        <v>41989</v>
      </c>
      <c r="C1915" s="2" t="str">
        <f>TEXT(data[[#This Row],[Order Date]],"YYYY")</f>
        <v>2014</v>
      </c>
      <c r="D1915" s="2">
        <v>41991</v>
      </c>
      <c r="E1915" s="2" t="s">
        <v>21</v>
      </c>
      <c r="F1915" s="2" t="s">
        <v>793</v>
      </c>
      <c r="G1915" s="2" t="s">
        <v>794</v>
      </c>
      <c r="H1915" s="2" t="s">
        <v>24</v>
      </c>
      <c r="I1915" s="2" t="s">
        <v>25</v>
      </c>
      <c r="J1915" s="2" t="s">
        <v>878</v>
      </c>
      <c r="K1915" s="2" t="s">
        <v>716</v>
      </c>
      <c r="L1915" s="2" t="s">
        <v>28</v>
      </c>
      <c r="M1915" s="2" t="s">
        <v>1099</v>
      </c>
      <c r="N1915" s="2" t="s">
        <v>30</v>
      </c>
      <c r="O1915" s="2" t="s">
        <v>56</v>
      </c>
      <c r="P1915" s="2" t="s">
        <v>1100</v>
      </c>
      <c r="Q1915" s="2">
        <v>29.46</v>
      </c>
      <c r="R1915" s="2">
        <v>6</v>
      </c>
      <c r="S1915" s="2">
        <v>9.7218</v>
      </c>
      <c r="T1915" s="2" t="s">
        <v>70</v>
      </c>
      <c r="U1915" s="2" t="s">
        <v>96</v>
      </c>
    </row>
    <row r="1916" spans="1:21" ht="14.25" customHeight="1" x14ac:dyDescent="0.3">
      <c r="A1916" s="2" t="s">
        <v>4172</v>
      </c>
      <c r="B1916" s="5">
        <v>42604</v>
      </c>
      <c r="C1916" s="2" t="str">
        <f>TEXT(data[[#This Row],[Order Date]],"YYYY")</f>
        <v>2016</v>
      </c>
      <c r="D1916" s="2">
        <v>42605</v>
      </c>
      <c r="E1916" s="2" t="s">
        <v>87</v>
      </c>
      <c r="F1916" s="2" t="s">
        <v>2276</v>
      </c>
      <c r="G1916" s="2" t="s">
        <v>2277</v>
      </c>
      <c r="H1916" s="2" t="s">
        <v>100</v>
      </c>
      <c r="I1916" s="2" t="s">
        <v>25</v>
      </c>
      <c r="J1916" s="2" t="s">
        <v>2343</v>
      </c>
      <c r="K1916" s="2" t="s">
        <v>180</v>
      </c>
      <c r="L1916" s="2" t="s">
        <v>54</v>
      </c>
      <c r="M1916" s="2" t="s">
        <v>640</v>
      </c>
      <c r="N1916" s="2" t="s">
        <v>30</v>
      </c>
      <c r="O1916" s="2" t="s">
        <v>56</v>
      </c>
      <c r="P1916" s="2" t="s">
        <v>641</v>
      </c>
      <c r="Q1916" s="2">
        <v>98.328000000000003</v>
      </c>
      <c r="R1916" s="2">
        <v>3</v>
      </c>
      <c r="S1916" s="2">
        <v>9.8328000000000007</v>
      </c>
      <c r="T1916" s="2" t="s">
        <v>123</v>
      </c>
      <c r="U1916" s="2" t="s">
        <v>253</v>
      </c>
    </row>
    <row r="1917" spans="1:21" ht="14.25" customHeight="1" x14ac:dyDescent="0.3">
      <c r="A1917" s="2" t="s">
        <v>4173</v>
      </c>
      <c r="B1917" s="5">
        <v>42184</v>
      </c>
      <c r="C1917" s="2" t="str">
        <f>TEXT(data[[#This Row],[Order Date]],"YYYY")</f>
        <v>2015</v>
      </c>
      <c r="D1917" s="2">
        <v>42187</v>
      </c>
      <c r="E1917" s="2" t="s">
        <v>87</v>
      </c>
      <c r="F1917" s="2" t="s">
        <v>1368</v>
      </c>
      <c r="G1917" s="2" t="s">
        <v>1369</v>
      </c>
      <c r="H1917" s="2" t="s">
        <v>24</v>
      </c>
      <c r="I1917" s="2" t="s">
        <v>25</v>
      </c>
      <c r="J1917" s="2" t="s">
        <v>173</v>
      </c>
      <c r="K1917" s="2" t="s">
        <v>120</v>
      </c>
      <c r="L1917" s="2" t="s">
        <v>67</v>
      </c>
      <c r="M1917" s="2" t="s">
        <v>668</v>
      </c>
      <c r="N1917" s="2" t="s">
        <v>30</v>
      </c>
      <c r="O1917" s="2" t="s">
        <v>36</v>
      </c>
      <c r="P1917" s="2" t="s">
        <v>669</v>
      </c>
      <c r="Q1917" s="2">
        <v>117.88200000000001</v>
      </c>
      <c r="R1917" s="2">
        <v>1</v>
      </c>
      <c r="S1917" s="2">
        <v>1.3098000000000001</v>
      </c>
      <c r="T1917" s="2" t="s">
        <v>33</v>
      </c>
      <c r="U1917" s="2" t="s">
        <v>59</v>
      </c>
    </row>
    <row r="1918" spans="1:21" ht="14.25" customHeight="1" x14ac:dyDescent="0.3">
      <c r="A1918" s="2" t="s">
        <v>4174</v>
      </c>
      <c r="B1918" s="5">
        <v>42547</v>
      </c>
      <c r="C1918" s="2" t="str">
        <f>TEXT(data[[#This Row],[Order Date]],"YYYY")</f>
        <v>2016</v>
      </c>
      <c r="D1918" s="2">
        <v>42553</v>
      </c>
      <c r="E1918" s="2" t="s">
        <v>39</v>
      </c>
      <c r="F1918" s="2" t="s">
        <v>3527</v>
      </c>
      <c r="G1918" s="2" t="s">
        <v>3528</v>
      </c>
      <c r="H1918" s="2" t="s">
        <v>90</v>
      </c>
      <c r="I1918" s="2" t="s">
        <v>25</v>
      </c>
      <c r="J1918" s="2" t="s">
        <v>173</v>
      </c>
      <c r="K1918" s="2" t="s">
        <v>120</v>
      </c>
      <c r="L1918" s="2" t="s">
        <v>67</v>
      </c>
      <c r="M1918" s="2" t="s">
        <v>1268</v>
      </c>
      <c r="N1918" s="2" t="s">
        <v>30</v>
      </c>
      <c r="O1918" s="2" t="s">
        <v>56</v>
      </c>
      <c r="P1918" s="2" t="s">
        <v>1269</v>
      </c>
      <c r="Q1918" s="2">
        <v>37.74</v>
      </c>
      <c r="R1918" s="2">
        <v>3</v>
      </c>
      <c r="S1918" s="2">
        <v>12.8316</v>
      </c>
      <c r="T1918" s="2" t="s">
        <v>129</v>
      </c>
      <c r="U1918" s="2" t="s">
        <v>59</v>
      </c>
    </row>
    <row r="1919" spans="1:21" ht="14.25" customHeight="1" x14ac:dyDescent="0.3">
      <c r="A1919" s="2" t="s">
        <v>4175</v>
      </c>
      <c r="B1919" s="5">
        <v>42630</v>
      </c>
      <c r="C1919" s="2" t="str">
        <f>TEXT(data[[#This Row],[Order Date]],"YYYY")</f>
        <v>2016</v>
      </c>
      <c r="D1919" s="2">
        <v>42635</v>
      </c>
      <c r="E1919" s="2" t="s">
        <v>39</v>
      </c>
      <c r="F1919" s="2" t="s">
        <v>155</v>
      </c>
      <c r="G1919" s="2" t="s">
        <v>156</v>
      </c>
      <c r="H1919" s="2" t="s">
        <v>24</v>
      </c>
      <c r="I1919" s="2" t="s">
        <v>25</v>
      </c>
      <c r="J1919" s="2" t="s">
        <v>4176</v>
      </c>
      <c r="K1919" s="2" t="s">
        <v>434</v>
      </c>
      <c r="L1919" s="2" t="s">
        <v>67</v>
      </c>
      <c r="M1919" s="2" t="s">
        <v>802</v>
      </c>
      <c r="N1919" s="2" t="s">
        <v>30</v>
      </c>
      <c r="O1919" s="2" t="s">
        <v>56</v>
      </c>
      <c r="P1919" s="2" t="s">
        <v>803</v>
      </c>
      <c r="Q1919" s="2">
        <v>14.82</v>
      </c>
      <c r="R1919" s="2">
        <v>3</v>
      </c>
      <c r="S1919" s="2">
        <v>6.2244000000000002</v>
      </c>
      <c r="T1919" s="2" t="s">
        <v>58</v>
      </c>
      <c r="U1919" s="2" t="s">
        <v>77</v>
      </c>
    </row>
    <row r="1920" spans="1:21" ht="14.25" customHeight="1" x14ac:dyDescent="0.3">
      <c r="A1920" s="2" t="s">
        <v>4175</v>
      </c>
      <c r="B1920" s="5">
        <v>42630</v>
      </c>
      <c r="C1920" s="2" t="str">
        <f>TEXT(data[[#This Row],[Order Date]],"YYYY")</f>
        <v>2016</v>
      </c>
      <c r="D1920" s="2">
        <v>42635</v>
      </c>
      <c r="E1920" s="2" t="s">
        <v>39</v>
      </c>
      <c r="F1920" s="2" t="s">
        <v>155</v>
      </c>
      <c r="G1920" s="2" t="s">
        <v>156</v>
      </c>
      <c r="H1920" s="2" t="s">
        <v>24</v>
      </c>
      <c r="I1920" s="2" t="s">
        <v>25</v>
      </c>
      <c r="J1920" s="2" t="s">
        <v>4176</v>
      </c>
      <c r="K1920" s="2" t="s">
        <v>434</v>
      </c>
      <c r="L1920" s="2" t="s">
        <v>67</v>
      </c>
      <c r="M1920" s="2" t="s">
        <v>551</v>
      </c>
      <c r="N1920" s="2" t="s">
        <v>30</v>
      </c>
      <c r="O1920" s="2" t="s">
        <v>56</v>
      </c>
      <c r="P1920" s="2" t="s">
        <v>552</v>
      </c>
      <c r="Q1920" s="2">
        <v>191.82</v>
      </c>
      <c r="R1920" s="2">
        <v>3</v>
      </c>
      <c r="S1920" s="2">
        <v>61.382399999999997</v>
      </c>
      <c r="T1920" s="2" t="s">
        <v>58</v>
      </c>
      <c r="U1920" s="2" t="s">
        <v>77</v>
      </c>
    </row>
    <row r="1921" spans="1:21" ht="14.25" customHeight="1" x14ac:dyDescent="0.3">
      <c r="A1921" s="2" t="s">
        <v>4177</v>
      </c>
      <c r="B1921" s="5">
        <v>42979</v>
      </c>
      <c r="C1921" s="2" t="str">
        <f>TEXT(data[[#This Row],[Order Date]],"YYYY")</f>
        <v>2017</v>
      </c>
      <c r="D1921" s="2">
        <v>42979</v>
      </c>
      <c r="E1921" s="2" t="s">
        <v>425</v>
      </c>
      <c r="F1921" s="2" t="s">
        <v>1588</v>
      </c>
      <c r="G1921" s="2" t="s">
        <v>1589</v>
      </c>
      <c r="H1921" s="2" t="s">
        <v>90</v>
      </c>
      <c r="I1921" s="2" t="s">
        <v>25</v>
      </c>
      <c r="J1921" s="2" t="s">
        <v>191</v>
      </c>
      <c r="K1921" s="2" t="s">
        <v>192</v>
      </c>
      <c r="L1921" s="2" t="s">
        <v>54</v>
      </c>
      <c r="M1921" s="2" t="s">
        <v>317</v>
      </c>
      <c r="N1921" s="2" t="s">
        <v>30</v>
      </c>
      <c r="O1921" s="2" t="s">
        <v>45</v>
      </c>
      <c r="P1921" s="2" t="s">
        <v>318</v>
      </c>
      <c r="Q1921" s="2">
        <v>283.56</v>
      </c>
      <c r="R1921" s="2">
        <v>4</v>
      </c>
      <c r="S1921" s="2">
        <v>45.369599999999998</v>
      </c>
      <c r="T1921" s="2" t="s">
        <v>430</v>
      </c>
      <c r="U1921" s="2" t="s">
        <v>77</v>
      </c>
    </row>
    <row r="1922" spans="1:21" ht="14.25" customHeight="1" x14ac:dyDescent="0.3">
      <c r="A1922" s="2" t="s">
        <v>4178</v>
      </c>
      <c r="B1922" s="5">
        <v>42908</v>
      </c>
      <c r="C1922" s="2" t="str">
        <f>TEXT(data[[#This Row],[Order Date]],"YYYY")</f>
        <v>2017</v>
      </c>
      <c r="D1922" s="2">
        <v>42912</v>
      </c>
      <c r="E1922" s="2" t="s">
        <v>39</v>
      </c>
      <c r="F1922" s="2" t="s">
        <v>671</v>
      </c>
      <c r="G1922" s="2" t="s">
        <v>672</v>
      </c>
      <c r="H1922" s="2" t="s">
        <v>100</v>
      </c>
      <c r="I1922" s="2" t="s">
        <v>25</v>
      </c>
      <c r="J1922" s="2" t="s">
        <v>288</v>
      </c>
      <c r="K1922" s="2" t="s">
        <v>289</v>
      </c>
      <c r="L1922" s="2" t="s">
        <v>93</v>
      </c>
      <c r="M1922" s="2" t="s">
        <v>35</v>
      </c>
      <c r="N1922" s="2" t="s">
        <v>30</v>
      </c>
      <c r="O1922" s="2" t="s">
        <v>36</v>
      </c>
      <c r="P1922" s="2" t="s">
        <v>37</v>
      </c>
      <c r="Q1922" s="2">
        <v>487.96</v>
      </c>
      <c r="R1922" s="2">
        <v>2</v>
      </c>
      <c r="S1922" s="2">
        <v>146.38800000000001</v>
      </c>
      <c r="T1922" s="2" t="s">
        <v>83</v>
      </c>
      <c r="U1922" s="2" t="s">
        <v>59</v>
      </c>
    </row>
    <row r="1923" spans="1:21" ht="14.25" customHeight="1" x14ac:dyDescent="0.3">
      <c r="A1923" s="2" t="s">
        <v>4179</v>
      </c>
      <c r="B1923" s="5">
        <v>41901</v>
      </c>
      <c r="C1923" s="2" t="str">
        <f>TEXT(data[[#This Row],[Order Date]],"YYYY")</f>
        <v>2014</v>
      </c>
      <c r="D1923" s="2">
        <v>41906</v>
      </c>
      <c r="E1923" s="2" t="s">
        <v>39</v>
      </c>
      <c r="F1923" s="2" t="s">
        <v>4180</v>
      </c>
      <c r="G1923" s="2" t="s">
        <v>4181</v>
      </c>
      <c r="H1923" s="2" t="s">
        <v>90</v>
      </c>
      <c r="I1923" s="2" t="s">
        <v>25</v>
      </c>
      <c r="J1923" s="2" t="s">
        <v>3058</v>
      </c>
      <c r="K1923" s="2" t="s">
        <v>520</v>
      </c>
      <c r="L1923" s="2" t="s">
        <v>54</v>
      </c>
      <c r="M1923" s="2" t="s">
        <v>1465</v>
      </c>
      <c r="N1923" s="2" t="s">
        <v>30</v>
      </c>
      <c r="O1923" s="2" t="s">
        <v>45</v>
      </c>
      <c r="P1923" s="2" t="s">
        <v>1466</v>
      </c>
      <c r="Q1923" s="2">
        <v>73.915000000000006</v>
      </c>
      <c r="R1923" s="2">
        <v>1</v>
      </c>
      <c r="S1923" s="2">
        <v>-45.827300000000001</v>
      </c>
      <c r="T1923" s="2" t="s">
        <v>58</v>
      </c>
      <c r="U1923" s="2" t="s">
        <v>77</v>
      </c>
    </row>
    <row r="1924" spans="1:21" ht="14.25" customHeight="1" x14ac:dyDescent="0.3">
      <c r="A1924" s="2" t="s">
        <v>4182</v>
      </c>
      <c r="B1924" s="5">
        <v>41910</v>
      </c>
      <c r="C1924" s="2" t="str">
        <f>TEXT(data[[#This Row],[Order Date]],"YYYY")</f>
        <v>2014</v>
      </c>
      <c r="D1924" s="2">
        <v>41915</v>
      </c>
      <c r="E1924" s="2" t="s">
        <v>39</v>
      </c>
      <c r="F1924" s="2" t="s">
        <v>3449</v>
      </c>
      <c r="G1924" s="2" t="s">
        <v>3450</v>
      </c>
      <c r="H1924" s="2" t="s">
        <v>24</v>
      </c>
      <c r="I1924" s="2" t="s">
        <v>25</v>
      </c>
      <c r="J1924" s="2" t="s">
        <v>4183</v>
      </c>
      <c r="K1924" s="2" t="s">
        <v>43</v>
      </c>
      <c r="L1924" s="2" t="s">
        <v>28</v>
      </c>
      <c r="M1924" s="2" t="s">
        <v>3617</v>
      </c>
      <c r="N1924" s="2" t="s">
        <v>30</v>
      </c>
      <c r="O1924" s="2" t="s">
        <v>56</v>
      </c>
      <c r="P1924" s="2" t="s">
        <v>3618</v>
      </c>
      <c r="Q1924" s="2">
        <v>337.08800000000002</v>
      </c>
      <c r="R1924" s="2">
        <v>4</v>
      </c>
      <c r="S1924" s="2">
        <v>16.854399999999998</v>
      </c>
      <c r="T1924" s="2" t="s">
        <v>58</v>
      </c>
      <c r="U1924" s="2" t="s">
        <v>77</v>
      </c>
    </row>
    <row r="1925" spans="1:21" ht="14.25" customHeight="1" x14ac:dyDescent="0.3">
      <c r="A1925" s="2" t="s">
        <v>4184</v>
      </c>
      <c r="B1925" s="5">
        <v>42310</v>
      </c>
      <c r="C1925" s="2" t="str">
        <f>TEXT(data[[#This Row],[Order Date]],"YYYY")</f>
        <v>2015</v>
      </c>
      <c r="D1925" s="2">
        <v>42312</v>
      </c>
      <c r="E1925" s="2" t="s">
        <v>87</v>
      </c>
      <c r="F1925" s="2" t="s">
        <v>2651</v>
      </c>
      <c r="G1925" s="2" t="s">
        <v>2652</v>
      </c>
      <c r="H1925" s="2" t="s">
        <v>100</v>
      </c>
      <c r="I1925" s="2" t="s">
        <v>25</v>
      </c>
      <c r="J1925" s="2" t="s">
        <v>173</v>
      </c>
      <c r="K1925" s="2" t="s">
        <v>120</v>
      </c>
      <c r="L1925" s="2" t="s">
        <v>67</v>
      </c>
      <c r="M1925" s="2" t="s">
        <v>3591</v>
      </c>
      <c r="N1925" s="2" t="s">
        <v>30</v>
      </c>
      <c r="O1925" s="2" t="s">
        <v>36</v>
      </c>
      <c r="P1925" s="2" t="s">
        <v>3592</v>
      </c>
      <c r="Q1925" s="2">
        <v>2621.3220000000001</v>
      </c>
      <c r="R1925" s="2">
        <v>11</v>
      </c>
      <c r="S1925" s="2">
        <v>553.39020000000005</v>
      </c>
      <c r="T1925" s="2" t="s">
        <v>70</v>
      </c>
      <c r="U1925" s="2" t="s">
        <v>34</v>
      </c>
    </row>
    <row r="1926" spans="1:21" ht="14.25" customHeight="1" x14ac:dyDescent="0.3">
      <c r="A1926" s="2" t="s">
        <v>4185</v>
      </c>
      <c r="B1926" s="5">
        <v>42297</v>
      </c>
      <c r="C1926" s="2" t="str">
        <f>TEXT(data[[#This Row],[Order Date]],"YYYY")</f>
        <v>2015</v>
      </c>
      <c r="D1926" s="2">
        <v>42301</v>
      </c>
      <c r="E1926" s="2" t="s">
        <v>39</v>
      </c>
      <c r="F1926" s="2" t="s">
        <v>2917</v>
      </c>
      <c r="G1926" s="2" t="s">
        <v>2918</v>
      </c>
      <c r="H1926" s="2" t="s">
        <v>24</v>
      </c>
      <c r="I1926" s="2" t="s">
        <v>25</v>
      </c>
      <c r="J1926" s="2" t="s">
        <v>52</v>
      </c>
      <c r="K1926" s="2" t="s">
        <v>53</v>
      </c>
      <c r="L1926" s="2" t="s">
        <v>54</v>
      </c>
      <c r="M1926" s="2" t="s">
        <v>2885</v>
      </c>
      <c r="N1926" s="2" t="s">
        <v>30</v>
      </c>
      <c r="O1926" s="2" t="s">
        <v>56</v>
      </c>
      <c r="P1926" s="2" t="s">
        <v>2886</v>
      </c>
      <c r="Q1926" s="2">
        <v>74.760000000000005</v>
      </c>
      <c r="R1926" s="2">
        <v>7</v>
      </c>
      <c r="S1926" s="2">
        <v>23.923200000000001</v>
      </c>
      <c r="T1926" s="2" t="s">
        <v>83</v>
      </c>
      <c r="U1926" s="2" t="s">
        <v>48</v>
      </c>
    </row>
    <row r="1927" spans="1:21" ht="14.25" customHeight="1" x14ac:dyDescent="0.3">
      <c r="A1927" s="2" t="s">
        <v>4185</v>
      </c>
      <c r="B1927" s="5">
        <v>42297</v>
      </c>
      <c r="C1927" s="2" t="str">
        <f>TEXT(data[[#This Row],[Order Date]],"YYYY")</f>
        <v>2015</v>
      </c>
      <c r="D1927" s="2">
        <v>42301</v>
      </c>
      <c r="E1927" s="2" t="s">
        <v>39</v>
      </c>
      <c r="F1927" s="2" t="s">
        <v>2917</v>
      </c>
      <c r="G1927" s="2" t="s">
        <v>2918</v>
      </c>
      <c r="H1927" s="2" t="s">
        <v>24</v>
      </c>
      <c r="I1927" s="2" t="s">
        <v>25</v>
      </c>
      <c r="J1927" s="2" t="s">
        <v>52</v>
      </c>
      <c r="K1927" s="2" t="s">
        <v>53</v>
      </c>
      <c r="L1927" s="2" t="s">
        <v>54</v>
      </c>
      <c r="M1927" s="2" t="s">
        <v>3189</v>
      </c>
      <c r="N1927" s="2" t="s">
        <v>30</v>
      </c>
      <c r="O1927" s="2" t="s">
        <v>45</v>
      </c>
      <c r="P1927" s="2" t="s">
        <v>3190</v>
      </c>
      <c r="Q1927" s="2">
        <v>364.77600000000001</v>
      </c>
      <c r="R1927" s="2">
        <v>3</v>
      </c>
      <c r="S1927" s="2">
        <v>27.3582</v>
      </c>
      <c r="T1927" s="2" t="s">
        <v>83</v>
      </c>
      <c r="U1927" s="2" t="s">
        <v>48</v>
      </c>
    </row>
    <row r="1928" spans="1:21" ht="14.25" customHeight="1" x14ac:dyDescent="0.3">
      <c r="A1928" s="2" t="s">
        <v>4186</v>
      </c>
      <c r="B1928" s="5">
        <v>42535</v>
      </c>
      <c r="C1928" s="2" t="str">
        <f>TEXT(data[[#This Row],[Order Date]],"YYYY")</f>
        <v>2016</v>
      </c>
      <c r="D1928" s="2">
        <v>42539</v>
      </c>
      <c r="E1928" s="2" t="s">
        <v>39</v>
      </c>
      <c r="F1928" s="2" t="s">
        <v>680</v>
      </c>
      <c r="G1928" s="2" t="s">
        <v>681</v>
      </c>
      <c r="H1928" s="2" t="s">
        <v>90</v>
      </c>
      <c r="I1928" s="2" t="s">
        <v>25</v>
      </c>
      <c r="J1928" s="2" t="s">
        <v>191</v>
      </c>
      <c r="K1928" s="2" t="s">
        <v>192</v>
      </c>
      <c r="L1928" s="2" t="s">
        <v>54</v>
      </c>
      <c r="M1928" s="2" t="s">
        <v>1134</v>
      </c>
      <c r="N1928" s="2" t="s">
        <v>30</v>
      </c>
      <c r="O1928" s="2" t="s">
        <v>45</v>
      </c>
      <c r="P1928" s="2" t="s">
        <v>1135</v>
      </c>
      <c r="Q1928" s="2">
        <v>1115.17</v>
      </c>
      <c r="R1928" s="2">
        <v>7</v>
      </c>
      <c r="S1928" s="2">
        <v>334.55099999999999</v>
      </c>
      <c r="T1928" s="2" t="s">
        <v>83</v>
      </c>
      <c r="U1928" s="2" t="s">
        <v>59</v>
      </c>
    </row>
    <row r="1929" spans="1:21" ht="14.25" customHeight="1" x14ac:dyDescent="0.3">
      <c r="A1929" s="2" t="s">
        <v>4187</v>
      </c>
      <c r="B1929" s="5">
        <v>42615</v>
      </c>
      <c r="C1929" s="2" t="str">
        <f>TEXT(data[[#This Row],[Order Date]],"YYYY")</f>
        <v>2016</v>
      </c>
      <c r="D1929" s="2">
        <v>42618</v>
      </c>
      <c r="E1929" s="2" t="s">
        <v>21</v>
      </c>
      <c r="F1929" s="2" t="s">
        <v>243</v>
      </c>
      <c r="G1929" s="2" t="s">
        <v>244</v>
      </c>
      <c r="H1929" s="2" t="s">
        <v>24</v>
      </c>
      <c r="I1929" s="2" t="s">
        <v>25</v>
      </c>
      <c r="J1929" s="2" t="s">
        <v>800</v>
      </c>
      <c r="K1929" s="2" t="s">
        <v>192</v>
      </c>
      <c r="L1929" s="2" t="s">
        <v>54</v>
      </c>
      <c r="M1929" s="2" t="s">
        <v>114</v>
      </c>
      <c r="N1929" s="2" t="s">
        <v>30</v>
      </c>
      <c r="O1929" s="2" t="s">
        <v>36</v>
      </c>
      <c r="P1929" s="2" t="s">
        <v>115</v>
      </c>
      <c r="Q1929" s="2">
        <v>215.976</v>
      </c>
      <c r="R1929" s="2">
        <v>3</v>
      </c>
      <c r="S1929" s="2">
        <v>-2.6997</v>
      </c>
      <c r="T1929" s="2" t="s">
        <v>33</v>
      </c>
      <c r="U1929" s="2" t="s">
        <v>77</v>
      </c>
    </row>
    <row r="1930" spans="1:21" ht="14.25" customHeight="1" x14ac:dyDescent="0.3">
      <c r="A1930" s="2" t="s">
        <v>4188</v>
      </c>
      <c r="B1930" s="5">
        <v>43073</v>
      </c>
      <c r="C1930" s="2" t="str">
        <f>TEXT(data[[#This Row],[Order Date]],"YYYY")</f>
        <v>2017</v>
      </c>
      <c r="D1930" s="2">
        <v>43074</v>
      </c>
      <c r="E1930" s="2" t="s">
        <v>87</v>
      </c>
      <c r="F1930" s="2" t="s">
        <v>2592</v>
      </c>
      <c r="G1930" s="2" t="s">
        <v>2593</v>
      </c>
      <c r="H1930" s="2" t="s">
        <v>90</v>
      </c>
      <c r="I1930" s="2" t="s">
        <v>25</v>
      </c>
      <c r="J1930" s="2" t="s">
        <v>65</v>
      </c>
      <c r="K1930" s="2" t="s">
        <v>66</v>
      </c>
      <c r="L1930" s="2" t="s">
        <v>67</v>
      </c>
      <c r="M1930" s="2" t="s">
        <v>379</v>
      </c>
      <c r="N1930" s="2" t="s">
        <v>30</v>
      </c>
      <c r="O1930" s="2" t="s">
        <v>56</v>
      </c>
      <c r="P1930" s="2" t="s">
        <v>380</v>
      </c>
      <c r="Q1930" s="2">
        <v>11.352</v>
      </c>
      <c r="R1930" s="2">
        <v>3</v>
      </c>
      <c r="S1930" s="2">
        <v>2.6960999999999999</v>
      </c>
      <c r="T1930" s="2" t="s">
        <v>123</v>
      </c>
      <c r="U1930" s="2" t="s">
        <v>96</v>
      </c>
    </row>
    <row r="1931" spans="1:21" ht="14.25" customHeight="1" x14ac:dyDescent="0.3">
      <c r="A1931" s="2" t="s">
        <v>4189</v>
      </c>
      <c r="B1931" s="5">
        <v>42416</v>
      </c>
      <c r="C1931" s="2" t="str">
        <f>TEXT(data[[#This Row],[Order Date]],"YYYY")</f>
        <v>2016</v>
      </c>
      <c r="D1931" s="2">
        <v>42423</v>
      </c>
      <c r="E1931" s="2" t="s">
        <v>39</v>
      </c>
      <c r="F1931" s="2" t="s">
        <v>3997</v>
      </c>
      <c r="G1931" s="2" t="s">
        <v>3998</v>
      </c>
      <c r="H1931" s="2" t="s">
        <v>24</v>
      </c>
      <c r="I1931" s="2" t="s">
        <v>25</v>
      </c>
      <c r="J1931" s="2" t="s">
        <v>26</v>
      </c>
      <c r="K1931" s="2" t="s">
        <v>27</v>
      </c>
      <c r="L1931" s="2" t="s">
        <v>28</v>
      </c>
      <c r="M1931" s="2" t="s">
        <v>218</v>
      </c>
      <c r="N1931" s="2" t="s">
        <v>30</v>
      </c>
      <c r="O1931" s="2" t="s">
        <v>56</v>
      </c>
      <c r="P1931" s="2" t="s">
        <v>219</v>
      </c>
      <c r="Q1931" s="2">
        <v>318.08</v>
      </c>
      <c r="R1931" s="2">
        <v>4</v>
      </c>
      <c r="S1931" s="2">
        <v>34.988799999999998</v>
      </c>
      <c r="T1931" s="2" t="s">
        <v>47</v>
      </c>
      <c r="U1931" s="2" t="s">
        <v>297</v>
      </c>
    </row>
    <row r="1932" spans="1:21" ht="14.25" customHeight="1" x14ac:dyDescent="0.3">
      <c r="A1932" s="2" t="s">
        <v>4190</v>
      </c>
      <c r="B1932" s="5">
        <v>42639</v>
      </c>
      <c r="C1932" s="2" t="str">
        <f>TEXT(data[[#This Row],[Order Date]],"YYYY")</f>
        <v>2016</v>
      </c>
      <c r="D1932" s="2">
        <v>42643</v>
      </c>
      <c r="E1932" s="2" t="s">
        <v>39</v>
      </c>
      <c r="F1932" s="2" t="s">
        <v>4191</v>
      </c>
      <c r="G1932" s="2" t="s">
        <v>4192</v>
      </c>
      <c r="H1932" s="2" t="s">
        <v>90</v>
      </c>
      <c r="I1932" s="2" t="s">
        <v>25</v>
      </c>
      <c r="J1932" s="2" t="s">
        <v>101</v>
      </c>
      <c r="K1932" s="2" t="s">
        <v>92</v>
      </c>
      <c r="L1932" s="2" t="s">
        <v>93</v>
      </c>
      <c r="M1932" s="2" t="s">
        <v>142</v>
      </c>
      <c r="N1932" s="2" t="s">
        <v>30</v>
      </c>
      <c r="O1932" s="2" t="s">
        <v>36</v>
      </c>
      <c r="P1932" s="2" t="s">
        <v>143</v>
      </c>
      <c r="Q1932" s="2">
        <v>454.96499999999997</v>
      </c>
      <c r="R1932" s="2">
        <v>5</v>
      </c>
      <c r="S1932" s="2">
        <v>-136.48949999999999</v>
      </c>
      <c r="T1932" s="2" t="s">
        <v>83</v>
      </c>
      <c r="U1932" s="2" t="s">
        <v>77</v>
      </c>
    </row>
    <row r="1933" spans="1:21" ht="14.25" customHeight="1" x14ac:dyDescent="0.3">
      <c r="A1933" s="2" t="s">
        <v>4193</v>
      </c>
      <c r="B1933" s="5">
        <v>42183</v>
      </c>
      <c r="C1933" s="2" t="str">
        <f>TEXT(data[[#This Row],[Order Date]],"YYYY")</f>
        <v>2015</v>
      </c>
      <c r="D1933" s="2">
        <v>42188</v>
      </c>
      <c r="E1933" s="2" t="s">
        <v>21</v>
      </c>
      <c r="F1933" s="2" t="s">
        <v>1938</v>
      </c>
      <c r="G1933" s="2" t="s">
        <v>1939</v>
      </c>
      <c r="H1933" s="2" t="s">
        <v>90</v>
      </c>
      <c r="I1933" s="2" t="s">
        <v>25</v>
      </c>
      <c r="J1933" s="2" t="s">
        <v>119</v>
      </c>
      <c r="K1933" s="2" t="s">
        <v>231</v>
      </c>
      <c r="L1933" s="2" t="s">
        <v>67</v>
      </c>
      <c r="M1933" s="2" t="s">
        <v>1548</v>
      </c>
      <c r="N1933" s="2" t="s">
        <v>30</v>
      </c>
      <c r="O1933" s="2" t="s">
        <v>31</v>
      </c>
      <c r="P1933" s="2" t="s">
        <v>1549</v>
      </c>
      <c r="Q1933" s="2">
        <v>482.94</v>
      </c>
      <c r="R1933" s="2">
        <v>6</v>
      </c>
      <c r="S1933" s="2">
        <v>-376.69319999999999</v>
      </c>
      <c r="T1933" s="2" t="s">
        <v>58</v>
      </c>
      <c r="U1933" s="2" t="s">
        <v>59</v>
      </c>
    </row>
    <row r="1934" spans="1:21" ht="14.25" customHeight="1" x14ac:dyDescent="0.3">
      <c r="A1934" s="2" t="s">
        <v>4194</v>
      </c>
      <c r="B1934" s="5">
        <v>42315</v>
      </c>
      <c r="C1934" s="2" t="str">
        <f>TEXT(data[[#This Row],[Order Date]],"YYYY")</f>
        <v>2015</v>
      </c>
      <c r="D1934" s="2">
        <v>42320</v>
      </c>
      <c r="E1934" s="2" t="s">
        <v>39</v>
      </c>
      <c r="F1934" s="2" t="s">
        <v>1262</v>
      </c>
      <c r="G1934" s="2" t="s">
        <v>1263</v>
      </c>
      <c r="H1934" s="2" t="s">
        <v>24</v>
      </c>
      <c r="I1934" s="2" t="s">
        <v>25</v>
      </c>
      <c r="J1934" s="2" t="s">
        <v>101</v>
      </c>
      <c r="K1934" s="2" t="s">
        <v>92</v>
      </c>
      <c r="L1934" s="2" t="s">
        <v>93</v>
      </c>
      <c r="M1934" s="2" t="s">
        <v>2395</v>
      </c>
      <c r="N1934" s="2" t="s">
        <v>30</v>
      </c>
      <c r="O1934" s="2" t="s">
        <v>56</v>
      </c>
      <c r="P1934" s="2" t="s">
        <v>2396</v>
      </c>
      <c r="Q1934" s="2">
        <v>64.959999999999994</v>
      </c>
      <c r="R1934" s="2">
        <v>5</v>
      </c>
      <c r="S1934" s="2">
        <v>-84.447999999999993</v>
      </c>
      <c r="T1934" s="2" t="s">
        <v>58</v>
      </c>
      <c r="U1934" s="2" t="s">
        <v>34</v>
      </c>
    </row>
    <row r="1935" spans="1:21" ht="14.25" customHeight="1" x14ac:dyDescent="0.3">
      <c r="A1935" s="2" t="s">
        <v>4195</v>
      </c>
      <c r="B1935" s="5">
        <v>42754</v>
      </c>
      <c r="C1935" s="2" t="str">
        <f>TEXT(data[[#This Row],[Order Date]],"YYYY")</f>
        <v>2017</v>
      </c>
      <c r="D1935" s="2">
        <v>42759</v>
      </c>
      <c r="E1935" s="2" t="s">
        <v>21</v>
      </c>
      <c r="F1935" s="2" t="s">
        <v>1763</v>
      </c>
      <c r="G1935" s="2" t="s">
        <v>1764</v>
      </c>
      <c r="H1935" s="2" t="s">
        <v>24</v>
      </c>
      <c r="I1935" s="2" t="s">
        <v>25</v>
      </c>
      <c r="J1935" s="2" t="s">
        <v>65</v>
      </c>
      <c r="K1935" s="2" t="s">
        <v>66</v>
      </c>
      <c r="L1935" s="2" t="s">
        <v>67</v>
      </c>
      <c r="M1935" s="2" t="s">
        <v>697</v>
      </c>
      <c r="N1935" s="2" t="s">
        <v>30</v>
      </c>
      <c r="O1935" s="2" t="s">
        <v>56</v>
      </c>
      <c r="P1935" s="2" t="s">
        <v>698</v>
      </c>
      <c r="Q1935" s="2">
        <v>31.968</v>
      </c>
      <c r="R1935" s="2">
        <v>2</v>
      </c>
      <c r="S1935" s="2">
        <v>6.3936000000000002</v>
      </c>
      <c r="T1935" s="2" t="s">
        <v>58</v>
      </c>
      <c r="U1935" s="2" t="s">
        <v>169</v>
      </c>
    </row>
    <row r="1936" spans="1:21" ht="14.25" customHeight="1" x14ac:dyDescent="0.3">
      <c r="A1936" s="2" t="s">
        <v>4195</v>
      </c>
      <c r="B1936" s="5">
        <v>42754</v>
      </c>
      <c r="C1936" s="2" t="str">
        <f>TEXT(data[[#This Row],[Order Date]],"YYYY")</f>
        <v>2017</v>
      </c>
      <c r="D1936" s="2">
        <v>42759</v>
      </c>
      <c r="E1936" s="2" t="s">
        <v>21</v>
      </c>
      <c r="F1936" s="2" t="s">
        <v>1763</v>
      </c>
      <c r="G1936" s="2" t="s">
        <v>1764</v>
      </c>
      <c r="H1936" s="2" t="s">
        <v>24</v>
      </c>
      <c r="I1936" s="2" t="s">
        <v>25</v>
      </c>
      <c r="J1936" s="2" t="s">
        <v>65</v>
      </c>
      <c r="K1936" s="2" t="s">
        <v>66</v>
      </c>
      <c r="L1936" s="2" t="s">
        <v>67</v>
      </c>
      <c r="M1936" s="2" t="s">
        <v>981</v>
      </c>
      <c r="N1936" s="2" t="s">
        <v>30</v>
      </c>
      <c r="O1936" s="2" t="s">
        <v>36</v>
      </c>
      <c r="P1936" s="2" t="s">
        <v>982</v>
      </c>
      <c r="Q1936" s="2">
        <v>887.27099999999996</v>
      </c>
      <c r="R1936" s="2">
        <v>3</v>
      </c>
      <c r="S1936" s="2">
        <v>-63.3765</v>
      </c>
      <c r="T1936" s="2" t="s">
        <v>58</v>
      </c>
      <c r="U1936" s="2" t="s">
        <v>169</v>
      </c>
    </row>
    <row r="1937" spans="1:21" ht="14.25" customHeight="1" x14ac:dyDescent="0.3">
      <c r="A1937" s="2" t="s">
        <v>4196</v>
      </c>
      <c r="B1937" s="5">
        <v>42600</v>
      </c>
      <c r="C1937" s="2" t="str">
        <f>TEXT(data[[#This Row],[Order Date]],"YYYY")</f>
        <v>2016</v>
      </c>
      <c r="D1937" s="2">
        <v>42602</v>
      </c>
      <c r="E1937" s="2" t="s">
        <v>21</v>
      </c>
      <c r="F1937" s="2" t="s">
        <v>3033</v>
      </c>
      <c r="G1937" s="2" t="s">
        <v>3034</v>
      </c>
      <c r="H1937" s="2" t="s">
        <v>100</v>
      </c>
      <c r="I1937" s="2" t="s">
        <v>25</v>
      </c>
      <c r="J1937" s="2" t="s">
        <v>101</v>
      </c>
      <c r="K1937" s="2" t="s">
        <v>92</v>
      </c>
      <c r="L1937" s="2" t="s">
        <v>93</v>
      </c>
      <c r="M1937" s="2" t="s">
        <v>927</v>
      </c>
      <c r="N1937" s="2" t="s">
        <v>30</v>
      </c>
      <c r="O1937" s="2" t="s">
        <v>56</v>
      </c>
      <c r="P1937" s="2" t="s">
        <v>316</v>
      </c>
      <c r="Q1937" s="2">
        <v>9.5519999999999996</v>
      </c>
      <c r="R1937" s="2">
        <v>3</v>
      </c>
      <c r="S1937" s="2">
        <v>-3.8208000000000002</v>
      </c>
      <c r="T1937" s="2" t="s">
        <v>70</v>
      </c>
      <c r="U1937" s="2" t="s">
        <v>253</v>
      </c>
    </row>
    <row r="1938" spans="1:21" ht="14.25" customHeight="1" x14ac:dyDescent="0.3">
      <c r="A1938" s="2" t="s">
        <v>4196</v>
      </c>
      <c r="B1938" s="5">
        <v>42600</v>
      </c>
      <c r="C1938" s="2" t="str">
        <f>TEXT(data[[#This Row],[Order Date]],"YYYY")</f>
        <v>2016</v>
      </c>
      <c r="D1938" s="2">
        <v>42602</v>
      </c>
      <c r="E1938" s="2" t="s">
        <v>21</v>
      </c>
      <c r="F1938" s="2" t="s">
        <v>3033</v>
      </c>
      <c r="G1938" s="2" t="s">
        <v>3034</v>
      </c>
      <c r="H1938" s="2" t="s">
        <v>100</v>
      </c>
      <c r="I1938" s="2" t="s">
        <v>25</v>
      </c>
      <c r="J1938" s="2" t="s">
        <v>101</v>
      </c>
      <c r="K1938" s="2" t="s">
        <v>92</v>
      </c>
      <c r="L1938" s="2" t="s">
        <v>93</v>
      </c>
      <c r="M1938" s="2" t="s">
        <v>2425</v>
      </c>
      <c r="N1938" s="2" t="s">
        <v>30</v>
      </c>
      <c r="O1938" s="2" t="s">
        <v>56</v>
      </c>
      <c r="P1938" s="2" t="s">
        <v>2426</v>
      </c>
      <c r="Q1938" s="2">
        <v>5.3440000000000003</v>
      </c>
      <c r="R1938" s="2">
        <v>4</v>
      </c>
      <c r="S1938" s="2">
        <v>-2.1375999999999999</v>
      </c>
      <c r="T1938" s="2" t="s">
        <v>70</v>
      </c>
      <c r="U1938" s="2" t="s">
        <v>253</v>
      </c>
    </row>
    <row r="1939" spans="1:21" ht="14.25" customHeight="1" x14ac:dyDescent="0.3">
      <c r="A1939" s="2" t="s">
        <v>4197</v>
      </c>
      <c r="B1939" s="5">
        <v>42453</v>
      </c>
      <c r="C1939" s="2" t="str">
        <f>TEXT(data[[#This Row],[Order Date]],"YYYY")</f>
        <v>2016</v>
      </c>
      <c r="D1939" s="2">
        <v>42455</v>
      </c>
      <c r="E1939" s="2" t="s">
        <v>21</v>
      </c>
      <c r="F1939" s="2" t="s">
        <v>3878</v>
      </c>
      <c r="G1939" s="2" t="s">
        <v>3879</v>
      </c>
      <c r="H1939" s="2" t="s">
        <v>24</v>
      </c>
      <c r="I1939" s="2" t="s">
        <v>25</v>
      </c>
      <c r="J1939" s="2" t="s">
        <v>693</v>
      </c>
      <c r="K1939" s="2" t="s">
        <v>231</v>
      </c>
      <c r="L1939" s="2" t="s">
        <v>67</v>
      </c>
      <c r="M1939" s="2" t="s">
        <v>1967</v>
      </c>
      <c r="N1939" s="2" t="s">
        <v>30</v>
      </c>
      <c r="O1939" s="2" t="s">
        <v>31</v>
      </c>
      <c r="P1939" s="2" t="s">
        <v>1968</v>
      </c>
      <c r="Q1939" s="2">
        <v>301.47000000000003</v>
      </c>
      <c r="R1939" s="2">
        <v>3</v>
      </c>
      <c r="S1939" s="2">
        <v>-241.17599999999999</v>
      </c>
      <c r="T1939" s="2" t="s">
        <v>70</v>
      </c>
      <c r="U1939" s="2" t="s">
        <v>195</v>
      </c>
    </row>
    <row r="1940" spans="1:21" ht="14.25" customHeight="1" x14ac:dyDescent="0.3">
      <c r="A1940" s="2" t="s">
        <v>4198</v>
      </c>
      <c r="B1940" s="5">
        <v>42883</v>
      </c>
      <c r="C1940" s="2" t="str">
        <f>TEXT(data[[#This Row],[Order Date]],"YYYY")</f>
        <v>2017</v>
      </c>
      <c r="D1940" s="2">
        <v>42887</v>
      </c>
      <c r="E1940" s="2" t="s">
        <v>39</v>
      </c>
      <c r="F1940" s="2" t="s">
        <v>2094</v>
      </c>
      <c r="G1940" s="2" t="s">
        <v>2095</v>
      </c>
      <c r="H1940" s="2" t="s">
        <v>90</v>
      </c>
      <c r="I1940" s="2" t="s">
        <v>25</v>
      </c>
      <c r="J1940" s="2" t="s">
        <v>4199</v>
      </c>
      <c r="K1940" s="2" t="s">
        <v>1089</v>
      </c>
      <c r="L1940" s="2" t="s">
        <v>67</v>
      </c>
      <c r="M1940" s="2" t="s">
        <v>1290</v>
      </c>
      <c r="N1940" s="2" t="s">
        <v>30</v>
      </c>
      <c r="O1940" s="2" t="s">
        <v>56</v>
      </c>
      <c r="P1940" s="2" t="s">
        <v>1291</v>
      </c>
      <c r="Q1940" s="2">
        <v>27.46</v>
      </c>
      <c r="R1940" s="2">
        <v>2</v>
      </c>
      <c r="S1940" s="2">
        <v>9.8856000000000002</v>
      </c>
      <c r="T1940" s="2" t="s">
        <v>83</v>
      </c>
      <c r="U1940" s="2" t="s">
        <v>161</v>
      </c>
    </row>
    <row r="1941" spans="1:21" ht="14.25" customHeight="1" x14ac:dyDescent="0.3">
      <c r="A1941" s="2" t="s">
        <v>4200</v>
      </c>
      <c r="B1941" s="5">
        <v>42583</v>
      </c>
      <c r="C1941" s="2" t="str">
        <f>TEXT(data[[#This Row],[Order Date]],"YYYY")</f>
        <v>2016</v>
      </c>
      <c r="D1941" s="2">
        <v>42585</v>
      </c>
      <c r="E1941" s="2" t="s">
        <v>21</v>
      </c>
      <c r="F1941" s="2" t="s">
        <v>4201</v>
      </c>
      <c r="G1941" s="2" t="s">
        <v>4202</v>
      </c>
      <c r="H1941" s="2" t="s">
        <v>24</v>
      </c>
      <c r="I1941" s="2" t="s">
        <v>25</v>
      </c>
      <c r="J1941" s="2" t="s">
        <v>65</v>
      </c>
      <c r="K1941" s="2" t="s">
        <v>66</v>
      </c>
      <c r="L1941" s="2" t="s">
        <v>67</v>
      </c>
      <c r="M1941" s="2" t="s">
        <v>551</v>
      </c>
      <c r="N1941" s="2" t="s">
        <v>30</v>
      </c>
      <c r="O1941" s="2" t="s">
        <v>56</v>
      </c>
      <c r="P1941" s="2" t="s">
        <v>3125</v>
      </c>
      <c r="Q1941" s="2">
        <v>19.312000000000001</v>
      </c>
      <c r="R1941" s="2">
        <v>2</v>
      </c>
      <c r="S1941" s="2">
        <v>3.1381999999999999</v>
      </c>
      <c r="T1941" s="2" t="s">
        <v>70</v>
      </c>
      <c r="U1941" s="2" t="s">
        <v>253</v>
      </c>
    </row>
    <row r="1942" spans="1:21" ht="14.25" customHeight="1" x14ac:dyDescent="0.3">
      <c r="A1942" s="2" t="s">
        <v>4203</v>
      </c>
      <c r="B1942" s="5">
        <v>42712</v>
      </c>
      <c r="C1942" s="2" t="str">
        <f>TEXT(data[[#This Row],[Order Date]],"YYYY")</f>
        <v>2016</v>
      </c>
      <c r="D1942" s="2">
        <v>42716</v>
      </c>
      <c r="E1942" s="2" t="s">
        <v>39</v>
      </c>
      <c r="F1942" s="2" t="s">
        <v>1472</v>
      </c>
      <c r="G1942" s="2" t="s">
        <v>1473</v>
      </c>
      <c r="H1942" s="2" t="s">
        <v>24</v>
      </c>
      <c r="I1942" s="2" t="s">
        <v>25</v>
      </c>
      <c r="J1942" s="2" t="s">
        <v>4204</v>
      </c>
      <c r="K1942" s="2" t="s">
        <v>238</v>
      </c>
      <c r="L1942" s="2" t="s">
        <v>93</v>
      </c>
      <c r="M1942" s="2" t="s">
        <v>1953</v>
      </c>
      <c r="N1942" s="2" t="s">
        <v>30</v>
      </c>
      <c r="O1942" s="2" t="s">
        <v>31</v>
      </c>
      <c r="P1942" s="2" t="s">
        <v>1954</v>
      </c>
      <c r="Q1942" s="2">
        <v>405.86</v>
      </c>
      <c r="R1942" s="2">
        <v>7</v>
      </c>
      <c r="S1942" s="2">
        <v>32.468800000000002</v>
      </c>
      <c r="T1942" s="2" t="s">
        <v>83</v>
      </c>
      <c r="U1942" s="2" t="s">
        <v>96</v>
      </c>
    </row>
    <row r="1943" spans="1:21" ht="14.25" customHeight="1" x14ac:dyDescent="0.3">
      <c r="A1943" s="2" t="s">
        <v>4203</v>
      </c>
      <c r="B1943" s="5">
        <v>42712</v>
      </c>
      <c r="C1943" s="2" t="str">
        <f>TEXT(data[[#This Row],[Order Date]],"YYYY")</f>
        <v>2016</v>
      </c>
      <c r="D1943" s="2">
        <v>42716</v>
      </c>
      <c r="E1943" s="2" t="s">
        <v>39</v>
      </c>
      <c r="F1943" s="2" t="s">
        <v>1472</v>
      </c>
      <c r="G1943" s="2" t="s">
        <v>1473</v>
      </c>
      <c r="H1943" s="2" t="s">
        <v>24</v>
      </c>
      <c r="I1943" s="2" t="s">
        <v>25</v>
      </c>
      <c r="J1943" s="2" t="s">
        <v>4204</v>
      </c>
      <c r="K1943" s="2" t="s">
        <v>238</v>
      </c>
      <c r="L1943" s="2" t="s">
        <v>93</v>
      </c>
      <c r="M1943" s="2" t="s">
        <v>805</v>
      </c>
      <c r="N1943" s="2" t="s">
        <v>30</v>
      </c>
      <c r="O1943" s="2" t="s">
        <v>36</v>
      </c>
      <c r="P1943" s="2" t="s">
        <v>806</v>
      </c>
      <c r="Q1943" s="2">
        <v>680.01</v>
      </c>
      <c r="R1943" s="2">
        <v>3</v>
      </c>
      <c r="S1943" s="2">
        <v>176.80260000000001</v>
      </c>
      <c r="T1943" s="2" t="s">
        <v>83</v>
      </c>
      <c r="U1943" s="2" t="s">
        <v>96</v>
      </c>
    </row>
    <row r="1944" spans="1:21" ht="14.25" customHeight="1" x14ac:dyDescent="0.3">
      <c r="A1944" s="2" t="s">
        <v>4205</v>
      </c>
      <c r="B1944" s="5">
        <v>42705</v>
      </c>
      <c r="C1944" s="2" t="str">
        <f>TEXT(data[[#This Row],[Order Date]],"YYYY")</f>
        <v>2016</v>
      </c>
      <c r="D1944" s="2">
        <v>42705</v>
      </c>
      <c r="E1944" s="2" t="s">
        <v>425</v>
      </c>
      <c r="F1944" s="2" t="s">
        <v>2439</v>
      </c>
      <c r="G1944" s="2" t="s">
        <v>2440</v>
      </c>
      <c r="H1944" s="2" t="s">
        <v>100</v>
      </c>
      <c r="I1944" s="2" t="s">
        <v>25</v>
      </c>
      <c r="J1944" s="2" t="s">
        <v>3447</v>
      </c>
      <c r="K1944" s="2" t="s">
        <v>53</v>
      </c>
      <c r="L1944" s="2" t="s">
        <v>54</v>
      </c>
      <c r="M1944" s="2" t="s">
        <v>585</v>
      </c>
      <c r="N1944" s="2" t="s">
        <v>30</v>
      </c>
      <c r="O1944" s="2" t="s">
        <v>56</v>
      </c>
      <c r="P1944" s="2" t="s">
        <v>586</v>
      </c>
      <c r="Q1944" s="2">
        <v>31.96</v>
      </c>
      <c r="R1944" s="2">
        <v>2</v>
      </c>
      <c r="S1944" s="2">
        <v>1.5980000000000001</v>
      </c>
      <c r="T1944" s="2" t="s">
        <v>430</v>
      </c>
      <c r="U1944" s="2" t="s">
        <v>96</v>
      </c>
    </row>
    <row r="1945" spans="1:21" ht="14.25" customHeight="1" x14ac:dyDescent="0.3">
      <c r="A1945" s="2" t="s">
        <v>4206</v>
      </c>
      <c r="B1945" s="5">
        <v>42954</v>
      </c>
      <c r="C1945" s="2" t="str">
        <f>TEXT(data[[#This Row],[Order Date]],"YYYY")</f>
        <v>2017</v>
      </c>
      <c r="D1945" s="2">
        <v>42958</v>
      </c>
      <c r="E1945" s="2" t="s">
        <v>39</v>
      </c>
      <c r="F1945" s="2" t="s">
        <v>413</v>
      </c>
      <c r="G1945" s="2" t="s">
        <v>414</v>
      </c>
      <c r="H1945" s="2" t="s">
        <v>24</v>
      </c>
      <c r="I1945" s="2" t="s">
        <v>25</v>
      </c>
      <c r="J1945" s="2" t="s">
        <v>3771</v>
      </c>
      <c r="K1945" s="2" t="s">
        <v>53</v>
      </c>
      <c r="L1945" s="2" t="s">
        <v>54</v>
      </c>
      <c r="M1945" s="2" t="s">
        <v>84</v>
      </c>
      <c r="N1945" s="2" t="s">
        <v>30</v>
      </c>
      <c r="O1945" s="2" t="s">
        <v>56</v>
      </c>
      <c r="P1945" s="2" t="s">
        <v>85</v>
      </c>
      <c r="Q1945" s="2">
        <v>51.75</v>
      </c>
      <c r="R1945" s="2">
        <v>1</v>
      </c>
      <c r="S1945" s="2">
        <v>15.525</v>
      </c>
      <c r="T1945" s="2" t="s">
        <v>83</v>
      </c>
      <c r="U1945" s="2" t="s">
        <v>253</v>
      </c>
    </row>
    <row r="1946" spans="1:21" ht="14.25" customHeight="1" x14ac:dyDescent="0.3">
      <c r="A1946" s="2" t="s">
        <v>4206</v>
      </c>
      <c r="B1946" s="5">
        <v>42954</v>
      </c>
      <c r="C1946" s="2" t="str">
        <f>TEXT(data[[#This Row],[Order Date]],"YYYY")</f>
        <v>2017</v>
      </c>
      <c r="D1946" s="2">
        <v>42958</v>
      </c>
      <c r="E1946" s="2" t="s">
        <v>39</v>
      </c>
      <c r="F1946" s="2" t="s">
        <v>413</v>
      </c>
      <c r="G1946" s="2" t="s">
        <v>414</v>
      </c>
      <c r="H1946" s="2" t="s">
        <v>24</v>
      </c>
      <c r="I1946" s="2" t="s">
        <v>25</v>
      </c>
      <c r="J1946" s="2" t="s">
        <v>3771</v>
      </c>
      <c r="K1946" s="2" t="s">
        <v>53</v>
      </c>
      <c r="L1946" s="2" t="s">
        <v>54</v>
      </c>
      <c r="M1946" s="2" t="s">
        <v>4207</v>
      </c>
      <c r="N1946" s="2" t="s">
        <v>30</v>
      </c>
      <c r="O1946" s="2" t="s">
        <v>36</v>
      </c>
      <c r="P1946" s="2" t="s">
        <v>4208</v>
      </c>
      <c r="Q1946" s="2">
        <v>207.184</v>
      </c>
      <c r="R1946" s="2">
        <v>1</v>
      </c>
      <c r="S1946" s="2">
        <v>25.898</v>
      </c>
      <c r="T1946" s="2" t="s">
        <v>83</v>
      </c>
      <c r="U1946" s="2" t="s">
        <v>253</v>
      </c>
    </row>
    <row r="1947" spans="1:21" ht="14.25" customHeight="1" x14ac:dyDescent="0.3">
      <c r="A1947" s="2" t="s">
        <v>4209</v>
      </c>
      <c r="B1947" s="5">
        <v>41769</v>
      </c>
      <c r="C1947" s="2" t="str">
        <f>TEXT(data[[#This Row],[Order Date]],"YYYY")</f>
        <v>2014</v>
      </c>
      <c r="D1947" s="2">
        <v>41774</v>
      </c>
      <c r="E1947" s="2" t="s">
        <v>39</v>
      </c>
      <c r="F1947" s="2" t="s">
        <v>1126</v>
      </c>
      <c r="G1947" s="2" t="s">
        <v>1127</v>
      </c>
      <c r="H1947" s="2" t="s">
        <v>24</v>
      </c>
      <c r="I1947" s="2" t="s">
        <v>25</v>
      </c>
      <c r="J1947" s="2" t="s">
        <v>1491</v>
      </c>
      <c r="K1947" s="2" t="s">
        <v>53</v>
      </c>
      <c r="L1947" s="2" t="s">
        <v>54</v>
      </c>
      <c r="M1947" s="2" t="s">
        <v>2273</v>
      </c>
      <c r="N1947" s="2" t="s">
        <v>30</v>
      </c>
      <c r="O1947" s="2" t="s">
        <v>36</v>
      </c>
      <c r="P1947" s="2" t="s">
        <v>2274</v>
      </c>
      <c r="Q1947" s="2">
        <v>256.78399999999999</v>
      </c>
      <c r="R1947" s="2">
        <v>1</v>
      </c>
      <c r="S1947" s="2">
        <v>32.097999999999999</v>
      </c>
      <c r="T1947" s="2" t="s">
        <v>58</v>
      </c>
      <c r="U1947" s="2" t="s">
        <v>161</v>
      </c>
    </row>
    <row r="1948" spans="1:21" ht="14.25" customHeight="1" x14ac:dyDescent="0.3">
      <c r="A1948" s="2" t="s">
        <v>4210</v>
      </c>
      <c r="B1948" s="5">
        <v>42660</v>
      </c>
      <c r="C1948" s="2" t="str">
        <f>TEXT(data[[#This Row],[Order Date]],"YYYY")</f>
        <v>2016</v>
      </c>
      <c r="D1948" s="2">
        <v>42663</v>
      </c>
      <c r="E1948" s="2" t="s">
        <v>87</v>
      </c>
      <c r="F1948" s="2" t="s">
        <v>2936</v>
      </c>
      <c r="G1948" s="2" t="s">
        <v>2937</v>
      </c>
      <c r="H1948" s="2" t="s">
        <v>24</v>
      </c>
      <c r="I1948" s="2" t="s">
        <v>25</v>
      </c>
      <c r="J1948" s="2" t="s">
        <v>4211</v>
      </c>
      <c r="K1948" s="2" t="s">
        <v>362</v>
      </c>
      <c r="L1948" s="2" t="s">
        <v>67</v>
      </c>
      <c r="M1948" s="2" t="s">
        <v>542</v>
      </c>
      <c r="N1948" s="2" t="s">
        <v>30</v>
      </c>
      <c r="O1948" s="2" t="s">
        <v>31</v>
      </c>
      <c r="P1948" s="2" t="s">
        <v>543</v>
      </c>
      <c r="Q1948" s="2">
        <v>120.98</v>
      </c>
      <c r="R1948" s="2">
        <v>1</v>
      </c>
      <c r="S1948" s="2">
        <v>12.098000000000001</v>
      </c>
      <c r="T1948" s="2" t="s">
        <v>33</v>
      </c>
      <c r="U1948" s="2" t="s">
        <v>48</v>
      </c>
    </row>
    <row r="1949" spans="1:21" ht="14.25" customHeight="1" x14ac:dyDescent="0.3">
      <c r="A1949" s="2" t="s">
        <v>4212</v>
      </c>
      <c r="B1949" s="5">
        <v>41981</v>
      </c>
      <c r="C1949" s="2" t="str">
        <f>TEXT(data[[#This Row],[Order Date]],"YYYY")</f>
        <v>2014</v>
      </c>
      <c r="D1949" s="2">
        <v>41988</v>
      </c>
      <c r="E1949" s="2" t="s">
        <v>39</v>
      </c>
      <c r="F1949" s="2" t="s">
        <v>664</v>
      </c>
      <c r="G1949" s="2" t="s">
        <v>665</v>
      </c>
      <c r="H1949" s="2" t="s">
        <v>90</v>
      </c>
      <c r="I1949" s="2" t="s">
        <v>25</v>
      </c>
      <c r="J1949" s="2" t="s">
        <v>328</v>
      </c>
      <c r="K1949" s="2" t="s">
        <v>53</v>
      </c>
      <c r="L1949" s="2" t="s">
        <v>54</v>
      </c>
      <c r="M1949" s="2" t="s">
        <v>127</v>
      </c>
      <c r="N1949" s="2" t="s">
        <v>30</v>
      </c>
      <c r="O1949" s="2" t="s">
        <v>56</v>
      </c>
      <c r="P1949" s="2" t="s">
        <v>128</v>
      </c>
      <c r="Q1949" s="2">
        <v>39.880000000000003</v>
      </c>
      <c r="R1949" s="2">
        <v>2</v>
      </c>
      <c r="S1949" s="2">
        <v>11.166399999999999</v>
      </c>
      <c r="T1949" s="2" t="s">
        <v>47</v>
      </c>
      <c r="U1949" s="2" t="s">
        <v>96</v>
      </c>
    </row>
    <row r="1950" spans="1:21" ht="14.25" customHeight="1" x14ac:dyDescent="0.3">
      <c r="A1950" s="2" t="s">
        <v>4212</v>
      </c>
      <c r="B1950" s="5">
        <v>41981</v>
      </c>
      <c r="C1950" s="2" t="str">
        <f>TEXT(data[[#This Row],[Order Date]],"YYYY")</f>
        <v>2014</v>
      </c>
      <c r="D1950" s="2">
        <v>41988</v>
      </c>
      <c r="E1950" s="2" t="s">
        <v>39</v>
      </c>
      <c r="F1950" s="2" t="s">
        <v>664</v>
      </c>
      <c r="G1950" s="2" t="s">
        <v>665</v>
      </c>
      <c r="H1950" s="2" t="s">
        <v>90</v>
      </c>
      <c r="I1950" s="2" t="s">
        <v>25</v>
      </c>
      <c r="J1950" s="2" t="s">
        <v>328</v>
      </c>
      <c r="K1950" s="2" t="s">
        <v>53</v>
      </c>
      <c r="L1950" s="2" t="s">
        <v>54</v>
      </c>
      <c r="M1950" s="2" t="s">
        <v>1421</v>
      </c>
      <c r="N1950" s="2" t="s">
        <v>30</v>
      </c>
      <c r="O1950" s="2" t="s">
        <v>56</v>
      </c>
      <c r="P1950" s="2" t="s">
        <v>1422</v>
      </c>
      <c r="Q1950" s="2">
        <v>79.44</v>
      </c>
      <c r="R1950" s="2">
        <v>3</v>
      </c>
      <c r="S1950" s="2">
        <v>28.598400000000002</v>
      </c>
      <c r="T1950" s="2" t="s">
        <v>47</v>
      </c>
      <c r="U1950" s="2" t="s">
        <v>96</v>
      </c>
    </row>
    <row r="1951" spans="1:21" ht="14.25" customHeight="1" x14ac:dyDescent="0.3">
      <c r="A1951" s="2" t="s">
        <v>4213</v>
      </c>
      <c r="B1951" s="5">
        <v>42232</v>
      </c>
      <c r="C1951" s="2" t="str">
        <f>TEXT(data[[#This Row],[Order Date]],"YYYY")</f>
        <v>2015</v>
      </c>
      <c r="D1951" s="2">
        <v>42236</v>
      </c>
      <c r="E1951" s="2" t="s">
        <v>39</v>
      </c>
      <c r="F1951" s="2" t="s">
        <v>1468</v>
      </c>
      <c r="G1951" s="2" t="s">
        <v>1469</v>
      </c>
      <c r="H1951" s="2" t="s">
        <v>24</v>
      </c>
      <c r="I1951" s="2" t="s">
        <v>25</v>
      </c>
      <c r="J1951" s="2" t="s">
        <v>65</v>
      </c>
      <c r="K1951" s="2" t="s">
        <v>66</v>
      </c>
      <c r="L1951" s="2" t="s">
        <v>67</v>
      </c>
      <c r="M1951" s="2" t="s">
        <v>1869</v>
      </c>
      <c r="N1951" s="2" t="s">
        <v>30</v>
      </c>
      <c r="O1951" s="2" t="s">
        <v>31</v>
      </c>
      <c r="P1951" s="2" t="s">
        <v>1870</v>
      </c>
      <c r="Q1951" s="2">
        <v>301.47000000000003</v>
      </c>
      <c r="R1951" s="2">
        <v>3</v>
      </c>
      <c r="S1951" s="2">
        <v>-204.99959999999999</v>
      </c>
      <c r="T1951" s="2" t="s">
        <v>83</v>
      </c>
      <c r="U1951" s="2" t="s">
        <v>253</v>
      </c>
    </row>
    <row r="1952" spans="1:21" ht="14.25" customHeight="1" x14ac:dyDescent="0.3">
      <c r="A1952" s="2" t="s">
        <v>4214</v>
      </c>
      <c r="B1952" s="5">
        <v>43021</v>
      </c>
      <c r="C1952" s="2" t="str">
        <f>TEXT(data[[#This Row],[Order Date]],"YYYY")</f>
        <v>2017</v>
      </c>
      <c r="D1952" s="2">
        <v>43022</v>
      </c>
      <c r="E1952" s="2" t="s">
        <v>87</v>
      </c>
      <c r="F1952" s="2" t="s">
        <v>2107</v>
      </c>
      <c r="G1952" s="2" t="s">
        <v>2108</v>
      </c>
      <c r="H1952" s="2" t="s">
        <v>24</v>
      </c>
      <c r="I1952" s="2" t="s">
        <v>25</v>
      </c>
      <c r="J1952" s="2" t="s">
        <v>1405</v>
      </c>
      <c r="K1952" s="2" t="s">
        <v>1406</v>
      </c>
      <c r="L1952" s="2" t="s">
        <v>28</v>
      </c>
      <c r="M1952" s="2" t="s">
        <v>306</v>
      </c>
      <c r="N1952" s="2" t="s">
        <v>30</v>
      </c>
      <c r="O1952" s="2" t="s">
        <v>45</v>
      </c>
      <c r="P1952" s="2" t="s">
        <v>307</v>
      </c>
      <c r="Q1952" s="2">
        <v>1504.52</v>
      </c>
      <c r="R1952" s="2">
        <v>4</v>
      </c>
      <c r="S1952" s="2">
        <v>346.03960000000001</v>
      </c>
      <c r="T1952" s="2" t="s">
        <v>123</v>
      </c>
      <c r="U1952" s="2" t="s">
        <v>48</v>
      </c>
    </row>
    <row r="1953" spans="1:21" ht="14.25" customHeight="1" x14ac:dyDescent="0.3">
      <c r="A1953" s="2" t="s">
        <v>4215</v>
      </c>
      <c r="B1953" s="5">
        <v>42615</v>
      </c>
      <c r="C1953" s="2" t="str">
        <f>TEXT(data[[#This Row],[Order Date]],"YYYY")</f>
        <v>2016</v>
      </c>
      <c r="D1953" s="2">
        <v>42619</v>
      </c>
      <c r="E1953" s="2" t="s">
        <v>39</v>
      </c>
      <c r="F1953" s="2" t="s">
        <v>637</v>
      </c>
      <c r="G1953" s="2" t="s">
        <v>638</v>
      </c>
      <c r="H1953" s="2" t="s">
        <v>24</v>
      </c>
      <c r="I1953" s="2" t="s">
        <v>25</v>
      </c>
      <c r="J1953" s="2" t="s">
        <v>52</v>
      </c>
      <c r="K1953" s="2" t="s">
        <v>53</v>
      </c>
      <c r="L1953" s="2" t="s">
        <v>54</v>
      </c>
      <c r="M1953" s="2" t="s">
        <v>1577</v>
      </c>
      <c r="N1953" s="2" t="s">
        <v>30</v>
      </c>
      <c r="O1953" s="2" t="s">
        <v>56</v>
      </c>
      <c r="P1953" s="2" t="s">
        <v>1578</v>
      </c>
      <c r="Q1953" s="2">
        <v>94.68</v>
      </c>
      <c r="R1953" s="2">
        <v>9</v>
      </c>
      <c r="S1953" s="2">
        <v>31.244399999999999</v>
      </c>
      <c r="T1953" s="2" t="s">
        <v>83</v>
      </c>
      <c r="U1953" s="2" t="s">
        <v>77</v>
      </c>
    </row>
    <row r="1954" spans="1:21" ht="14.25" customHeight="1" x14ac:dyDescent="0.3">
      <c r="A1954" s="2" t="s">
        <v>4215</v>
      </c>
      <c r="B1954" s="5">
        <v>42615</v>
      </c>
      <c r="C1954" s="2" t="str">
        <f>TEXT(data[[#This Row],[Order Date]],"YYYY")</f>
        <v>2016</v>
      </c>
      <c r="D1954" s="2">
        <v>42619</v>
      </c>
      <c r="E1954" s="2" t="s">
        <v>39</v>
      </c>
      <c r="F1954" s="2" t="s">
        <v>637</v>
      </c>
      <c r="G1954" s="2" t="s">
        <v>638</v>
      </c>
      <c r="H1954" s="2" t="s">
        <v>24</v>
      </c>
      <c r="I1954" s="2" t="s">
        <v>25</v>
      </c>
      <c r="J1954" s="2" t="s">
        <v>52</v>
      </c>
      <c r="K1954" s="2" t="s">
        <v>53</v>
      </c>
      <c r="L1954" s="2" t="s">
        <v>54</v>
      </c>
      <c r="M1954" s="2" t="s">
        <v>60</v>
      </c>
      <c r="N1954" s="2" t="s">
        <v>30</v>
      </c>
      <c r="O1954" s="2" t="s">
        <v>45</v>
      </c>
      <c r="P1954" s="2" t="s">
        <v>61</v>
      </c>
      <c r="Q1954" s="2">
        <v>568.72799999999995</v>
      </c>
      <c r="R1954" s="2">
        <v>3</v>
      </c>
      <c r="S1954" s="2">
        <v>28.436399999999999</v>
      </c>
      <c r="T1954" s="2" t="s">
        <v>83</v>
      </c>
      <c r="U1954" s="2" t="s">
        <v>77</v>
      </c>
    </row>
    <row r="1955" spans="1:21" ht="14.25" customHeight="1" x14ac:dyDescent="0.3">
      <c r="A1955" s="2" t="s">
        <v>4216</v>
      </c>
      <c r="B1955" s="5">
        <v>42777</v>
      </c>
      <c r="C1955" s="2" t="str">
        <f>TEXT(data[[#This Row],[Order Date]],"YYYY")</f>
        <v>2017</v>
      </c>
      <c r="D1955" s="2">
        <v>42780</v>
      </c>
      <c r="E1955" s="2" t="s">
        <v>87</v>
      </c>
      <c r="F1955" s="2" t="s">
        <v>1684</v>
      </c>
      <c r="G1955" s="2" t="s">
        <v>1685</v>
      </c>
      <c r="H1955" s="2" t="s">
        <v>24</v>
      </c>
      <c r="I1955" s="2" t="s">
        <v>25</v>
      </c>
      <c r="J1955" s="2" t="s">
        <v>347</v>
      </c>
      <c r="K1955" s="2" t="s">
        <v>231</v>
      </c>
      <c r="L1955" s="2" t="s">
        <v>67</v>
      </c>
      <c r="M1955" s="2" t="s">
        <v>920</v>
      </c>
      <c r="N1955" s="2" t="s">
        <v>30</v>
      </c>
      <c r="O1955" s="2" t="s">
        <v>56</v>
      </c>
      <c r="P1955" s="2" t="s">
        <v>921</v>
      </c>
      <c r="Q1955" s="2">
        <v>147.56800000000001</v>
      </c>
      <c r="R1955" s="2">
        <v>2</v>
      </c>
      <c r="S1955" s="2">
        <v>-3.6892</v>
      </c>
      <c r="T1955" s="2" t="s">
        <v>33</v>
      </c>
      <c r="U1955" s="2" t="s">
        <v>297</v>
      </c>
    </row>
    <row r="1956" spans="1:21" ht="14.25" customHeight="1" x14ac:dyDescent="0.3">
      <c r="A1956" s="2" t="s">
        <v>4217</v>
      </c>
      <c r="B1956" s="5">
        <v>41829</v>
      </c>
      <c r="C1956" s="2" t="str">
        <f>TEXT(data[[#This Row],[Order Date]],"YYYY")</f>
        <v>2014</v>
      </c>
      <c r="D1956" s="2">
        <v>41834</v>
      </c>
      <c r="E1956" s="2" t="s">
        <v>39</v>
      </c>
      <c r="F1956" s="2" t="s">
        <v>765</v>
      </c>
      <c r="G1956" s="2" t="s">
        <v>766</v>
      </c>
      <c r="H1956" s="2" t="s">
        <v>100</v>
      </c>
      <c r="I1956" s="2" t="s">
        <v>25</v>
      </c>
      <c r="J1956" s="2" t="s">
        <v>328</v>
      </c>
      <c r="K1956" s="2" t="s">
        <v>53</v>
      </c>
      <c r="L1956" s="2" t="s">
        <v>54</v>
      </c>
      <c r="M1956" s="2" t="s">
        <v>2622</v>
      </c>
      <c r="N1956" s="2" t="s">
        <v>30</v>
      </c>
      <c r="O1956" s="2" t="s">
        <v>31</v>
      </c>
      <c r="P1956" s="2" t="s">
        <v>2623</v>
      </c>
      <c r="Q1956" s="2">
        <v>119.833</v>
      </c>
      <c r="R1956" s="2">
        <v>1</v>
      </c>
      <c r="S1956" s="2">
        <v>7.0490000000000004</v>
      </c>
      <c r="T1956" s="2" t="s">
        <v>58</v>
      </c>
      <c r="U1956" s="2" t="s">
        <v>71</v>
      </c>
    </row>
    <row r="1957" spans="1:21" ht="14.25" customHeight="1" x14ac:dyDescent="0.3">
      <c r="A1957" s="2" t="s">
        <v>4218</v>
      </c>
      <c r="B1957" s="5">
        <v>41681</v>
      </c>
      <c r="C1957" s="2" t="str">
        <f>TEXT(data[[#This Row],[Order Date]],"YYYY")</f>
        <v>2014</v>
      </c>
      <c r="D1957" s="2">
        <v>41685</v>
      </c>
      <c r="E1957" s="2" t="s">
        <v>21</v>
      </c>
      <c r="F1957" s="2" t="s">
        <v>867</v>
      </c>
      <c r="G1957" s="2" t="s">
        <v>868</v>
      </c>
      <c r="H1957" s="2" t="s">
        <v>24</v>
      </c>
      <c r="I1957" s="2" t="s">
        <v>25</v>
      </c>
      <c r="J1957" s="2" t="s">
        <v>157</v>
      </c>
      <c r="K1957" s="2" t="s">
        <v>565</v>
      </c>
      <c r="L1957" s="2" t="s">
        <v>93</v>
      </c>
      <c r="M1957" s="2" t="s">
        <v>135</v>
      </c>
      <c r="N1957" s="2" t="s">
        <v>30</v>
      </c>
      <c r="O1957" s="2" t="s">
        <v>36</v>
      </c>
      <c r="P1957" s="2" t="s">
        <v>136</v>
      </c>
      <c r="Q1957" s="2">
        <v>60.89</v>
      </c>
      <c r="R1957" s="2">
        <v>1</v>
      </c>
      <c r="S1957" s="2">
        <v>15.2225</v>
      </c>
      <c r="T1957" s="2" t="s">
        <v>83</v>
      </c>
      <c r="U1957" s="2" t="s">
        <v>297</v>
      </c>
    </row>
    <row r="1958" spans="1:21" ht="14.25" customHeight="1" x14ac:dyDescent="0.3">
      <c r="A1958" s="2" t="s">
        <v>4218</v>
      </c>
      <c r="B1958" s="5">
        <v>41681</v>
      </c>
      <c r="C1958" s="2" t="str">
        <f>TEXT(data[[#This Row],[Order Date]],"YYYY")</f>
        <v>2014</v>
      </c>
      <c r="D1958" s="2">
        <v>41685</v>
      </c>
      <c r="E1958" s="2" t="s">
        <v>21</v>
      </c>
      <c r="F1958" s="2" t="s">
        <v>867</v>
      </c>
      <c r="G1958" s="2" t="s">
        <v>868</v>
      </c>
      <c r="H1958" s="2" t="s">
        <v>24</v>
      </c>
      <c r="I1958" s="2" t="s">
        <v>25</v>
      </c>
      <c r="J1958" s="2" t="s">
        <v>157</v>
      </c>
      <c r="K1958" s="2" t="s">
        <v>565</v>
      </c>
      <c r="L1958" s="2" t="s">
        <v>93</v>
      </c>
      <c r="M1958" s="2" t="s">
        <v>1853</v>
      </c>
      <c r="N1958" s="2" t="s">
        <v>30</v>
      </c>
      <c r="O1958" s="2" t="s">
        <v>56</v>
      </c>
      <c r="P1958" s="2" t="s">
        <v>1854</v>
      </c>
      <c r="Q1958" s="2">
        <v>332.94</v>
      </c>
      <c r="R1958" s="2">
        <v>3</v>
      </c>
      <c r="S1958" s="2">
        <v>53.270400000000002</v>
      </c>
      <c r="T1958" s="2" t="s">
        <v>83</v>
      </c>
      <c r="U1958" s="2" t="s">
        <v>297</v>
      </c>
    </row>
    <row r="1959" spans="1:21" ht="14.25" customHeight="1" x14ac:dyDescent="0.3">
      <c r="A1959" s="2" t="s">
        <v>4219</v>
      </c>
      <c r="B1959" s="5">
        <v>42980</v>
      </c>
      <c r="C1959" s="2" t="str">
        <f>TEXT(data[[#This Row],[Order Date]],"YYYY")</f>
        <v>2017</v>
      </c>
      <c r="D1959" s="2">
        <v>42980</v>
      </c>
      <c r="E1959" s="2" t="s">
        <v>425</v>
      </c>
      <c r="F1959" s="2" t="s">
        <v>3199</v>
      </c>
      <c r="G1959" s="2" t="s">
        <v>3200</v>
      </c>
      <c r="H1959" s="2" t="s">
        <v>100</v>
      </c>
      <c r="I1959" s="2" t="s">
        <v>25</v>
      </c>
      <c r="J1959" s="2" t="s">
        <v>191</v>
      </c>
      <c r="K1959" s="2" t="s">
        <v>192</v>
      </c>
      <c r="L1959" s="2" t="s">
        <v>54</v>
      </c>
      <c r="M1959" s="2" t="s">
        <v>114</v>
      </c>
      <c r="N1959" s="2" t="s">
        <v>30</v>
      </c>
      <c r="O1959" s="2" t="s">
        <v>36</v>
      </c>
      <c r="P1959" s="2" t="s">
        <v>115</v>
      </c>
      <c r="Q1959" s="2">
        <v>215.976</v>
      </c>
      <c r="R1959" s="2">
        <v>3</v>
      </c>
      <c r="S1959" s="2">
        <v>-2.6997</v>
      </c>
      <c r="T1959" s="2" t="s">
        <v>430</v>
      </c>
      <c r="U1959" s="2" t="s">
        <v>77</v>
      </c>
    </row>
    <row r="1960" spans="1:21" ht="14.25" customHeight="1" x14ac:dyDescent="0.3">
      <c r="A1960" s="2" t="s">
        <v>4220</v>
      </c>
      <c r="B1960" s="5">
        <v>42286</v>
      </c>
      <c r="C1960" s="2" t="str">
        <f>TEXT(data[[#This Row],[Order Date]],"YYYY")</f>
        <v>2015</v>
      </c>
      <c r="D1960" s="2">
        <v>42290</v>
      </c>
      <c r="E1960" s="2" t="s">
        <v>39</v>
      </c>
      <c r="F1960" s="2" t="s">
        <v>4221</v>
      </c>
      <c r="G1960" s="2" t="s">
        <v>4222</v>
      </c>
      <c r="H1960" s="2" t="s">
        <v>24</v>
      </c>
      <c r="I1960" s="2" t="s">
        <v>25</v>
      </c>
      <c r="J1960" s="2" t="s">
        <v>288</v>
      </c>
      <c r="K1960" s="2" t="s">
        <v>289</v>
      </c>
      <c r="L1960" s="2" t="s">
        <v>93</v>
      </c>
      <c r="M1960" s="2" t="s">
        <v>142</v>
      </c>
      <c r="N1960" s="2" t="s">
        <v>30</v>
      </c>
      <c r="O1960" s="2" t="s">
        <v>36</v>
      </c>
      <c r="P1960" s="2" t="s">
        <v>143</v>
      </c>
      <c r="Q1960" s="2">
        <v>389.97</v>
      </c>
      <c r="R1960" s="2">
        <v>3</v>
      </c>
      <c r="S1960" s="2">
        <v>35.097299999999997</v>
      </c>
      <c r="T1960" s="2" t="s">
        <v>83</v>
      </c>
      <c r="U1960" s="2" t="s">
        <v>48</v>
      </c>
    </row>
    <row r="1961" spans="1:21" ht="14.25" customHeight="1" x14ac:dyDescent="0.3">
      <c r="A1961" s="2" t="s">
        <v>4223</v>
      </c>
      <c r="B1961" s="5">
        <v>41678</v>
      </c>
      <c r="C1961" s="2" t="str">
        <f>TEXT(data[[#This Row],[Order Date]],"YYYY")</f>
        <v>2014</v>
      </c>
      <c r="D1961" s="2">
        <v>41679</v>
      </c>
      <c r="E1961" s="2" t="s">
        <v>87</v>
      </c>
      <c r="F1961" s="2" t="s">
        <v>392</v>
      </c>
      <c r="G1961" s="2" t="s">
        <v>393</v>
      </c>
      <c r="H1961" s="2" t="s">
        <v>100</v>
      </c>
      <c r="I1961" s="2" t="s">
        <v>25</v>
      </c>
      <c r="J1961" s="2" t="s">
        <v>1339</v>
      </c>
      <c r="K1961" s="2" t="s">
        <v>1340</v>
      </c>
      <c r="L1961" s="2" t="s">
        <v>54</v>
      </c>
      <c r="M1961" s="2" t="s">
        <v>2877</v>
      </c>
      <c r="N1961" s="2" t="s">
        <v>30</v>
      </c>
      <c r="O1961" s="2" t="s">
        <v>56</v>
      </c>
      <c r="P1961" s="2" t="s">
        <v>2878</v>
      </c>
      <c r="Q1961" s="2">
        <v>14.56</v>
      </c>
      <c r="R1961" s="2">
        <v>2</v>
      </c>
      <c r="S1961" s="2">
        <v>5.5327999999999999</v>
      </c>
      <c r="T1961" s="2" t="s">
        <v>123</v>
      </c>
      <c r="U1961" s="2" t="s">
        <v>297</v>
      </c>
    </row>
    <row r="1962" spans="1:21" ht="14.25" customHeight="1" x14ac:dyDescent="0.3">
      <c r="A1962" s="2" t="s">
        <v>4224</v>
      </c>
      <c r="B1962" s="5">
        <v>42272</v>
      </c>
      <c r="C1962" s="2" t="str">
        <f>TEXT(data[[#This Row],[Order Date]],"YYYY")</f>
        <v>2015</v>
      </c>
      <c r="D1962" s="2">
        <v>42272</v>
      </c>
      <c r="E1962" s="2" t="s">
        <v>425</v>
      </c>
      <c r="F1962" s="2" t="s">
        <v>628</v>
      </c>
      <c r="G1962" s="2" t="s">
        <v>629</v>
      </c>
      <c r="H1962" s="2" t="s">
        <v>24</v>
      </c>
      <c r="I1962" s="2" t="s">
        <v>25</v>
      </c>
      <c r="J1962" s="2" t="s">
        <v>2728</v>
      </c>
      <c r="K1962" s="2" t="s">
        <v>120</v>
      </c>
      <c r="L1962" s="2" t="s">
        <v>67</v>
      </c>
      <c r="M1962" s="2" t="s">
        <v>3216</v>
      </c>
      <c r="N1962" s="2" t="s">
        <v>30</v>
      </c>
      <c r="O1962" s="2" t="s">
        <v>36</v>
      </c>
      <c r="P1962" s="2" t="s">
        <v>3217</v>
      </c>
      <c r="Q1962" s="2">
        <v>102.58199999999999</v>
      </c>
      <c r="R1962" s="2">
        <v>1</v>
      </c>
      <c r="S1962" s="2">
        <v>6.8388</v>
      </c>
      <c r="T1962" s="2" t="s">
        <v>430</v>
      </c>
      <c r="U1962" s="2" t="s">
        <v>77</v>
      </c>
    </row>
    <row r="1963" spans="1:21" ht="14.25" customHeight="1" x14ac:dyDescent="0.3">
      <c r="A1963" s="2" t="s">
        <v>4225</v>
      </c>
      <c r="B1963" s="5">
        <v>42502</v>
      </c>
      <c r="C1963" s="2" t="str">
        <f>TEXT(data[[#This Row],[Order Date]],"YYYY")</f>
        <v>2016</v>
      </c>
      <c r="D1963" s="2">
        <v>42507</v>
      </c>
      <c r="E1963" s="2" t="s">
        <v>39</v>
      </c>
      <c r="F1963" s="2" t="s">
        <v>1866</v>
      </c>
      <c r="G1963" s="2" t="s">
        <v>1867</v>
      </c>
      <c r="H1963" s="2" t="s">
        <v>90</v>
      </c>
      <c r="I1963" s="2" t="s">
        <v>25</v>
      </c>
      <c r="J1963" s="2" t="s">
        <v>173</v>
      </c>
      <c r="K1963" s="2" t="s">
        <v>120</v>
      </c>
      <c r="L1963" s="2" t="s">
        <v>67</v>
      </c>
      <c r="M1963" s="2" t="s">
        <v>2425</v>
      </c>
      <c r="N1963" s="2" t="s">
        <v>30</v>
      </c>
      <c r="O1963" s="2" t="s">
        <v>56</v>
      </c>
      <c r="P1963" s="2" t="s">
        <v>2426</v>
      </c>
      <c r="Q1963" s="2">
        <v>10.02</v>
      </c>
      <c r="R1963" s="2">
        <v>3</v>
      </c>
      <c r="S1963" s="2">
        <v>4.4088000000000003</v>
      </c>
      <c r="T1963" s="2" t="s">
        <v>58</v>
      </c>
      <c r="U1963" s="2" t="s">
        <v>161</v>
      </c>
    </row>
    <row r="1964" spans="1:21" ht="14.25" customHeight="1" x14ac:dyDescent="0.3">
      <c r="A1964" s="2" t="s">
        <v>4226</v>
      </c>
      <c r="B1964" s="5">
        <v>43070</v>
      </c>
      <c r="C1964" s="2" t="str">
        <f>TEXT(data[[#This Row],[Order Date]],"YYYY")</f>
        <v>2017</v>
      </c>
      <c r="D1964" s="2">
        <v>43074</v>
      </c>
      <c r="E1964" s="2" t="s">
        <v>39</v>
      </c>
      <c r="F1964" s="2" t="s">
        <v>3683</v>
      </c>
      <c r="G1964" s="2" t="s">
        <v>3684</v>
      </c>
      <c r="H1964" s="2" t="s">
        <v>24</v>
      </c>
      <c r="I1964" s="2" t="s">
        <v>25</v>
      </c>
      <c r="J1964" s="2" t="s">
        <v>65</v>
      </c>
      <c r="K1964" s="2" t="s">
        <v>66</v>
      </c>
      <c r="L1964" s="2" t="s">
        <v>67</v>
      </c>
      <c r="M1964" s="2" t="s">
        <v>575</v>
      </c>
      <c r="N1964" s="2" t="s">
        <v>30</v>
      </c>
      <c r="O1964" s="2" t="s">
        <v>36</v>
      </c>
      <c r="P1964" s="2" t="s">
        <v>576</v>
      </c>
      <c r="Q1964" s="2">
        <v>398.97199999999998</v>
      </c>
      <c r="R1964" s="2">
        <v>2</v>
      </c>
      <c r="S1964" s="2">
        <v>-28.498000000000001</v>
      </c>
      <c r="T1964" s="2" t="s">
        <v>83</v>
      </c>
      <c r="U1964" s="2" t="s">
        <v>96</v>
      </c>
    </row>
    <row r="1965" spans="1:21" ht="14.25" customHeight="1" x14ac:dyDescent="0.3">
      <c r="A1965" s="2" t="s">
        <v>4227</v>
      </c>
      <c r="B1965" s="5">
        <v>42633</v>
      </c>
      <c r="C1965" s="2" t="str">
        <f>TEXT(data[[#This Row],[Order Date]],"YYYY")</f>
        <v>2016</v>
      </c>
      <c r="D1965" s="2">
        <v>42637</v>
      </c>
      <c r="E1965" s="2" t="s">
        <v>39</v>
      </c>
      <c r="F1965" s="2" t="s">
        <v>4228</v>
      </c>
      <c r="G1965" s="2" t="s">
        <v>4229</v>
      </c>
      <c r="H1965" s="2" t="s">
        <v>100</v>
      </c>
      <c r="I1965" s="2" t="s">
        <v>25</v>
      </c>
      <c r="J1965" s="2" t="s">
        <v>191</v>
      </c>
      <c r="K1965" s="2" t="s">
        <v>192</v>
      </c>
      <c r="L1965" s="2" t="s">
        <v>54</v>
      </c>
      <c r="M1965" s="2" t="s">
        <v>2733</v>
      </c>
      <c r="N1965" s="2" t="s">
        <v>30</v>
      </c>
      <c r="O1965" s="2" t="s">
        <v>31</v>
      </c>
      <c r="P1965" s="2" t="s">
        <v>2734</v>
      </c>
      <c r="Q1965" s="2">
        <v>163.88</v>
      </c>
      <c r="R1965" s="2">
        <v>2</v>
      </c>
      <c r="S1965" s="2">
        <v>40.97</v>
      </c>
      <c r="T1965" s="2" t="s">
        <v>83</v>
      </c>
      <c r="U1965" s="2" t="s">
        <v>77</v>
      </c>
    </row>
    <row r="1966" spans="1:21" ht="14.25" customHeight="1" x14ac:dyDescent="0.3">
      <c r="A1966" s="2" t="s">
        <v>4230</v>
      </c>
      <c r="B1966" s="5">
        <v>41961</v>
      </c>
      <c r="C1966" s="2" t="str">
        <f>TEXT(data[[#This Row],[Order Date]],"YYYY")</f>
        <v>2014</v>
      </c>
      <c r="D1966" s="2">
        <v>41966</v>
      </c>
      <c r="E1966" s="2" t="s">
        <v>39</v>
      </c>
      <c r="F1966" s="2" t="s">
        <v>426</v>
      </c>
      <c r="G1966" s="2" t="s">
        <v>427</v>
      </c>
      <c r="H1966" s="2" t="s">
        <v>90</v>
      </c>
      <c r="I1966" s="2" t="s">
        <v>25</v>
      </c>
      <c r="J1966" s="2" t="s">
        <v>237</v>
      </c>
      <c r="K1966" s="2" t="s">
        <v>238</v>
      </c>
      <c r="L1966" s="2" t="s">
        <v>93</v>
      </c>
      <c r="M1966" s="2" t="s">
        <v>668</v>
      </c>
      <c r="N1966" s="2" t="s">
        <v>30</v>
      </c>
      <c r="O1966" s="2" t="s">
        <v>36</v>
      </c>
      <c r="P1966" s="2" t="s">
        <v>669</v>
      </c>
      <c r="Q1966" s="2">
        <v>392.94</v>
      </c>
      <c r="R1966" s="2">
        <v>3</v>
      </c>
      <c r="S1966" s="2">
        <v>43.223399999999998</v>
      </c>
      <c r="T1966" s="2" t="s">
        <v>58</v>
      </c>
      <c r="U1966" s="2" t="s">
        <v>34</v>
      </c>
    </row>
    <row r="1967" spans="1:21" ht="14.25" customHeight="1" x14ac:dyDescent="0.3">
      <c r="A1967" s="2" t="s">
        <v>4231</v>
      </c>
      <c r="B1967" s="5">
        <v>42329</v>
      </c>
      <c r="C1967" s="2" t="str">
        <f>TEXT(data[[#This Row],[Order Date]],"YYYY")</f>
        <v>2015</v>
      </c>
      <c r="D1967" s="2">
        <v>42332</v>
      </c>
      <c r="E1967" s="2" t="s">
        <v>87</v>
      </c>
      <c r="F1967" s="2" t="s">
        <v>4232</v>
      </c>
      <c r="G1967" s="2" t="s">
        <v>4233</v>
      </c>
      <c r="H1967" s="2" t="s">
        <v>24</v>
      </c>
      <c r="I1967" s="2" t="s">
        <v>25</v>
      </c>
      <c r="J1967" s="2" t="s">
        <v>1035</v>
      </c>
      <c r="K1967" s="2" t="s">
        <v>1036</v>
      </c>
      <c r="L1967" s="2" t="s">
        <v>28</v>
      </c>
      <c r="M1967" s="2" t="s">
        <v>283</v>
      </c>
      <c r="N1967" s="2" t="s">
        <v>30</v>
      </c>
      <c r="O1967" s="2" t="s">
        <v>56</v>
      </c>
      <c r="P1967" s="2" t="s">
        <v>284</v>
      </c>
      <c r="Q1967" s="2">
        <v>18.175999999999998</v>
      </c>
      <c r="R1967" s="2">
        <v>1</v>
      </c>
      <c r="S1967" s="2">
        <v>4.7712000000000003</v>
      </c>
      <c r="T1967" s="2" t="s">
        <v>33</v>
      </c>
      <c r="U1967" s="2" t="s">
        <v>34</v>
      </c>
    </row>
    <row r="1968" spans="1:21" ht="14.25" customHeight="1" x14ac:dyDescent="0.3">
      <c r="A1968" s="2" t="s">
        <v>4234</v>
      </c>
      <c r="B1968" s="5">
        <v>42905</v>
      </c>
      <c r="C1968" s="2" t="str">
        <f>TEXT(data[[#This Row],[Order Date]],"YYYY")</f>
        <v>2017</v>
      </c>
      <c r="D1968" s="2">
        <v>42912</v>
      </c>
      <c r="E1968" s="2" t="s">
        <v>39</v>
      </c>
      <c r="F1968" s="2" t="s">
        <v>3396</v>
      </c>
      <c r="G1968" s="2" t="s">
        <v>3397</v>
      </c>
      <c r="H1968" s="2" t="s">
        <v>100</v>
      </c>
      <c r="I1968" s="2" t="s">
        <v>25</v>
      </c>
      <c r="J1968" s="2" t="s">
        <v>1739</v>
      </c>
      <c r="K1968" s="2" t="s">
        <v>92</v>
      </c>
      <c r="L1968" s="2" t="s">
        <v>93</v>
      </c>
      <c r="M1968" s="2" t="s">
        <v>699</v>
      </c>
      <c r="N1968" s="2" t="s">
        <v>30</v>
      </c>
      <c r="O1968" s="2" t="s">
        <v>45</v>
      </c>
      <c r="P1968" s="2" t="s">
        <v>700</v>
      </c>
      <c r="Q1968" s="2">
        <v>457.48500000000001</v>
      </c>
      <c r="R1968" s="2">
        <v>3</v>
      </c>
      <c r="S1968" s="2">
        <v>-84.961500000000001</v>
      </c>
      <c r="T1968" s="2" t="s">
        <v>47</v>
      </c>
      <c r="U1968" s="2" t="s">
        <v>59</v>
      </c>
    </row>
    <row r="1969" spans="1:21" ht="14.25" customHeight="1" x14ac:dyDescent="0.3">
      <c r="A1969" s="2" t="s">
        <v>4235</v>
      </c>
      <c r="B1969" s="5">
        <v>43069</v>
      </c>
      <c r="C1969" s="2" t="str">
        <f>TEXT(data[[#This Row],[Order Date]],"YYYY")</f>
        <v>2017</v>
      </c>
      <c r="D1969" s="2">
        <v>43072</v>
      </c>
      <c r="E1969" s="2" t="s">
        <v>87</v>
      </c>
      <c r="F1969" s="2" t="s">
        <v>1715</v>
      </c>
      <c r="G1969" s="2" t="s">
        <v>1716</v>
      </c>
      <c r="H1969" s="2" t="s">
        <v>24</v>
      </c>
      <c r="I1969" s="2" t="s">
        <v>25</v>
      </c>
      <c r="J1969" s="2" t="s">
        <v>65</v>
      </c>
      <c r="K1969" s="2" t="s">
        <v>66</v>
      </c>
      <c r="L1969" s="2" t="s">
        <v>67</v>
      </c>
      <c r="M1969" s="2" t="s">
        <v>1600</v>
      </c>
      <c r="N1969" s="2" t="s">
        <v>30</v>
      </c>
      <c r="O1969" s="2" t="s">
        <v>36</v>
      </c>
      <c r="P1969" s="2" t="s">
        <v>1601</v>
      </c>
      <c r="Q1969" s="2">
        <v>1079.316</v>
      </c>
      <c r="R1969" s="2">
        <v>6</v>
      </c>
      <c r="S1969" s="2">
        <v>-15.418799999999999</v>
      </c>
      <c r="T1969" s="2" t="s">
        <v>33</v>
      </c>
      <c r="U1969" s="2" t="s">
        <v>34</v>
      </c>
    </row>
    <row r="1970" spans="1:21" ht="14.25" customHeight="1" x14ac:dyDescent="0.3">
      <c r="A1970" s="2" t="s">
        <v>4236</v>
      </c>
      <c r="B1970" s="5">
        <v>42883</v>
      </c>
      <c r="C1970" s="2" t="str">
        <f>TEXT(data[[#This Row],[Order Date]],"YYYY")</f>
        <v>2017</v>
      </c>
      <c r="D1970" s="2">
        <v>42887</v>
      </c>
      <c r="E1970" s="2" t="s">
        <v>39</v>
      </c>
      <c r="F1970" s="2" t="s">
        <v>4237</v>
      </c>
      <c r="G1970" s="2" t="s">
        <v>4238</v>
      </c>
      <c r="H1970" s="2" t="s">
        <v>90</v>
      </c>
      <c r="I1970" s="2" t="s">
        <v>25</v>
      </c>
      <c r="J1970" s="2" t="s">
        <v>693</v>
      </c>
      <c r="K1970" s="2" t="s">
        <v>231</v>
      </c>
      <c r="L1970" s="2" t="s">
        <v>67</v>
      </c>
      <c r="M1970" s="2" t="s">
        <v>348</v>
      </c>
      <c r="N1970" s="2" t="s">
        <v>30</v>
      </c>
      <c r="O1970" s="2" t="s">
        <v>31</v>
      </c>
      <c r="P1970" s="2" t="s">
        <v>349</v>
      </c>
      <c r="Q1970" s="2">
        <v>115.96</v>
      </c>
      <c r="R1970" s="2">
        <v>4</v>
      </c>
      <c r="S1970" s="2">
        <v>-64.937600000000003</v>
      </c>
      <c r="T1970" s="2" t="s">
        <v>83</v>
      </c>
      <c r="U1970" s="2" t="s">
        <v>161</v>
      </c>
    </row>
    <row r="1971" spans="1:21" ht="14.25" customHeight="1" x14ac:dyDescent="0.3">
      <c r="A1971" s="2" t="s">
        <v>4239</v>
      </c>
      <c r="B1971" s="5">
        <v>42112</v>
      </c>
      <c r="C1971" s="2" t="str">
        <f>TEXT(data[[#This Row],[Order Date]],"YYYY")</f>
        <v>2015</v>
      </c>
      <c r="D1971" s="2">
        <v>42116</v>
      </c>
      <c r="E1971" s="2" t="s">
        <v>21</v>
      </c>
      <c r="F1971" s="2" t="s">
        <v>469</v>
      </c>
      <c r="G1971" s="2" t="s">
        <v>470</v>
      </c>
      <c r="H1971" s="2" t="s">
        <v>90</v>
      </c>
      <c r="I1971" s="2" t="s">
        <v>25</v>
      </c>
      <c r="J1971" s="2" t="s">
        <v>4240</v>
      </c>
      <c r="K1971" s="2" t="s">
        <v>92</v>
      </c>
      <c r="L1971" s="2" t="s">
        <v>93</v>
      </c>
      <c r="M1971" s="2" t="s">
        <v>510</v>
      </c>
      <c r="N1971" s="2" t="s">
        <v>30</v>
      </c>
      <c r="O1971" s="2" t="s">
        <v>36</v>
      </c>
      <c r="P1971" s="2" t="s">
        <v>511</v>
      </c>
      <c r="Q1971" s="2">
        <v>56.686</v>
      </c>
      <c r="R1971" s="2">
        <v>1</v>
      </c>
      <c r="S1971" s="2">
        <v>-20.245000000000001</v>
      </c>
      <c r="T1971" s="2" t="s">
        <v>83</v>
      </c>
      <c r="U1971" s="2" t="s">
        <v>113</v>
      </c>
    </row>
    <row r="1972" spans="1:21" ht="14.25" customHeight="1" x14ac:dyDescent="0.3">
      <c r="A1972" s="2" t="s">
        <v>4241</v>
      </c>
      <c r="B1972" s="5">
        <v>42936</v>
      </c>
      <c r="C1972" s="2" t="str">
        <f>TEXT(data[[#This Row],[Order Date]],"YYYY")</f>
        <v>2017</v>
      </c>
      <c r="D1972" s="2">
        <v>42941</v>
      </c>
      <c r="E1972" s="2" t="s">
        <v>39</v>
      </c>
      <c r="F1972" s="2" t="s">
        <v>680</v>
      </c>
      <c r="G1972" s="2" t="s">
        <v>681</v>
      </c>
      <c r="H1972" s="2" t="s">
        <v>90</v>
      </c>
      <c r="I1972" s="2" t="s">
        <v>25</v>
      </c>
      <c r="J1972" s="2" t="s">
        <v>173</v>
      </c>
      <c r="K1972" s="2" t="s">
        <v>120</v>
      </c>
      <c r="L1972" s="2" t="s">
        <v>67</v>
      </c>
      <c r="M1972" s="2" t="s">
        <v>4242</v>
      </c>
      <c r="N1972" s="2" t="s">
        <v>30</v>
      </c>
      <c r="O1972" s="2" t="s">
        <v>36</v>
      </c>
      <c r="P1972" s="2" t="s">
        <v>4243</v>
      </c>
      <c r="Q1972" s="2">
        <v>163.76400000000001</v>
      </c>
      <c r="R1972" s="2">
        <v>2</v>
      </c>
      <c r="S1972" s="2">
        <v>25.474399999999999</v>
      </c>
      <c r="T1972" s="2" t="s">
        <v>58</v>
      </c>
      <c r="U1972" s="2" t="s">
        <v>71</v>
      </c>
    </row>
    <row r="1973" spans="1:21" ht="14.25" customHeight="1" x14ac:dyDescent="0.3">
      <c r="A1973" s="2" t="s">
        <v>4241</v>
      </c>
      <c r="B1973" s="5">
        <v>42936</v>
      </c>
      <c r="C1973" s="2" t="str">
        <f>TEXT(data[[#This Row],[Order Date]],"YYYY")</f>
        <v>2017</v>
      </c>
      <c r="D1973" s="2">
        <v>42941</v>
      </c>
      <c r="E1973" s="2" t="s">
        <v>39</v>
      </c>
      <c r="F1973" s="2" t="s">
        <v>680</v>
      </c>
      <c r="G1973" s="2" t="s">
        <v>681</v>
      </c>
      <c r="H1973" s="2" t="s">
        <v>90</v>
      </c>
      <c r="I1973" s="2" t="s">
        <v>25</v>
      </c>
      <c r="J1973" s="2" t="s">
        <v>173</v>
      </c>
      <c r="K1973" s="2" t="s">
        <v>120</v>
      </c>
      <c r="L1973" s="2" t="s">
        <v>67</v>
      </c>
      <c r="M1973" s="2" t="s">
        <v>3288</v>
      </c>
      <c r="N1973" s="2" t="s">
        <v>30</v>
      </c>
      <c r="O1973" s="2" t="s">
        <v>56</v>
      </c>
      <c r="P1973" s="2" t="s">
        <v>3289</v>
      </c>
      <c r="Q1973" s="2">
        <v>183.92</v>
      </c>
      <c r="R1973" s="2">
        <v>4</v>
      </c>
      <c r="S1973" s="2">
        <v>31.266400000000001</v>
      </c>
      <c r="T1973" s="2" t="s">
        <v>58</v>
      </c>
      <c r="U1973" s="2" t="s">
        <v>71</v>
      </c>
    </row>
    <row r="1974" spans="1:21" ht="14.25" customHeight="1" x14ac:dyDescent="0.3">
      <c r="A1974" s="2" t="s">
        <v>4244</v>
      </c>
      <c r="B1974" s="5">
        <v>42678</v>
      </c>
      <c r="C1974" s="2" t="str">
        <f>TEXT(data[[#This Row],[Order Date]],"YYYY")</f>
        <v>2016</v>
      </c>
      <c r="D1974" s="2">
        <v>42682</v>
      </c>
      <c r="E1974" s="2" t="s">
        <v>39</v>
      </c>
      <c r="F1974" s="2" t="s">
        <v>4245</v>
      </c>
      <c r="G1974" s="2" t="s">
        <v>4246</v>
      </c>
      <c r="H1974" s="2" t="s">
        <v>24</v>
      </c>
      <c r="I1974" s="2" t="s">
        <v>25</v>
      </c>
      <c r="J1974" s="2" t="s">
        <v>101</v>
      </c>
      <c r="K1974" s="2" t="s">
        <v>92</v>
      </c>
      <c r="L1974" s="2" t="s">
        <v>93</v>
      </c>
      <c r="M1974" s="2" t="s">
        <v>2204</v>
      </c>
      <c r="N1974" s="2" t="s">
        <v>30</v>
      </c>
      <c r="O1974" s="2" t="s">
        <v>56</v>
      </c>
      <c r="P1974" s="2" t="s">
        <v>2205</v>
      </c>
      <c r="Q1974" s="2">
        <v>11.375999999999999</v>
      </c>
      <c r="R1974" s="2">
        <v>3</v>
      </c>
      <c r="S1974" s="2">
        <v>-5.6879999999999997</v>
      </c>
      <c r="T1974" s="2" t="s">
        <v>83</v>
      </c>
      <c r="U1974" s="2" t="s">
        <v>34</v>
      </c>
    </row>
    <row r="1975" spans="1:21" ht="14.25" customHeight="1" x14ac:dyDescent="0.3">
      <c r="A1975" s="2" t="s">
        <v>4244</v>
      </c>
      <c r="B1975" s="5">
        <v>42678</v>
      </c>
      <c r="C1975" s="2" t="str">
        <f>TEXT(data[[#This Row],[Order Date]],"YYYY")</f>
        <v>2016</v>
      </c>
      <c r="D1975" s="2">
        <v>42682</v>
      </c>
      <c r="E1975" s="2" t="s">
        <v>39</v>
      </c>
      <c r="F1975" s="2" t="s">
        <v>4245</v>
      </c>
      <c r="G1975" s="2" t="s">
        <v>4246</v>
      </c>
      <c r="H1975" s="2" t="s">
        <v>24</v>
      </c>
      <c r="I1975" s="2" t="s">
        <v>25</v>
      </c>
      <c r="J1975" s="2" t="s">
        <v>101</v>
      </c>
      <c r="K1975" s="2" t="s">
        <v>92</v>
      </c>
      <c r="L1975" s="2" t="s">
        <v>93</v>
      </c>
      <c r="M1975" s="2" t="s">
        <v>596</v>
      </c>
      <c r="N1975" s="2" t="s">
        <v>30</v>
      </c>
      <c r="O1975" s="2" t="s">
        <v>56</v>
      </c>
      <c r="P1975" s="2" t="s">
        <v>597</v>
      </c>
      <c r="Q1975" s="2">
        <v>66.111999999999995</v>
      </c>
      <c r="R1975" s="2">
        <v>4</v>
      </c>
      <c r="S1975" s="2">
        <v>-84.2928</v>
      </c>
      <c r="T1975" s="2" t="s">
        <v>83</v>
      </c>
      <c r="U1975" s="2" t="s">
        <v>34</v>
      </c>
    </row>
    <row r="1976" spans="1:21" ht="14.25" customHeight="1" x14ac:dyDescent="0.3">
      <c r="A1976" s="2" t="s">
        <v>4247</v>
      </c>
      <c r="B1976" s="5">
        <v>43001</v>
      </c>
      <c r="C1976" s="2" t="str">
        <f>TEXT(data[[#This Row],[Order Date]],"YYYY")</f>
        <v>2017</v>
      </c>
      <c r="D1976" s="2">
        <v>43007</v>
      </c>
      <c r="E1976" s="2" t="s">
        <v>39</v>
      </c>
      <c r="F1976" s="2" t="s">
        <v>1593</v>
      </c>
      <c r="G1976" s="2" t="s">
        <v>1594</v>
      </c>
      <c r="H1976" s="2" t="s">
        <v>24</v>
      </c>
      <c r="I1976" s="2" t="s">
        <v>25</v>
      </c>
      <c r="J1976" s="2" t="s">
        <v>52</v>
      </c>
      <c r="K1976" s="2" t="s">
        <v>53</v>
      </c>
      <c r="L1976" s="2" t="s">
        <v>54</v>
      </c>
      <c r="M1976" s="2" t="s">
        <v>1095</v>
      </c>
      <c r="N1976" s="2" t="s">
        <v>30</v>
      </c>
      <c r="O1976" s="2" t="s">
        <v>36</v>
      </c>
      <c r="P1976" s="2" t="s">
        <v>1096</v>
      </c>
      <c r="Q1976" s="2">
        <v>594.81600000000003</v>
      </c>
      <c r="R1976" s="2">
        <v>2</v>
      </c>
      <c r="S1976" s="2">
        <v>59.4816</v>
      </c>
      <c r="T1976" s="2" t="s">
        <v>129</v>
      </c>
      <c r="U1976" s="2" t="s">
        <v>77</v>
      </c>
    </row>
    <row r="1977" spans="1:21" ht="14.25" customHeight="1" x14ac:dyDescent="0.3">
      <c r="A1977" s="2" t="s">
        <v>4248</v>
      </c>
      <c r="B1977" s="5">
        <v>42985</v>
      </c>
      <c r="C1977" s="2" t="str">
        <f>TEXT(data[[#This Row],[Order Date]],"YYYY")</f>
        <v>2017</v>
      </c>
      <c r="D1977" s="2">
        <v>42988</v>
      </c>
      <c r="E1977" s="2" t="s">
        <v>87</v>
      </c>
      <c r="F1977" s="2" t="s">
        <v>1916</v>
      </c>
      <c r="G1977" s="2" t="s">
        <v>1917</v>
      </c>
      <c r="H1977" s="2" t="s">
        <v>24</v>
      </c>
      <c r="I1977" s="2" t="s">
        <v>25</v>
      </c>
      <c r="J1977" s="2" t="s">
        <v>845</v>
      </c>
      <c r="K1977" s="2" t="s">
        <v>192</v>
      </c>
      <c r="L1977" s="2" t="s">
        <v>54</v>
      </c>
      <c r="M1977" s="2" t="s">
        <v>2795</v>
      </c>
      <c r="N1977" s="2" t="s">
        <v>30</v>
      </c>
      <c r="O1977" s="2" t="s">
        <v>56</v>
      </c>
      <c r="P1977" s="2" t="s">
        <v>2796</v>
      </c>
      <c r="Q1977" s="2">
        <v>80.959999999999994</v>
      </c>
      <c r="R1977" s="2">
        <v>4</v>
      </c>
      <c r="S1977" s="2">
        <v>34.812800000000003</v>
      </c>
      <c r="T1977" s="2" t="s">
        <v>33</v>
      </c>
      <c r="U1977" s="2" t="s">
        <v>77</v>
      </c>
    </row>
    <row r="1978" spans="1:21" ht="14.25" customHeight="1" x14ac:dyDescent="0.3">
      <c r="A1978" s="2" t="s">
        <v>4249</v>
      </c>
      <c r="B1978" s="5">
        <v>42856</v>
      </c>
      <c r="C1978" s="2" t="str">
        <f>TEXT(data[[#This Row],[Order Date]],"YYYY")</f>
        <v>2017</v>
      </c>
      <c r="D1978" s="2">
        <v>42857</v>
      </c>
      <c r="E1978" s="2" t="s">
        <v>87</v>
      </c>
      <c r="F1978" s="2" t="s">
        <v>1472</v>
      </c>
      <c r="G1978" s="2" t="s">
        <v>1473</v>
      </c>
      <c r="H1978" s="2" t="s">
        <v>24</v>
      </c>
      <c r="I1978" s="2" t="s">
        <v>25</v>
      </c>
      <c r="J1978" s="2" t="s">
        <v>1098</v>
      </c>
      <c r="K1978" s="2" t="s">
        <v>43</v>
      </c>
      <c r="L1978" s="2" t="s">
        <v>28</v>
      </c>
      <c r="M1978" s="2" t="s">
        <v>29</v>
      </c>
      <c r="N1978" s="2" t="s">
        <v>30</v>
      </c>
      <c r="O1978" s="2" t="s">
        <v>31</v>
      </c>
      <c r="P1978" s="2" t="s">
        <v>32</v>
      </c>
      <c r="Q1978" s="2">
        <v>314.35199999999998</v>
      </c>
      <c r="R1978" s="2">
        <v>3</v>
      </c>
      <c r="S1978" s="2">
        <v>-15.717599999999999</v>
      </c>
      <c r="T1978" s="2" t="s">
        <v>123</v>
      </c>
      <c r="U1978" s="2" t="s">
        <v>161</v>
      </c>
    </row>
    <row r="1979" spans="1:21" ht="14.25" customHeight="1" x14ac:dyDescent="0.3">
      <c r="A1979" s="2" t="s">
        <v>4250</v>
      </c>
      <c r="B1979" s="5">
        <v>42783</v>
      </c>
      <c r="C1979" s="2" t="str">
        <f>TEXT(data[[#This Row],[Order Date]],"YYYY")</f>
        <v>2017</v>
      </c>
      <c r="D1979" s="2">
        <v>42786</v>
      </c>
      <c r="E1979" s="2" t="s">
        <v>87</v>
      </c>
      <c r="F1979" s="2" t="s">
        <v>748</v>
      </c>
      <c r="G1979" s="2" t="s">
        <v>749</v>
      </c>
      <c r="H1979" s="2" t="s">
        <v>100</v>
      </c>
      <c r="I1979" s="2" t="s">
        <v>25</v>
      </c>
      <c r="J1979" s="2" t="s">
        <v>119</v>
      </c>
      <c r="K1979" s="2" t="s">
        <v>231</v>
      </c>
      <c r="L1979" s="2" t="s">
        <v>67</v>
      </c>
      <c r="M1979" s="2" t="s">
        <v>3189</v>
      </c>
      <c r="N1979" s="2" t="s">
        <v>30</v>
      </c>
      <c r="O1979" s="2" t="s">
        <v>45</v>
      </c>
      <c r="P1979" s="2" t="s">
        <v>3190</v>
      </c>
      <c r="Q1979" s="2">
        <v>455.97</v>
      </c>
      <c r="R1979" s="2">
        <v>5</v>
      </c>
      <c r="S1979" s="2">
        <v>-106.393</v>
      </c>
      <c r="T1979" s="2" t="s">
        <v>33</v>
      </c>
      <c r="U1979" s="2" t="s">
        <v>297</v>
      </c>
    </row>
    <row r="1980" spans="1:21" ht="14.25" customHeight="1" x14ac:dyDescent="0.3">
      <c r="A1980" s="2" t="s">
        <v>4250</v>
      </c>
      <c r="B1980" s="5">
        <v>42783</v>
      </c>
      <c r="C1980" s="2" t="str">
        <f>TEXT(data[[#This Row],[Order Date]],"YYYY")</f>
        <v>2017</v>
      </c>
      <c r="D1980" s="2">
        <v>42786</v>
      </c>
      <c r="E1980" s="2" t="s">
        <v>87</v>
      </c>
      <c r="F1980" s="2" t="s">
        <v>748</v>
      </c>
      <c r="G1980" s="2" t="s">
        <v>749</v>
      </c>
      <c r="H1980" s="2" t="s">
        <v>100</v>
      </c>
      <c r="I1980" s="2" t="s">
        <v>25</v>
      </c>
      <c r="J1980" s="2" t="s">
        <v>119</v>
      </c>
      <c r="K1980" s="2" t="s">
        <v>231</v>
      </c>
      <c r="L1980" s="2" t="s">
        <v>67</v>
      </c>
      <c r="M1980" s="2" t="s">
        <v>1542</v>
      </c>
      <c r="N1980" s="2" t="s">
        <v>30</v>
      </c>
      <c r="O1980" s="2" t="s">
        <v>56</v>
      </c>
      <c r="P1980" s="2" t="s">
        <v>1543</v>
      </c>
      <c r="Q1980" s="2">
        <v>30.143999999999998</v>
      </c>
      <c r="R1980" s="2">
        <v>2</v>
      </c>
      <c r="S1980" s="2">
        <v>8.2896000000000001</v>
      </c>
      <c r="T1980" s="2" t="s">
        <v>33</v>
      </c>
      <c r="U1980" s="2" t="s">
        <v>297</v>
      </c>
    </row>
    <row r="1981" spans="1:21" ht="14.25" customHeight="1" x14ac:dyDescent="0.3">
      <c r="A1981" s="2" t="s">
        <v>4250</v>
      </c>
      <c r="B1981" s="5">
        <v>42783</v>
      </c>
      <c r="C1981" s="2" t="str">
        <f>TEXT(data[[#This Row],[Order Date]],"YYYY")</f>
        <v>2017</v>
      </c>
      <c r="D1981" s="2">
        <v>42786</v>
      </c>
      <c r="E1981" s="2" t="s">
        <v>87</v>
      </c>
      <c r="F1981" s="2" t="s">
        <v>748</v>
      </c>
      <c r="G1981" s="2" t="s">
        <v>749</v>
      </c>
      <c r="H1981" s="2" t="s">
        <v>100</v>
      </c>
      <c r="I1981" s="2" t="s">
        <v>25</v>
      </c>
      <c r="J1981" s="2" t="s">
        <v>119</v>
      </c>
      <c r="K1981" s="2" t="s">
        <v>231</v>
      </c>
      <c r="L1981" s="2" t="s">
        <v>67</v>
      </c>
      <c r="M1981" s="2" t="s">
        <v>1600</v>
      </c>
      <c r="N1981" s="2" t="s">
        <v>30</v>
      </c>
      <c r="O1981" s="2" t="s">
        <v>36</v>
      </c>
      <c r="P1981" s="2" t="s">
        <v>1601</v>
      </c>
      <c r="Q1981" s="2">
        <v>899.43</v>
      </c>
      <c r="R1981" s="2">
        <v>5</v>
      </c>
      <c r="S1981" s="2">
        <v>-12.849</v>
      </c>
      <c r="T1981" s="2" t="s">
        <v>33</v>
      </c>
      <c r="U1981" s="2" t="s">
        <v>297</v>
      </c>
    </row>
    <row r="1982" spans="1:21" ht="14.25" customHeight="1" x14ac:dyDescent="0.3">
      <c r="A1982" s="2" t="s">
        <v>4251</v>
      </c>
      <c r="B1982" s="5">
        <v>42726</v>
      </c>
      <c r="C1982" s="2" t="str">
        <f>TEXT(data[[#This Row],[Order Date]],"YYYY")</f>
        <v>2016</v>
      </c>
      <c r="D1982" s="2">
        <v>42732</v>
      </c>
      <c r="E1982" s="2" t="s">
        <v>39</v>
      </c>
      <c r="F1982" s="2" t="s">
        <v>2642</v>
      </c>
      <c r="G1982" s="2" t="s">
        <v>2643</v>
      </c>
      <c r="H1982" s="2" t="s">
        <v>24</v>
      </c>
      <c r="I1982" s="2" t="s">
        <v>25</v>
      </c>
      <c r="J1982" s="2" t="s">
        <v>4252</v>
      </c>
      <c r="K1982" s="2" t="s">
        <v>53</v>
      </c>
      <c r="L1982" s="2" t="s">
        <v>54</v>
      </c>
      <c r="M1982" s="2" t="s">
        <v>3617</v>
      </c>
      <c r="N1982" s="2" t="s">
        <v>30</v>
      </c>
      <c r="O1982" s="2" t="s">
        <v>56</v>
      </c>
      <c r="P1982" s="2" t="s">
        <v>3618</v>
      </c>
      <c r="Q1982" s="2">
        <v>842.72</v>
      </c>
      <c r="R1982" s="2">
        <v>8</v>
      </c>
      <c r="S1982" s="2">
        <v>202.25280000000001</v>
      </c>
      <c r="T1982" s="2" t="s">
        <v>129</v>
      </c>
      <c r="U1982" s="2" t="s">
        <v>96</v>
      </c>
    </row>
    <row r="1983" spans="1:21" ht="14.25" customHeight="1" x14ac:dyDescent="0.3">
      <c r="A1983" s="2" t="s">
        <v>4251</v>
      </c>
      <c r="B1983" s="5">
        <v>42726</v>
      </c>
      <c r="C1983" s="2" t="str">
        <f>TEXT(data[[#This Row],[Order Date]],"YYYY")</f>
        <v>2016</v>
      </c>
      <c r="D1983" s="2">
        <v>42732</v>
      </c>
      <c r="E1983" s="2" t="s">
        <v>39</v>
      </c>
      <c r="F1983" s="2" t="s">
        <v>2642</v>
      </c>
      <c r="G1983" s="2" t="s">
        <v>2643</v>
      </c>
      <c r="H1983" s="2" t="s">
        <v>24</v>
      </c>
      <c r="I1983" s="2" t="s">
        <v>25</v>
      </c>
      <c r="J1983" s="2" t="s">
        <v>4252</v>
      </c>
      <c r="K1983" s="2" t="s">
        <v>53</v>
      </c>
      <c r="L1983" s="2" t="s">
        <v>54</v>
      </c>
      <c r="M1983" s="2" t="s">
        <v>186</v>
      </c>
      <c r="N1983" s="2" t="s">
        <v>30</v>
      </c>
      <c r="O1983" s="2" t="s">
        <v>56</v>
      </c>
      <c r="P1983" s="2" t="s">
        <v>187</v>
      </c>
      <c r="Q1983" s="2">
        <v>41.96</v>
      </c>
      <c r="R1983" s="2">
        <v>2</v>
      </c>
      <c r="S1983" s="2">
        <v>10.909599999999999</v>
      </c>
      <c r="T1983" s="2" t="s">
        <v>129</v>
      </c>
      <c r="U1983" s="2" t="s">
        <v>96</v>
      </c>
    </row>
    <row r="1984" spans="1:21" ht="14.25" customHeight="1" x14ac:dyDescent="0.3">
      <c r="A1984" s="2" t="s">
        <v>4253</v>
      </c>
      <c r="B1984" s="5">
        <v>42636</v>
      </c>
      <c r="C1984" s="2" t="str">
        <f>TEXT(data[[#This Row],[Order Date]],"YYYY")</f>
        <v>2016</v>
      </c>
      <c r="D1984" s="2">
        <v>42640</v>
      </c>
      <c r="E1984" s="2" t="s">
        <v>39</v>
      </c>
      <c r="F1984" s="2" t="s">
        <v>4254</v>
      </c>
      <c r="G1984" s="2" t="s">
        <v>4255</v>
      </c>
      <c r="H1984" s="2" t="s">
        <v>90</v>
      </c>
      <c r="I1984" s="2" t="s">
        <v>25</v>
      </c>
      <c r="J1984" s="2" t="s">
        <v>191</v>
      </c>
      <c r="K1984" s="2" t="s">
        <v>192</v>
      </c>
      <c r="L1984" s="2" t="s">
        <v>54</v>
      </c>
      <c r="M1984" s="2" t="s">
        <v>488</v>
      </c>
      <c r="N1984" s="2" t="s">
        <v>30</v>
      </c>
      <c r="O1984" s="2" t="s">
        <v>36</v>
      </c>
      <c r="P1984" s="2" t="s">
        <v>489</v>
      </c>
      <c r="Q1984" s="2">
        <v>184.75200000000001</v>
      </c>
      <c r="R1984" s="2">
        <v>3</v>
      </c>
      <c r="S1984" s="2">
        <v>-20.784600000000001</v>
      </c>
      <c r="T1984" s="2" t="s">
        <v>83</v>
      </c>
      <c r="U1984" s="2" t="s">
        <v>77</v>
      </c>
    </row>
    <row r="1985" spans="1:21" ht="14.25" customHeight="1" x14ac:dyDescent="0.3">
      <c r="A1985" s="2" t="s">
        <v>4256</v>
      </c>
      <c r="B1985" s="5">
        <v>43002</v>
      </c>
      <c r="C1985" s="2" t="str">
        <f>TEXT(data[[#This Row],[Order Date]],"YYYY")</f>
        <v>2017</v>
      </c>
      <c r="D1985" s="2">
        <v>43004</v>
      </c>
      <c r="E1985" s="2" t="s">
        <v>87</v>
      </c>
      <c r="F1985" s="2" t="s">
        <v>545</v>
      </c>
      <c r="G1985" s="2" t="s">
        <v>546</v>
      </c>
      <c r="H1985" s="2" t="s">
        <v>24</v>
      </c>
      <c r="I1985" s="2" t="s">
        <v>25</v>
      </c>
      <c r="J1985" s="2" t="s">
        <v>133</v>
      </c>
      <c r="K1985" s="2" t="s">
        <v>134</v>
      </c>
      <c r="L1985" s="2" t="s">
        <v>93</v>
      </c>
      <c r="M1985" s="2" t="s">
        <v>1095</v>
      </c>
      <c r="N1985" s="2" t="s">
        <v>30</v>
      </c>
      <c r="O1985" s="2" t="s">
        <v>36</v>
      </c>
      <c r="P1985" s="2" t="s">
        <v>1096</v>
      </c>
      <c r="Q1985" s="2">
        <v>520.46400000000006</v>
      </c>
      <c r="R1985" s="2">
        <v>2</v>
      </c>
      <c r="S1985" s="2">
        <v>-14.8704</v>
      </c>
      <c r="T1985" s="2" t="s">
        <v>70</v>
      </c>
      <c r="U1985" s="2" t="s">
        <v>77</v>
      </c>
    </row>
    <row r="1986" spans="1:21" ht="14.25" customHeight="1" x14ac:dyDescent="0.3">
      <c r="A1986" s="2" t="s">
        <v>4257</v>
      </c>
      <c r="B1986" s="5">
        <v>42394</v>
      </c>
      <c r="C1986" s="2" t="str">
        <f>TEXT(data[[#This Row],[Order Date]],"YYYY")</f>
        <v>2016</v>
      </c>
      <c r="D1986" s="2">
        <v>42397</v>
      </c>
      <c r="E1986" s="2" t="s">
        <v>21</v>
      </c>
      <c r="F1986" s="2" t="s">
        <v>225</v>
      </c>
      <c r="G1986" s="2" t="s">
        <v>226</v>
      </c>
      <c r="H1986" s="2" t="s">
        <v>90</v>
      </c>
      <c r="I1986" s="2" t="s">
        <v>25</v>
      </c>
      <c r="J1986" s="2" t="s">
        <v>173</v>
      </c>
      <c r="K1986" s="2" t="s">
        <v>120</v>
      </c>
      <c r="L1986" s="2" t="s">
        <v>67</v>
      </c>
      <c r="M1986" s="2" t="s">
        <v>784</v>
      </c>
      <c r="N1986" s="2" t="s">
        <v>30</v>
      </c>
      <c r="O1986" s="2" t="s">
        <v>45</v>
      </c>
      <c r="P1986" s="2" t="s">
        <v>785</v>
      </c>
      <c r="Q1986" s="2">
        <v>313.72199999999998</v>
      </c>
      <c r="R1986" s="2">
        <v>3</v>
      </c>
      <c r="S1986" s="2">
        <v>-99.345299999999995</v>
      </c>
      <c r="T1986" s="2" t="s">
        <v>33</v>
      </c>
      <c r="U1986" s="2" t="s">
        <v>169</v>
      </c>
    </row>
    <row r="1987" spans="1:21" ht="14.25" customHeight="1" x14ac:dyDescent="0.3">
      <c r="A1987" s="2" t="s">
        <v>4257</v>
      </c>
      <c r="B1987" s="5">
        <v>42394</v>
      </c>
      <c r="C1987" s="2" t="str">
        <f>TEXT(data[[#This Row],[Order Date]],"YYYY")</f>
        <v>2016</v>
      </c>
      <c r="D1987" s="2">
        <v>42397</v>
      </c>
      <c r="E1987" s="2" t="s">
        <v>21</v>
      </c>
      <c r="F1987" s="2" t="s">
        <v>225</v>
      </c>
      <c r="G1987" s="2" t="s">
        <v>226</v>
      </c>
      <c r="H1987" s="2" t="s">
        <v>90</v>
      </c>
      <c r="I1987" s="2" t="s">
        <v>25</v>
      </c>
      <c r="J1987" s="2" t="s">
        <v>173</v>
      </c>
      <c r="K1987" s="2" t="s">
        <v>120</v>
      </c>
      <c r="L1987" s="2" t="s">
        <v>67</v>
      </c>
      <c r="M1987" s="2" t="s">
        <v>3288</v>
      </c>
      <c r="N1987" s="2" t="s">
        <v>30</v>
      </c>
      <c r="O1987" s="2" t="s">
        <v>56</v>
      </c>
      <c r="P1987" s="2" t="s">
        <v>3289</v>
      </c>
      <c r="Q1987" s="2">
        <v>45.98</v>
      </c>
      <c r="R1987" s="2">
        <v>1</v>
      </c>
      <c r="S1987" s="2">
        <v>7.8166000000000002</v>
      </c>
      <c r="T1987" s="2" t="s">
        <v>33</v>
      </c>
      <c r="U1987" s="2" t="s">
        <v>169</v>
      </c>
    </row>
    <row r="1988" spans="1:21" ht="14.25" customHeight="1" x14ac:dyDescent="0.3">
      <c r="A1988" s="2" t="s">
        <v>4258</v>
      </c>
      <c r="B1988" s="5">
        <v>42815</v>
      </c>
      <c r="C1988" s="2" t="str">
        <f>TEXT(data[[#This Row],[Order Date]],"YYYY")</f>
        <v>2017</v>
      </c>
      <c r="D1988" s="2">
        <v>42819</v>
      </c>
      <c r="E1988" s="2" t="s">
        <v>39</v>
      </c>
      <c r="F1988" s="2" t="s">
        <v>131</v>
      </c>
      <c r="G1988" s="2" t="s">
        <v>132</v>
      </c>
      <c r="H1988" s="2" t="s">
        <v>100</v>
      </c>
      <c r="I1988" s="2" t="s">
        <v>25</v>
      </c>
      <c r="J1988" s="2" t="s">
        <v>191</v>
      </c>
      <c r="K1988" s="2" t="s">
        <v>192</v>
      </c>
      <c r="L1988" s="2" t="s">
        <v>54</v>
      </c>
      <c r="M1988" s="2" t="s">
        <v>1718</v>
      </c>
      <c r="N1988" s="2" t="s">
        <v>30</v>
      </c>
      <c r="O1988" s="2" t="s">
        <v>56</v>
      </c>
      <c r="P1988" s="2" t="s">
        <v>1719</v>
      </c>
      <c r="Q1988" s="2">
        <v>22.14</v>
      </c>
      <c r="R1988" s="2">
        <v>3</v>
      </c>
      <c r="S1988" s="2">
        <v>6.4206000000000003</v>
      </c>
      <c r="T1988" s="2" t="s">
        <v>83</v>
      </c>
      <c r="U1988" s="2" t="s">
        <v>195</v>
      </c>
    </row>
    <row r="1989" spans="1:21" ht="14.25" customHeight="1" x14ac:dyDescent="0.3">
      <c r="A1989" s="2" t="s">
        <v>4259</v>
      </c>
      <c r="B1989" s="5">
        <v>43046</v>
      </c>
      <c r="C1989" s="2" t="str">
        <f>TEXT(data[[#This Row],[Order Date]],"YYYY")</f>
        <v>2017</v>
      </c>
      <c r="D1989" s="2">
        <v>43048</v>
      </c>
      <c r="E1989" s="2" t="s">
        <v>21</v>
      </c>
      <c r="F1989" s="2" t="s">
        <v>3488</v>
      </c>
      <c r="G1989" s="2" t="s">
        <v>3489</v>
      </c>
      <c r="H1989" s="2" t="s">
        <v>90</v>
      </c>
      <c r="I1989" s="2" t="s">
        <v>25</v>
      </c>
      <c r="J1989" s="2" t="s">
        <v>2522</v>
      </c>
      <c r="K1989" s="2" t="s">
        <v>1089</v>
      </c>
      <c r="L1989" s="2" t="s">
        <v>67</v>
      </c>
      <c r="M1989" s="2" t="s">
        <v>2180</v>
      </c>
      <c r="N1989" s="2" t="s">
        <v>30</v>
      </c>
      <c r="O1989" s="2" t="s">
        <v>36</v>
      </c>
      <c r="P1989" s="2" t="s">
        <v>2181</v>
      </c>
      <c r="Q1989" s="2">
        <v>272.97000000000003</v>
      </c>
      <c r="R1989" s="2">
        <v>3</v>
      </c>
      <c r="S1989" s="2">
        <v>43.675199999999997</v>
      </c>
      <c r="T1989" s="2" t="s">
        <v>70</v>
      </c>
      <c r="U1989" s="2" t="s">
        <v>34</v>
      </c>
    </row>
    <row r="1990" spans="1:21" ht="14.25" customHeight="1" x14ac:dyDescent="0.3">
      <c r="A1990" s="2" t="s">
        <v>4260</v>
      </c>
      <c r="B1990" s="5">
        <v>42153</v>
      </c>
      <c r="C1990" s="2" t="str">
        <f>TEXT(data[[#This Row],[Order Date]],"YYYY")</f>
        <v>2015</v>
      </c>
      <c r="D1990" s="2">
        <v>42155</v>
      </c>
      <c r="E1990" s="2" t="s">
        <v>87</v>
      </c>
      <c r="F1990" s="2" t="s">
        <v>3527</v>
      </c>
      <c r="G1990" s="2" t="s">
        <v>3528</v>
      </c>
      <c r="H1990" s="2" t="s">
        <v>90</v>
      </c>
      <c r="I1990" s="2" t="s">
        <v>25</v>
      </c>
      <c r="J1990" s="2" t="s">
        <v>347</v>
      </c>
      <c r="K1990" s="2" t="s">
        <v>231</v>
      </c>
      <c r="L1990" s="2" t="s">
        <v>67</v>
      </c>
      <c r="M1990" s="2" t="s">
        <v>3825</v>
      </c>
      <c r="N1990" s="2" t="s">
        <v>30</v>
      </c>
      <c r="O1990" s="2" t="s">
        <v>56</v>
      </c>
      <c r="P1990" s="2" t="s">
        <v>3826</v>
      </c>
      <c r="Q1990" s="2">
        <v>41.567999999999998</v>
      </c>
      <c r="R1990" s="2">
        <v>4</v>
      </c>
      <c r="S1990" s="2">
        <v>-4.1567999999999996</v>
      </c>
      <c r="T1990" s="2" t="s">
        <v>70</v>
      </c>
      <c r="U1990" s="2" t="s">
        <v>161</v>
      </c>
    </row>
    <row r="1991" spans="1:21" ht="14.25" customHeight="1" x14ac:dyDescent="0.3">
      <c r="A1991" s="2" t="s">
        <v>4260</v>
      </c>
      <c r="B1991" s="5">
        <v>42153</v>
      </c>
      <c r="C1991" s="2" t="str">
        <f>TEXT(data[[#This Row],[Order Date]],"YYYY")</f>
        <v>2015</v>
      </c>
      <c r="D1991" s="2">
        <v>42155</v>
      </c>
      <c r="E1991" s="2" t="s">
        <v>87</v>
      </c>
      <c r="F1991" s="2" t="s">
        <v>3527</v>
      </c>
      <c r="G1991" s="2" t="s">
        <v>3528</v>
      </c>
      <c r="H1991" s="2" t="s">
        <v>90</v>
      </c>
      <c r="I1991" s="2" t="s">
        <v>25</v>
      </c>
      <c r="J1991" s="2" t="s">
        <v>347</v>
      </c>
      <c r="K1991" s="2" t="s">
        <v>231</v>
      </c>
      <c r="L1991" s="2" t="s">
        <v>67</v>
      </c>
      <c r="M1991" s="2" t="s">
        <v>159</v>
      </c>
      <c r="N1991" s="2" t="s">
        <v>30</v>
      </c>
      <c r="O1991" s="2" t="s">
        <v>36</v>
      </c>
      <c r="P1991" s="2" t="s">
        <v>160</v>
      </c>
      <c r="Q1991" s="2">
        <v>317.05799999999999</v>
      </c>
      <c r="R1991" s="2">
        <v>3</v>
      </c>
      <c r="S1991" s="2">
        <v>-86.058599999999998</v>
      </c>
      <c r="T1991" s="2" t="s">
        <v>70</v>
      </c>
      <c r="U1991" s="2" t="s">
        <v>161</v>
      </c>
    </row>
    <row r="1992" spans="1:21" ht="14.25" customHeight="1" x14ac:dyDescent="0.3">
      <c r="A1992" s="2" t="s">
        <v>4261</v>
      </c>
      <c r="B1992" s="5">
        <v>41996</v>
      </c>
      <c r="C1992" s="2" t="str">
        <f>TEXT(data[[#This Row],[Order Date]],"YYYY")</f>
        <v>2014</v>
      </c>
      <c r="D1992" s="2">
        <v>42000</v>
      </c>
      <c r="E1992" s="2" t="s">
        <v>21</v>
      </c>
      <c r="F1992" s="2" t="s">
        <v>2840</v>
      </c>
      <c r="G1992" s="2" t="s">
        <v>2841</v>
      </c>
      <c r="H1992" s="2" t="s">
        <v>24</v>
      </c>
      <c r="I1992" s="2" t="s">
        <v>25</v>
      </c>
      <c r="J1992" s="2" t="s">
        <v>303</v>
      </c>
      <c r="K1992" s="2" t="s">
        <v>43</v>
      </c>
      <c r="L1992" s="2" t="s">
        <v>28</v>
      </c>
      <c r="M1992" s="2" t="s">
        <v>255</v>
      </c>
      <c r="N1992" s="2" t="s">
        <v>30</v>
      </c>
      <c r="O1992" s="2" t="s">
        <v>36</v>
      </c>
      <c r="P1992" s="2" t="s">
        <v>256</v>
      </c>
      <c r="Q1992" s="2">
        <v>64.784000000000006</v>
      </c>
      <c r="R1992" s="2">
        <v>1</v>
      </c>
      <c r="S1992" s="2">
        <v>6.4783999999999997</v>
      </c>
      <c r="T1992" s="2" t="s">
        <v>83</v>
      </c>
      <c r="U1992" s="2" t="s">
        <v>96</v>
      </c>
    </row>
    <row r="1993" spans="1:21" ht="14.25" customHeight="1" x14ac:dyDescent="0.3">
      <c r="A1993" s="2" t="s">
        <v>4262</v>
      </c>
      <c r="B1993" s="5">
        <v>42974</v>
      </c>
      <c r="C1993" s="2" t="str">
        <f>TEXT(data[[#This Row],[Order Date]],"YYYY")</f>
        <v>2017</v>
      </c>
      <c r="D1993" s="2">
        <v>42978</v>
      </c>
      <c r="E1993" s="2" t="s">
        <v>39</v>
      </c>
      <c r="F1993" s="2" t="s">
        <v>1970</v>
      </c>
      <c r="G1993" s="2" t="s">
        <v>1971</v>
      </c>
      <c r="H1993" s="2" t="s">
        <v>24</v>
      </c>
      <c r="I1993" s="2" t="s">
        <v>25</v>
      </c>
      <c r="J1993" s="2" t="s">
        <v>914</v>
      </c>
      <c r="K1993" s="2" t="s">
        <v>520</v>
      </c>
      <c r="L1993" s="2" t="s">
        <v>54</v>
      </c>
      <c r="M1993" s="2" t="s">
        <v>1542</v>
      </c>
      <c r="N1993" s="2" t="s">
        <v>30</v>
      </c>
      <c r="O1993" s="2" t="s">
        <v>56</v>
      </c>
      <c r="P1993" s="2" t="s">
        <v>1543</v>
      </c>
      <c r="Q1993" s="2">
        <v>120.57599999999999</v>
      </c>
      <c r="R1993" s="2">
        <v>8</v>
      </c>
      <c r="S1993" s="2">
        <v>33.1584</v>
      </c>
      <c r="T1993" s="2" t="s">
        <v>83</v>
      </c>
      <c r="U1993" s="2" t="s">
        <v>253</v>
      </c>
    </row>
    <row r="1994" spans="1:21" ht="14.25" customHeight="1" x14ac:dyDescent="0.3">
      <c r="A1994" s="2" t="s">
        <v>4263</v>
      </c>
      <c r="B1994" s="5">
        <v>42302</v>
      </c>
      <c r="C1994" s="2" t="str">
        <f>TEXT(data[[#This Row],[Order Date]],"YYYY")</f>
        <v>2015</v>
      </c>
      <c r="D1994" s="2">
        <v>42302</v>
      </c>
      <c r="E1994" s="2" t="s">
        <v>425</v>
      </c>
      <c r="F1994" s="2" t="s">
        <v>1008</v>
      </c>
      <c r="G1994" s="2" t="s">
        <v>1009</v>
      </c>
      <c r="H1994" s="2" t="s">
        <v>90</v>
      </c>
      <c r="I1994" s="2" t="s">
        <v>25</v>
      </c>
      <c r="J1994" s="2" t="s">
        <v>265</v>
      </c>
      <c r="K1994" s="2" t="s">
        <v>180</v>
      </c>
      <c r="L1994" s="2" t="s">
        <v>54</v>
      </c>
      <c r="M1994" s="2" t="s">
        <v>2180</v>
      </c>
      <c r="N1994" s="2" t="s">
        <v>30</v>
      </c>
      <c r="O1994" s="2" t="s">
        <v>36</v>
      </c>
      <c r="P1994" s="2" t="s">
        <v>2181</v>
      </c>
      <c r="Q1994" s="2">
        <v>582.33600000000001</v>
      </c>
      <c r="R1994" s="2">
        <v>8</v>
      </c>
      <c r="S1994" s="2">
        <v>-29.116800000000001</v>
      </c>
      <c r="T1994" s="2" t="s">
        <v>430</v>
      </c>
      <c r="U1994" s="2" t="s">
        <v>48</v>
      </c>
    </row>
    <row r="1995" spans="1:21" ht="14.25" customHeight="1" x14ac:dyDescent="0.3">
      <c r="A1995" s="2" t="s">
        <v>4264</v>
      </c>
      <c r="B1995" s="5">
        <v>41902</v>
      </c>
      <c r="C1995" s="2" t="str">
        <f>TEXT(data[[#This Row],[Order Date]],"YYYY")</f>
        <v>2014</v>
      </c>
      <c r="D1995" s="2">
        <v>41905</v>
      </c>
      <c r="E1995" s="2" t="s">
        <v>87</v>
      </c>
      <c r="F1995" s="2" t="s">
        <v>4265</v>
      </c>
      <c r="G1995" s="2" t="s">
        <v>4266</v>
      </c>
      <c r="H1995" s="2" t="s">
        <v>24</v>
      </c>
      <c r="I1995" s="2" t="s">
        <v>25</v>
      </c>
      <c r="J1995" s="2" t="s">
        <v>173</v>
      </c>
      <c r="K1995" s="2" t="s">
        <v>120</v>
      </c>
      <c r="L1995" s="2" t="s">
        <v>67</v>
      </c>
      <c r="M1995" s="2" t="s">
        <v>851</v>
      </c>
      <c r="N1995" s="2" t="s">
        <v>30</v>
      </c>
      <c r="O1995" s="2" t="s">
        <v>36</v>
      </c>
      <c r="P1995" s="2" t="s">
        <v>852</v>
      </c>
      <c r="Q1995" s="2">
        <v>631.78200000000004</v>
      </c>
      <c r="R1995" s="2">
        <v>2</v>
      </c>
      <c r="S1995" s="2">
        <v>140.39599999999999</v>
      </c>
      <c r="T1995" s="2" t="s">
        <v>33</v>
      </c>
      <c r="U1995" s="2" t="s">
        <v>77</v>
      </c>
    </row>
    <row r="1996" spans="1:21" ht="14.25" customHeight="1" x14ac:dyDescent="0.3">
      <c r="A1996" s="2" t="s">
        <v>4264</v>
      </c>
      <c r="B1996" s="5">
        <v>41902</v>
      </c>
      <c r="C1996" s="2" t="str">
        <f>TEXT(data[[#This Row],[Order Date]],"YYYY")</f>
        <v>2014</v>
      </c>
      <c r="D1996" s="2">
        <v>41905</v>
      </c>
      <c r="E1996" s="2" t="s">
        <v>87</v>
      </c>
      <c r="F1996" s="2" t="s">
        <v>4265</v>
      </c>
      <c r="G1996" s="2" t="s">
        <v>4266</v>
      </c>
      <c r="H1996" s="2" t="s">
        <v>24</v>
      </c>
      <c r="I1996" s="2" t="s">
        <v>25</v>
      </c>
      <c r="J1996" s="2" t="s">
        <v>173</v>
      </c>
      <c r="K1996" s="2" t="s">
        <v>120</v>
      </c>
      <c r="L1996" s="2" t="s">
        <v>67</v>
      </c>
      <c r="M1996" s="2" t="s">
        <v>1695</v>
      </c>
      <c r="N1996" s="2" t="s">
        <v>30</v>
      </c>
      <c r="O1996" s="2" t="s">
        <v>31</v>
      </c>
      <c r="P1996" s="2" t="s">
        <v>1696</v>
      </c>
      <c r="Q1996" s="2">
        <v>801.56799999999998</v>
      </c>
      <c r="R1996" s="2">
        <v>2</v>
      </c>
      <c r="S1996" s="2">
        <v>-10.019600000000001</v>
      </c>
      <c r="T1996" s="2" t="s">
        <v>33</v>
      </c>
      <c r="U1996" s="2" t="s">
        <v>77</v>
      </c>
    </row>
    <row r="1997" spans="1:21" ht="14.25" customHeight="1" x14ac:dyDescent="0.3">
      <c r="A1997" s="2" t="s">
        <v>4267</v>
      </c>
      <c r="B1997" s="5">
        <v>41814</v>
      </c>
      <c r="C1997" s="2" t="str">
        <f>TEXT(data[[#This Row],[Order Date]],"YYYY")</f>
        <v>2014</v>
      </c>
      <c r="D1997" s="2">
        <v>41818</v>
      </c>
      <c r="E1997" s="2" t="s">
        <v>39</v>
      </c>
      <c r="F1997" s="2" t="s">
        <v>615</v>
      </c>
      <c r="G1997" s="2" t="s">
        <v>616</v>
      </c>
      <c r="H1997" s="2" t="s">
        <v>24</v>
      </c>
      <c r="I1997" s="2" t="s">
        <v>25</v>
      </c>
      <c r="J1997" s="2" t="s">
        <v>1222</v>
      </c>
      <c r="K1997" s="2" t="s">
        <v>520</v>
      </c>
      <c r="L1997" s="2" t="s">
        <v>54</v>
      </c>
      <c r="M1997" s="2" t="s">
        <v>2513</v>
      </c>
      <c r="N1997" s="2" t="s">
        <v>30</v>
      </c>
      <c r="O1997" s="2" t="s">
        <v>56</v>
      </c>
      <c r="P1997" s="2" t="s">
        <v>2514</v>
      </c>
      <c r="Q1997" s="2">
        <v>4.2720000000000002</v>
      </c>
      <c r="R1997" s="2">
        <v>2</v>
      </c>
      <c r="S1997" s="2">
        <v>0.96120000000000005</v>
      </c>
      <c r="T1997" s="2" t="s">
        <v>83</v>
      </c>
      <c r="U1997" s="2" t="s">
        <v>59</v>
      </c>
    </row>
    <row r="1998" spans="1:21" ht="14.25" customHeight="1" x14ac:dyDescent="0.3">
      <c r="A1998" s="2" t="s">
        <v>4268</v>
      </c>
      <c r="B1998" s="5">
        <v>42594</v>
      </c>
      <c r="C1998" s="2" t="str">
        <f>TEXT(data[[#This Row],[Order Date]],"YYYY")</f>
        <v>2016</v>
      </c>
      <c r="D1998" s="2">
        <v>42599</v>
      </c>
      <c r="E1998" s="2" t="s">
        <v>21</v>
      </c>
      <c r="F1998" s="2" t="s">
        <v>1131</v>
      </c>
      <c r="G1998" s="2" t="s">
        <v>1132</v>
      </c>
      <c r="H1998" s="2" t="s">
        <v>24</v>
      </c>
      <c r="I1998" s="2" t="s">
        <v>25</v>
      </c>
      <c r="J1998" s="2" t="s">
        <v>173</v>
      </c>
      <c r="K1998" s="2" t="s">
        <v>120</v>
      </c>
      <c r="L1998" s="2" t="s">
        <v>67</v>
      </c>
      <c r="M1998" s="2" t="s">
        <v>784</v>
      </c>
      <c r="N1998" s="2" t="s">
        <v>30</v>
      </c>
      <c r="O1998" s="2" t="s">
        <v>45</v>
      </c>
      <c r="P1998" s="2" t="s">
        <v>785</v>
      </c>
      <c r="Q1998" s="2">
        <v>209.148</v>
      </c>
      <c r="R1998" s="2">
        <v>2</v>
      </c>
      <c r="S1998" s="2">
        <v>-66.230199999999996</v>
      </c>
      <c r="T1998" s="2" t="s">
        <v>58</v>
      </c>
      <c r="U1998" s="2" t="s">
        <v>253</v>
      </c>
    </row>
    <row r="1999" spans="1:21" ht="14.25" customHeight="1" x14ac:dyDescent="0.3">
      <c r="A1999" s="2" t="s">
        <v>4269</v>
      </c>
      <c r="B1999" s="5">
        <v>43000</v>
      </c>
      <c r="C1999" s="2" t="str">
        <f>TEXT(data[[#This Row],[Order Date]],"YYYY")</f>
        <v>2017</v>
      </c>
      <c r="D1999" s="2">
        <v>43002</v>
      </c>
      <c r="E1999" s="2" t="s">
        <v>21</v>
      </c>
      <c r="F1999" s="2" t="s">
        <v>1170</v>
      </c>
      <c r="G1999" s="2" t="s">
        <v>1171</v>
      </c>
      <c r="H1999" s="2" t="s">
        <v>24</v>
      </c>
      <c r="I1999" s="2" t="s">
        <v>25</v>
      </c>
      <c r="J1999" s="2" t="s">
        <v>173</v>
      </c>
      <c r="K1999" s="2" t="s">
        <v>120</v>
      </c>
      <c r="L1999" s="2" t="s">
        <v>67</v>
      </c>
      <c r="M1999" s="2" t="s">
        <v>551</v>
      </c>
      <c r="N1999" s="2" t="s">
        <v>30</v>
      </c>
      <c r="O1999" s="2" t="s">
        <v>56</v>
      </c>
      <c r="P1999" s="2" t="s">
        <v>3125</v>
      </c>
      <c r="Q1999" s="2">
        <v>12.07</v>
      </c>
      <c r="R1999" s="2">
        <v>1</v>
      </c>
      <c r="S1999" s="2">
        <v>3.9830999999999999</v>
      </c>
      <c r="T1999" s="2" t="s">
        <v>70</v>
      </c>
      <c r="U1999" s="2" t="s">
        <v>77</v>
      </c>
    </row>
    <row r="2000" spans="1:21" ht="14.25" customHeight="1" x14ac:dyDescent="0.3">
      <c r="A2000" s="2" t="s">
        <v>4270</v>
      </c>
      <c r="B2000" s="5">
        <v>43079</v>
      </c>
      <c r="C2000" s="2" t="str">
        <f>TEXT(data[[#This Row],[Order Date]],"YYYY")</f>
        <v>2017</v>
      </c>
      <c r="D2000" s="2">
        <v>43082</v>
      </c>
      <c r="E2000" s="2" t="s">
        <v>87</v>
      </c>
      <c r="F2000" s="2" t="s">
        <v>1730</v>
      </c>
      <c r="G2000" s="2" t="s">
        <v>1731</v>
      </c>
      <c r="H2000" s="2" t="s">
        <v>24</v>
      </c>
      <c r="I2000" s="2" t="s">
        <v>25</v>
      </c>
      <c r="J2000" s="2" t="s">
        <v>65</v>
      </c>
      <c r="K2000" s="2" t="s">
        <v>66</v>
      </c>
      <c r="L2000" s="2" t="s">
        <v>67</v>
      </c>
      <c r="M2000" s="2" t="s">
        <v>630</v>
      </c>
      <c r="N2000" s="2" t="s">
        <v>30</v>
      </c>
      <c r="O2000" s="2" t="s">
        <v>56</v>
      </c>
      <c r="P2000" s="2" t="s">
        <v>631</v>
      </c>
      <c r="Q2000" s="2">
        <v>87.92</v>
      </c>
      <c r="R2000" s="2">
        <v>5</v>
      </c>
      <c r="S2000" s="2">
        <v>15.385999999999999</v>
      </c>
      <c r="T2000" s="2" t="s">
        <v>33</v>
      </c>
      <c r="U2000" s="2" t="s">
        <v>96</v>
      </c>
    </row>
    <row r="2001" spans="1:21" ht="14.25" customHeight="1" x14ac:dyDescent="0.3">
      <c r="A2001" s="2" t="s">
        <v>4271</v>
      </c>
      <c r="B2001" s="5">
        <v>42031</v>
      </c>
      <c r="C2001" s="2" t="str">
        <f>TEXT(data[[#This Row],[Order Date]],"YYYY")</f>
        <v>2015</v>
      </c>
      <c r="D2001" s="2">
        <v>42033</v>
      </c>
      <c r="E2001" s="2" t="s">
        <v>87</v>
      </c>
      <c r="F2001" s="2" t="s">
        <v>3683</v>
      </c>
      <c r="G2001" s="2" t="s">
        <v>3684</v>
      </c>
      <c r="H2001" s="2" t="s">
        <v>24</v>
      </c>
      <c r="I2001" s="2" t="s">
        <v>25</v>
      </c>
      <c r="J2001" s="2" t="s">
        <v>52</v>
      </c>
      <c r="K2001" s="2" t="s">
        <v>53</v>
      </c>
      <c r="L2001" s="2" t="s">
        <v>54</v>
      </c>
      <c r="M2001" s="2" t="s">
        <v>601</v>
      </c>
      <c r="N2001" s="2" t="s">
        <v>30</v>
      </c>
      <c r="O2001" s="2" t="s">
        <v>36</v>
      </c>
      <c r="P2001" s="2" t="s">
        <v>602</v>
      </c>
      <c r="Q2001" s="2">
        <v>2803.92</v>
      </c>
      <c r="R2001" s="2">
        <v>5</v>
      </c>
      <c r="S2001" s="2">
        <v>0</v>
      </c>
      <c r="T2001" s="2" t="s">
        <v>70</v>
      </c>
      <c r="U2001" s="2" t="s">
        <v>169</v>
      </c>
    </row>
    <row r="2002" spans="1:21" ht="14.25" customHeight="1" x14ac:dyDescent="0.3">
      <c r="A2002" s="2" t="s">
        <v>4272</v>
      </c>
      <c r="B2002" s="5">
        <v>42295</v>
      </c>
      <c r="C2002" s="2" t="str">
        <f>TEXT(data[[#This Row],[Order Date]],"YYYY")</f>
        <v>2015</v>
      </c>
      <c r="D2002" s="2">
        <v>42299</v>
      </c>
      <c r="E2002" s="2" t="s">
        <v>39</v>
      </c>
      <c r="F2002" s="2" t="s">
        <v>2506</v>
      </c>
      <c r="G2002" s="2" t="s">
        <v>2507</v>
      </c>
      <c r="H2002" s="2" t="s">
        <v>24</v>
      </c>
      <c r="I2002" s="2" t="s">
        <v>25</v>
      </c>
      <c r="J2002" s="2" t="s">
        <v>191</v>
      </c>
      <c r="K2002" s="2" t="s">
        <v>192</v>
      </c>
      <c r="L2002" s="2" t="s">
        <v>54</v>
      </c>
      <c r="M2002" s="2" t="s">
        <v>319</v>
      </c>
      <c r="N2002" s="2" t="s">
        <v>30</v>
      </c>
      <c r="O2002" s="2" t="s">
        <v>56</v>
      </c>
      <c r="P2002" s="2" t="s">
        <v>320</v>
      </c>
      <c r="Q2002" s="2">
        <v>10.11</v>
      </c>
      <c r="R2002" s="2">
        <v>3</v>
      </c>
      <c r="S2002" s="2">
        <v>3.2351999999999999</v>
      </c>
      <c r="T2002" s="2" t="s">
        <v>83</v>
      </c>
      <c r="U2002" s="2" t="s">
        <v>48</v>
      </c>
    </row>
    <row r="2003" spans="1:21" ht="14.25" customHeight="1" x14ac:dyDescent="0.3">
      <c r="A2003" s="2" t="s">
        <v>4273</v>
      </c>
      <c r="B2003" s="5">
        <v>41894</v>
      </c>
      <c r="C2003" s="2" t="str">
        <f>TEXT(data[[#This Row],[Order Date]],"YYYY")</f>
        <v>2014</v>
      </c>
      <c r="D2003" s="2">
        <v>41899</v>
      </c>
      <c r="E2003" s="2" t="s">
        <v>21</v>
      </c>
      <c r="F2003" s="2" t="s">
        <v>3844</v>
      </c>
      <c r="G2003" s="2" t="s">
        <v>3845</v>
      </c>
      <c r="H2003" s="2" t="s">
        <v>24</v>
      </c>
      <c r="I2003" s="2" t="s">
        <v>25</v>
      </c>
      <c r="J2003" s="2" t="s">
        <v>173</v>
      </c>
      <c r="K2003" s="2" t="s">
        <v>120</v>
      </c>
      <c r="L2003" s="2" t="s">
        <v>67</v>
      </c>
      <c r="M2003" s="2" t="s">
        <v>601</v>
      </c>
      <c r="N2003" s="2" t="s">
        <v>30</v>
      </c>
      <c r="O2003" s="2" t="s">
        <v>36</v>
      </c>
      <c r="P2003" s="2" t="s">
        <v>602</v>
      </c>
      <c r="Q2003" s="2">
        <v>3785.2919999999999</v>
      </c>
      <c r="R2003" s="2">
        <v>6</v>
      </c>
      <c r="S2003" s="2">
        <v>420.58800000000002</v>
      </c>
      <c r="T2003" s="2" t="s">
        <v>58</v>
      </c>
      <c r="U2003" s="2" t="s">
        <v>77</v>
      </c>
    </row>
    <row r="2004" spans="1:21" ht="14.25" customHeight="1" x14ac:dyDescent="0.3">
      <c r="A2004" s="2" t="s">
        <v>4274</v>
      </c>
      <c r="B2004" s="5">
        <v>41970</v>
      </c>
      <c r="C2004" s="2" t="str">
        <f>TEXT(data[[#This Row],[Order Date]],"YYYY")</f>
        <v>2014</v>
      </c>
      <c r="D2004" s="2">
        <v>41974</v>
      </c>
      <c r="E2004" s="2" t="s">
        <v>39</v>
      </c>
      <c r="F2004" s="2" t="s">
        <v>2696</v>
      </c>
      <c r="G2004" s="2" t="s">
        <v>2697</v>
      </c>
      <c r="H2004" s="2" t="s">
        <v>90</v>
      </c>
      <c r="I2004" s="2" t="s">
        <v>25</v>
      </c>
      <c r="J2004" s="2" t="s">
        <v>2954</v>
      </c>
      <c r="K2004" s="2" t="s">
        <v>120</v>
      </c>
      <c r="L2004" s="2" t="s">
        <v>67</v>
      </c>
      <c r="M2004" s="2" t="s">
        <v>1123</v>
      </c>
      <c r="N2004" s="2" t="s">
        <v>30</v>
      </c>
      <c r="O2004" s="2" t="s">
        <v>56</v>
      </c>
      <c r="P2004" s="2" t="s">
        <v>1124</v>
      </c>
      <c r="Q2004" s="2">
        <v>199.9</v>
      </c>
      <c r="R2004" s="2">
        <v>5</v>
      </c>
      <c r="S2004" s="2">
        <v>39.979999999999997</v>
      </c>
      <c r="T2004" s="2" t="s">
        <v>83</v>
      </c>
      <c r="U2004" s="2" t="s">
        <v>34</v>
      </c>
    </row>
    <row r="2005" spans="1:21" ht="14.25" customHeight="1" x14ac:dyDescent="0.3">
      <c r="A2005" s="2" t="s">
        <v>4275</v>
      </c>
      <c r="B2005" s="5">
        <v>41770</v>
      </c>
      <c r="C2005" s="2" t="str">
        <f>TEXT(data[[#This Row],[Order Date]],"YYYY")</f>
        <v>2014</v>
      </c>
      <c r="D2005" s="2">
        <v>41775</v>
      </c>
      <c r="E2005" s="2" t="s">
        <v>39</v>
      </c>
      <c r="F2005" s="2" t="s">
        <v>274</v>
      </c>
      <c r="G2005" s="2" t="s">
        <v>275</v>
      </c>
      <c r="H2005" s="2" t="s">
        <v>90</v>
      </c>
      <c r="I2005" s="2" t="s">
        <v>25</v>
      </c>
      <c r="J2005" s="2" t="s">
        <v>1868</v>
      </c>
      <c r="K2005" s="2" t="s">
        <v>92</v>
      </c>
      <c r="L2005" s="2" t="s">
        <v>93</v>
      </c>
      <c r="M2005" s="2" t="s">
        <v>479</v>
      </c>
      <c r="N2005" s="2" t="s">
        <v>30</v>
      </c>
      <c r="O2005" s="2" t="s">
        <v>36</v>
      </c>
      <c r="P2005" s="2" t="s">
        <v>480</v>
      </c>
      <c r="Q2005" s="2">
        <v>1212.96</v>
      </c>
      <c r="R2005" s="2">
        <v>8</v>
      </c>
      <c r="S2005" s="2">
        <v>-69.311999999999998</v>
      </c>
      <c r="T2005" s="2" t="s">
        <v>58</v>
      </c>
      <c r="U2005" s="2" t="s">
        <v>161</v>
      </c>
    </row>
    <row r="2006" spans="1:21" ht="14.25" customHeight="1" x14ac:dyDescent="0.3">
      <c r="A2006" s="2" t="s">
        <v>4276</v>
      </c>
      <c r="B2006" s="5">
        <v>42244</v>
      </c>
      <c r="C2006" s="2" t="str">
        <f>TEXT(data[[#This Row],[Order Date]],"YYYY")</f>
        <v>2015</v>
      </c>
      <c r="D2006" s="2">
        <v>42248</v>
      </c>
      <c r="E2006" s="2" t="s">
        <v>39</v>
      </c>
      <c r="F2006" s="2" t="s">
        <v>376</v>
      </c>
      <c r="G2006" s="2" t="s">
        <v>377</v>
      </c>
      <c r="H2006" s="2" t="s">
        <v>90</v>
      </c>
      <c r="I2006" s="2" t="s">
        <v>25</v>
      </c>
      <c r="J2006" s="2" t="s">
        <v>1739</v>
      </c>
      <c r="K2006" s="2" t="s">
        <v>92</v>
      </c>
      <c r="L2006" s="2" t="s">
        <v>93</v>
      </c>
      <c r="M2006" s="2" t="s">
        <v>1465</v>
      </c>
      <c r="N2006" s="2" t="s">
        <v>30</v>
      </c>
      <c r="O2006" s="2" t="s">
        <v>45</v>
      </c>
      <c r="P2006" s="2" t="s">
        <v>1466</v>
      </c>
      <c r="Q2006" s="2">
        <v>103.48099999999999</v>
      </c>
      <c r="R2006" s="2">
        <v>1</v>
      </c>
      <c r="S2006" s="2">
        <v>-16.261299999999999</v>
      </c>
      <c r="T2006" s="2" t="s">
        <v>83</v>
      </c>
      <c r="U2006" s="2" t="s">
        <v>253</v>
      </c>
    </row>
    <row r="2007" spans="1:21" ht="14.25" customHeight="1" x14ac:dyDescent="0.3">
      <c r="A2007" s="2" t="s">
        <v>4277</v>
      </c>
      <c r="B2007" s="5">
        <v>42882</v>
      </c>
      <c r="C2007" s="2" t="str">
        <f>TEXT(data[[#This Row],[Order Date]],"YYYY")</f>
        <v>2017</v>
      </c>
      <c r="D2007" s="2">
        <v>42889</v>
      </c>
      <c r="E2007" s="2" t="s">
        <v>39</v>
      </c>
      <c r="F2007" s="2" t="s">
        <v>2642</v>
      </c>
      <c r="G2007" s="2" t="s">
        <v>2643</v>
      </c>
      <c r="H2007" s="2" t="s">
        <v>24</v>
      </c>
      <c r="I2007" s="2" t="s">
        <v>25</v>
      </c>
      <c r="J2007" s="2" t="s">
        <v>2021</v>
      </c>
      <c r="K2007" s="2" t="s">
        <v>1522</v>
      </c>
      <c r="L2007" s="2" t="s">
        <v>93</v>
      </c>
      <c r="M2007" s="2" t="s">
        <v>94</v>
      </c>
      <c r="N2007" s="2" t="s">
        <v>30</v>
      </c>
      <c r="O2007" s="2" t="s">
        <v>56</v>
      </c>
      <c r="P2007" s="2" t="s">
        <v>95</v>
      </c>
      <c r="Q2007" s="2">
        <v>477.3</v>
      </c>
      <c r="R2007" s="2">
        <v>5</v>
      </c>
      <c r="S2007" s="2">
        <v>138.417</v>
      </c>
      <c r="T2007" s="2" t="s">
        <v>47</v>
      </c>
      <c r="U2007" s="2" t="s">
        <v>161</v>
      </c>
    </row>
    <row r="2008" spans="1:21" ht="14.25" customHeight="1" x14ac:dyDescent="0.3">
      <c r="A2008" s="2" t="s">
        <v>4278</v>
      </c>
      <c r="B2008" s="5">
        <v>43064</v>
      </c>
      <c r="C2008" s="2" t="str">
        <f>TEXT(data[[#This Row],[Order Date]],"YYYY")</f>
        <v>2017</v>
      </c>
      <c r="D2008" s="2">
        <v>43069</v>
      </c>
      <c r="E2008" s="2" t="s">
        <v>21</v>
      </c>
      <c r="F2008" s="2" t="s">
        <v>3484</v>
      </c>
      <c r="G2008" s="2" t="s">
        <v>3485</v>
      </c>
      <c r="H2008" s="2" t="s">
        <v>90</v>
      </c>
      <c r="I2008" s="2" t="s">
        <v>25</v>
      </c>
      <c r="J2008" s="2" t="s">
        <v>865</v>
      </c>
      <c r="K2008" s="2" t="s">
        <v>27</v>
      </c>
      <c r="L2008" s="2" t="s">
        <v>28</v>
      </c>
      <c r="M2008" s="2" t="s">
        <v>1486</v>
      </c>
      <c r="N2008" s="2" t="s">
        <v>30</v>
      </c>
      <c r="O2008" s="2" t="s">
        <v>36</v>
      </c>
      <c r="P2008" s="2" t="s">
        <v>1487</v>
      </c>
      <c r="Q2008" s="2">
        <v>701.96</v>
      </c>
      <c r="R2008" s="2">
        <v>2</v>
      </c>
      <c r="S2008" s="2">
        <v>168.47040000000001</v>
      </c>
      <c r="T2008" s="2" t="s">
        <v>58</v>
      </c>
      <c r="U2008" s="2" t="s">
        <v>34</v>
      </c>
    </row>
    <row r="2009" spans="1:21" ht="14.25" customHeight="1" x14ac:dyDescent="0.3">
      <c r="A2009" s="2" t="s">
        <v>4279</v>
      </c>
      <c r="B2009" s="5">
        <v>42693</v>
      </c>
      <c r="C2009" s="2" t="str">
        <f>TEXT(data[[#This Row],[Order Date]],"YYYY")</f>
        <v>2016</v>
      </c>
      <c r="D2009" s="2">
        <v>42697</v>
      </c>
      <c r="E2009" s="2" t="s">
        <v>39</v>
      </c>
      <c r="F2009" s="2" t="s">
        <v>482</v>
      </c>
      <c r="G2009" s="2" t="s">
        <v>483</v>
      </c>
      <c r="H2009" s="2" t="s">
        <v>90</v>
      </c>
      <c r="I2009" s="2" t="s">
        <v>25</v>
      </c>
      <c r="J2009" s="2" t="s">
        <v>191</v>
      </c>
      <c r="K2009" s="2" t="s">
        <v>192</v>
      </c>
      <c r="L2009" s="2" t="s">
        <v>54</v>
      </c>
      <c r="M2009" s="2" t="s">
        <v>585</v>
      </c>
      <c r="N2009" s="2" t="s">
        <v>30</v>
      </c>
      <c r="O2009" s="2" t="s">
        <v>56</v>
      </c>
      <c r="P2009" s="2" t="s">
        <v>586</v>
      </c>
      <c r="Q2009" s="2">
        <v>31.96</v>
      </c>
      <c r="R2009" s="2">
        <v>2</v>
      </c>
      <c r="S2009" s="2">
        <v>1.5980000000000001</v>
      </c>
      <c r="T2009" s="2" t="s">
        <v>83</v>
      </c>
      <c r="U2009" s="2" t="s">
        <v>34</v>
      </c>
    </row>
    <row r="2010" spans="1:21" ht="14.25" customHeight="1" x14ac:dyDescent="0.3">
      <c r="A2010" s="2" t="s">
        <v>4280</v>
      </c>
      <c r="B2010" s="5">
        <v>43044</v>
      </c>
      <c r="C2010" s="2" t="str">
        <f>TEXT(data[[#This Row],[Order Date]],"YYYY")</f>
        <v>2017</v>
      </c>
      <c r="D2010" s="2">
        <v>43049</v>
      </c>
      <c r="E2010" s="2" t="s">
        <v>21</v>
      </c>
      <c r="F2010" s="2" t="s">
        <v>4281</v>
      </c>
      <c r="G2010" s="2" t="s">
        <v>4282</v>
      </c>
      <c r="H2010" s="2" t="s">
        <v>24</v>
      </c>
      <c r="I2010" s="2" t="s">
        <v>25</v>
      </c>
      <c r="J2010" s="2" t="s">
        <v>173</v>
      </c>
      <c r="K2010" s="2" t="s">
        <v>120</v>
      </c>
      <c r="L2010" s="2" t="s">
        <v>67</v>
      </c>
      <c r="M2010" s="2" t="s">
        <v>2566</v>
      </c>
      <c r="N2010" s="2" t="s">
        <v>30</v>
      </c>
      <c r="O2010" s="2" t="s">
        <v>45</v>
      </c>
      <c r="P2010" s="2" t="s">
        <v>2567</v>
      </c>
      <c r="Q2010" s="2">
        <v>166.5</v>
      </c>
      <c r="R2010" s="2">
        <v>2</v>
      </c>
      <c r="S2010" s="2">
        <v>-66.599999999999994</v>
      </c>
      <c r="T2010" s="2" t="s">
        <v>58</v>
      </c>
      <c r="U2010" s="2" t="s">
        <v>34</v>
      </c>
    </row>
    <row r="2011" spans="1:21" ht="14.25" customHeight="1" x14ac:dyDescent="0.3">
      <c r="A2011" s="2" t="s">
        <v>4280</v>
      </c>
      <c r="B2011" s="5">
        <v>43044</v>
      </c>
      <c r="C2011" s="2" t="str">
        <f>TEXT(data[[#This Row],[Order Date]],"YYYY")</f>
        <v>2017</v>
      </c>
      <c r="D2011" s="2">
        <v>43049</v>
      </c>
      <c r="E2011" s="2" t="s">
        <v>21</v>
      </c>
      <c r="F2011" s="2" t="s">
        <v>4281</v>
      </c>
      <c r="G2011" s="2" t="s">
        <v>4282</v>
      </c>
      <c r="H2011" s="2" t="s">
        <v>24</v>
      </c>
      <c r="I2011" s="2" t="s">
        <v>25</v>
      </c>
      <c r="J2011" s="2" t="s">
        <v>173</v>
      </c>
      <c r="K2011" s="2" t="s">
        <v>120</v>
      </c>
      <c r="L2011" s="2" t="s">
        <v>67</v>
      </c>
      <c r="M2011" s="2" t="s">
        <v>2194</v>
      </c>
      <c r="N2011" s="2" t="s">
        <v>30</v>
      </c>
      <c r="O2011" s="2" t="s">
        <v>36</v>
      </c>
      <c r="P2011" s="2" t="s">
        <v>2195</v>
      </c>
      <c r="Q2011" s="2">
        <v>128.124</v>
      </c>
      <c r="R2011" s="2">
        <v>2</v>
      </c>
      <c r="S2011" s="2">
        <v>24.2012</v>
      </c>
      <c r="T2011" s="2" t="s">
        <v>58</v>
      </c>
      <c r="U2011" s="2" t="s">
        <v>34</v>
      </c>
    </row>
    <row r="2012" spans="1:21" ht="14.25" customHeight="1" x14ac:dyDescent="0.3">
      <c r="A2012" s="2" t="s">
        <v>4280</v>
      </c>
      <c r="B2012" s="5">
        <v>43044</v>
      </c>
      <c r="C2012" s="2" t="str">
        <f>TEXT(data[[#This Row],[Order Date]],"YYYY")</f>
        <v>2017</v>
      </c>
      <c r="D2012" s="2">
        <v>43049</v>
      </c>
      <c r="E2012" s="2" t="s">
        <v>21</v>
      </c>
      <c r="F2012" s="2" t="s">
        <v>4281</v>
      </c>
      <c r="G2012" s="2" t="s">
        <v>4282</v>
      </c>
      <c r="H2012" s="2" t="s">
        <v>24</v>
      </c>
      <c r="I2012" s="2" t="s">
        <v>25</v>
      </c>
      <c r="J2012" s="2" t="s">
        <v>173</v>
      </c>
      <c r="K2012" s="2" t="s">
        <v>120</v>
      </c>
      <c r="L2012" s="2" t="s">
        <v>67</v>
      </c>
      <c r="M2012" s="2" t="s">
        <v>3223</v>
      </c>
      <c r="N2012" s="2" t="s">
        <v>30</v>
      </c>
      <c r="O2012" s="2" t="s">
        <v>56</v>
      </c>
      <c r="P2012" s="2" t="s">
        <v>3224</v>
      </c>
      <c r="Q2012" s="2">
        <v>101.4</v>
      </c>
      <c r="R2012" s="2">
        <v>5</v>
      </c>
      <c r="S2012" s="2">
        <v>38.531999999999996</v>
      </c>
      <c r="T2012" s="2" t="s">
        <v>58</v>
      </c>
      <c r="U2012" s="2" t="s">
        <v>34</v>
      </c>
    </row>
    <row r="2013" spans="1:21" ht="14.25" customHeight="1" x14ac:dyDescent="0.3">
      <c r="A2013" s="2" t="s">
        <v>4283</v>
      </c>
      <c r="B2013" s="5">
        <v>42155</v>
      </c>
      <c r="C2013" s="2" t="str">
        <f>TEXT(data[[#This Row],[Order Date]],"YYYY")</f>
        <v>2015</v>
      </c>
      <c r="D2013" s="2">
        <v>42160</v>
      </c>
      <c r="E2013" s="2" t="s">
        <v>21</v>
      </c>
      <c r="F2013" s="2" t="s">
        <v>482</v>
      </c>
      <c r="G2013" s="2" t="s">
        <v>483</v>
      </c>
      <c r="H2013" s="2" t="s">
        <v>90</v>
      </c>
      <c r="I2013" s="2" t="s">
        <v>25</v>
      </c>
      <c r="J2013" s="2" t="s">
        <v>133</v>
      </c>
      <c r="K2013" s="2" t="s">
        <v>134</v>
      </c>
      <c r="L2013" s="2" t="s">
        <v>93</v>
      </c>
      <c r="M2013" s="2" t="s">
        <v>2449</v>
      </c>
      <c r="N2013" s="2" t="s">
        <v>30</v>
      </c>
      <c r="O2013" s="2" t="s">
        <v>56</v>
      </c>
      <c r="P2013" s="2" t="s">
        <v>2450</v>
      </c>
      <c r="Q2013" s="2">
        <v>51.56</v>
      </c>
      <c r="R2013" s="2">
        <v>2</v>
      </c>
      <c r="S2013" s="2">
        <v>-61.872</v>
      </c>
      <c r="T2013" s="2" t="s">
        <v>58</v>
      </c>
      <c r="U2013" s="2" t="s">
        <v>161</v>
      </c>
    </row>
    <row r="2014" spans="1:21" ht="14.25" customHeight="1" x14ac:dyDescent="0.3">
      <c r="A2014" s="2" t="s">
        <v>4284</v>
      </c>
      <c r="B2014" s="5">
        <v>42706</v>
      </c>
      <c r="C2014" s="2" t="str">
        <f>TEXT(data[[#This Row],[Order Date]],"YYYY")</f>
        <v>2016</v>
      </c>
      <c r="D2014" s="2">
        <v>42708</v>
      </c>
      <c r="E2014" s="2" t="s">
        <v>21</v>
      </c>
      <c r="F2014" s="2" t="s">
        <v>2588</v>
      </c>
      <c r="G2014" s="2" t="s">
        <v>2589</v>
      </c>
      <c r="H2014" s="2" t="s">
        <v>90</v>
      </c>
      <c r="I2014" s="2" t="s">
        <v>25</v>
      </c>
      <c r="J2014" s="2" t="s">
        <v>101</v>
      </c>
      <c r="K2014" s="2" t="s">
        <v>92</v>
      </c>
      <c r="L2014" s="2" t="s">
        <v>93</v>
      </c>
      <c r="M2014" s="2" t="s">
        <v>2905</v>
      </c>
      <c r="N2014" s="2" t="s">
        <v>30</v>
      </c>
      <c r="O2014" s="2" t="s">
        <v>31</v>
      </c>
      <c r="P2014" s="2" t="s">
        <v>2906</v>
      </c>
      <c r="Q2014" s="2">
        <v>781.86400000000003</v>
      </c>
      <c r="R2014" s="2">
        <v>10</v>
      </c>
      <c r="S2014" s="2">
        <v>-137.976</v>
      </c>
      <c r="T2014" s="2" t="s">
        <v>70</v>
      </c>
      <c r="U2014" s="2" t="s">
        <v>96</v>
      </c>
    </row>
    <row r="2015" spans="1:21" ht="14.25" customHeight="1" x14ac:dyDescent="0.3">
      <c r="A2015" s="2" t="s">
        <v>4285</v>
      </c>
      <c r="B2015" s="5">
        <v>43020</v>
      </c>
      <c r="C2015" s="2" t="str">
        <f>TEXT(data[[#This Row],[Order Date]],"YYYY")</f>
        <v>2017</v>
      </c>
      <c r="D2015" s="2">
        <v>43020</v>
      </c>
      <c r="E2015" s="2" t="s">
        <v>425</v>
      </c>
      <c r="F2015" s="2" t="s">
        <v>475</v>
      </c>
      <c r="G2015" s="2" t="s">
        <v>476</v>
      </c>
      <c r="H2015" s="2" t="s">
        <v>24</v>
      </c>
      <c r="I2015" s="2" t="s">
        <v>25</v>
      </c>
      <c r="J2015" s="2" t="s">
        <v>1988</v>
      </c>
      <c r="K2015" s="2" t="s">
        <v>4286</v>
      </c>
      <c r="L2015" s="2" t="s">
        <v>67</v>
      </c>
      <c r="M2015" s="2" t="s">
        <v>1077</v>
      </c>
      <c r="N2015" s="2" t="s">
        <v>30</v>
      </c>
      <c r="O2015" s="2" t="s">
        <v>45</v>
      </c>
      <c r="P2015" s="2" t="s">
        <v>1078</v>
      </c>
      <c r="Q2015" s="2">
        <v>673.34400000000005</v>
      </c>
      <c r="R2015" s="2">
        <v>3</v>
      </c>
      <c r="S2015" s="2">
        <v>-76.953599999999994</v>
      </c>
      <c r="T2015" s="2" t="s">
        <v>430</v>
      </c>
      <c r="U2015" s="2" t="s">
        <v>48</v>
      </c>
    </row>
    <row r="2016" spans="1:21" ht="14.25" customHeight="1" x14ac:dyDescent="0.3">
      <c r="A2016" s="2" t="s">
        <v>4287</v>
      </c>
      <c r="B2016" s="5">
        <v>42372</v>
      </c>
      <c r="C2016" s="2" t="str">
        <f>TEXT(data[[#This Row],[Order Date]],"YYYY")</f>
        <v>2016</v>
      </c>
      <c r="D2016" s="2">
        <v>42377</v>
      </c>
      <c r="E2016" s="2" t="s">
        <v>39</v>
      </c>
      <c r="F2016" s="2" t="s">
        <v>2000</v>
      </c>
      <c r="G2016" s="2" t="s">
        <v>2001</v>
      </c>
      <c r="H2016" s="2" t="s">
        <v>90</v>
      </c>
      <c r="I2016" s="2" t="s">
        <v>25</v>
      </c>
      <c r="J2016" s="2" t="s">
        <v>4288</v>
      </c>
      <c r="K2016" s="2" t="s">
        <v>1522</v>
      </c>
      <c r="L2016" s="2" t="s">
        <v>93</v>
      </c>
      <c r="M2016" s="2" t="s">
        <v>441</v>
      </c>
      <c r="N2016" s="2" t="s">
        <v>30</v>
      </c>
      <c r="O2016" s="2" t="s">
        <v>45</v>
      </c>
      <c r="P2016" s="2" t="s">
        <v>442</v>
      </c>
      <c r="Q2016" s="2">
        <v>1592.85</v>
      </c>
      <c r="R2016" s="2">
        <v>7</v>
      </c>
      <c r="S2016" s="2">
        <v>350.42700000000002</v>
      </c>
      <c r="T2016" s="2" t="s">
        <v>58</v>
      </c>
      <c r="U2016" s="2" t="s">
        <v>169</v>
      </c>
    </row>
    <row r="2017" spans="1:21" ht="14.25" customHeight="1" x14ac:dyDescent="0.3">
      <c r="A2017" s="2" t="s">
        <v>4289</v>
      </c>
      <c r="B2017" s="5">
        <v>42516</v>
      </c>
      <c r="C2017" s="2" t="str">
        <f>TEXT(data[[#This Row],[Order Date]],"YYYY")</f>
        <v>2016</v>
      </c>
      <c r="D2017" s="2">
        <v>42520</v>
      </c>
      <c r="E2017" s="2" t="s">
        <v>39</v>
      </c>
      <c r="F2017" s="2" t="s">
        <v>4290</v>
      </c>
      <c r="G2017" s="2" t="s">
        <v>4291</v>
      </c>
      <c r="H2017" s="2" t="s">
        <v>24</v>
      </c>
      <c r="I2017" s="2" t="s">
        <v>25</v>
      </c>
      <c r="J2017" s="2" t="s">
        <v>905</v>
      </c>
      <c r="K2017" s="2" t="s">
        <v>238</v>
      </c>
      <c r="L2017" s="2" t="s">
        <v>93</v>
      </c>
      <c r="M2017" s="2" t="s">
        <v>1451</v>
      </c>
      <c r="N2017" s="2" t="s">
        <v>30</v>
      </c>
      <c r="O2017" s="2" t="s">
        <v>56</v>
      </c>
      <c r="P2017" s="2" t="s">
        <v>1452</v>
      </c>
      <c r="Q2017" s="2">
        <v>26.94</v>
      </c>
      <c r="R2017" s="2">
        <v>3</v>
      </c>
      <c r="S2017" s="2">
        <v>11.3148</v>
      </c>
      <c r="T2017" s="2" t="s">
        <v>83</v>
      </c>
      <c r="U2017" s="2" t="s">
        <v>161</v>
      </c>
    </row>
    <row r="2018" spans="1:21" ht="14.25" customHeight="1" x14ac:dyDescent="0.3">
      <c r="A2018" s="2" t="s">
        <v>4292</v>
      </c>
      <c r="B2018" s="5">
        <v>42328</v>
      </c>
      <c r="C2018" s="2" t="str">
        <f>TEXT(data[[#This Row],[Order Date]],"YYYY")</f>
        <v>2015</v>
      </c>
      <c r="D2018" s="2">
        <v>42332</v>
      </c>
      <c r="E2018" s="2" t="s">
        <v>39</v>
      </c>
      <c r="F2018" s="2" t="s">
        <v>3060</v>
      </c>
      <c r="G2018" s="2" t="s">
        <v>3061</v>
      </c>
      <c r="H2018" s="2" t="s">
        <v>24</v>
      </c>
      <c r="I2018" s="2" t="s">
        <v>25</v>
      </c>
      <c r="J2018" s="2" t="s">
        <v>328</v>
      </c>
      <c r="K2018" s="2" t="s">
        <v>53</v>
      </c>
      <c r="L2018" s="2" t="s">
        <v>54</v>
      </c>
      <c r="M2018" s="2" t="s">
        <v>2140</v>
      </c>
      <c r="N2018" s="2" t="s">
        <v>30</v>
      </c>
      <c r="O2018" s="2" t="s">
        <v>56</v>
      </c>
      <c r="P2018" s="2" t="s">
        <v>2141</v>
      </c>
      <c r="Q2018" s="2">
        <v>32.04</v>
      </c>
      <c r="R2018" s="2">
        <v>3</v>
      </c>
      <c r="S2018" s="2">
        <v>8.01</v>
      </c>
      <c r="T2018" s="2" t="s">
        <v>83</v>
      </c>
      <c r="U2018" s="2" t="s">
        <v>34</v>
      </c>
    </row>
    <row r="2019" spans="1:21" ht="14.25" customHeight="1" x14ac:dyDescent="0.3">
      <c r="A2019" s="2" t="s">
        <v>4293</v>
      </c>
      <c r="B2019" s="5">
        <v>42885</v>
      </c>
      <c r="C2019" s="2" t="str">
        <f>TEXT(data[[#This Row],[Order Date]],"YYYY")</f>
        <v>2017</v>
      </c>
      <c r="D2019" s="2">
        <v>42889</v>
      </c>
      <c r="E2019" s="2" t="s">
        <v>21</v>
      </c>
      <c r="F2019" s="2" t="s">
        <v>1927</v>
      </c>
      <c r="G2019" s="2" t="s">
        <v>1928</v>
      </c>
      <c r="H2019" s="2" t="s">
        <v>24</v>
      </c>
      <c r="I2019" s="2" t="s">
        <v>25</v>
      </c>
      <c r="J2019" s="2" t="s">
        <v>1739</v>
      </c>
      <c r="K2019" s="2" t="s">
        <v>92</v>
      </c>
      <c r="L2019" s="2" t="s">
        <v>93</v>
      </c>
      <c r="M2019" s="2" t="s">
        <v>999</v>
      </c>
      <c r="N2019" s="2" t="s">
        <v>30</v>
      </c>
      <c r="O2019" s="2" t="s">
        <v>31</v>
      </c>
      <c r="P2019" s="2" t="s">
        <v>1000</v>
      </c>
      <c r="Q2019" s="2">
        <v>204.66640000000001</v>
      </c>
      <c r="R2019" s="2">
        <v>1</v>
      </c>
      <c r="S2019" s="2">
        <v>-6.0195999999999996</v>
      </c>
      <c r="T2019" s="2" t="s">
        <v>83</v>
      </c>
      <c r="U2019" s="2" t="s">
        <v>161</v>
      </c>
    </row>
    <row r="2020" spans="1:21" ht="14.25" customHeight="1" x14ac:dyDescent="0.3">
      <c r="A2020" s="2" t="s">
        <v>4294</v>
      </c>
      <c r="B2020" s="5">
        <v>43074</v>
      </c>
      <c r="C2020" s="2" t="str">
        <f>TEXT(data[[#This Row],[Order Date]],"YYYY")</f>
        <v>2017</v>
      </c>
      <c r="D2020" s="2">
        <v>43075</v>
      </c>
      <c r="E2020" s="2" t="s">
        <v>87</v>
      </c>
      <c r="F2020" s="2" t="s">
        <v>4295</v>
      </c>
      <c r="G2020" s="2" t="s">
        <v>4296</v>
      </c>
      <c r="H2020" s="2" t="s">
        <v>100</v>
      </c>
      <c r="I2020" s="2" t="s">
        <v>25</v>
      </c>
      <c r="J2020" s="2" t="s">
        <v>191</v>
      </c>
      <c r="K2020" s="2" t="s">
        <v>192</v>
      </c>
      <c r="L2020" s="2" t="s">
        <v>54</v>
      </c>
      <c r="M2020" s="2" t="s">
        <v>1123</v>
      </c>
      <c r="N2020" s="2" t="s">
        <v>30</v>
      </c>
      <c r="O2020" s="2" t="s">
        <v>56</v>
      </c>
      <c r="P2020" s="2" t="s">
        <v>1124</v>
      </c>
      <c r="Q2020" s="2">
        <v>199.9</v>
      </c>
      <c r="R2020" s="2">
        <v>5</v>
      </c>
      <c r="S2020" s="2">
        <v>39.979999999999997</v>
      </c>
      <c r="T2020" s="2" t="s">
        <v>123</v>
      </c>
      <c r="U2020" s="2" t="s">
        <v>96</v>
      </c>
    </row>
    <row r="2021" spans="1:21" ht="14.25" customHeight="1" x14ac:dyDescent="0.3">
      <c r="A2021" s="2" t="s">
        <v>4297</v>
      </c>
      <c r="B2021" s="5">
        <v>42670</v>
      </c>
      <c r="C2021" s="2" t="str">
        <f>TEXT(data[[#This Row],[Order Date]],"YYYY")</f>
        <v>2016</v>
      </c>
      <c r="D2021" s="2">
        <v>42674</v>
      </c>
      <c r="E2021" s="2" t="s">
        <v>39</v>
      </c>
      <c r="F2021" s="2" t="s">
        <v>2848</v>
      </c>
      <c r="G2021" s="2" t="s">
        <v>2849</v>
      </c>
      <c r="H2021" s="2" t="s">
        <v>24</v>
      </c>
      <c r="I2021" s="2" t="s">
        <v>25</v>
      </c>
      <c r="J2021" s="2" t="s">
        <v>173</v>
      </c>
      <c r="K2021" s="2" t="s">
        <v>120</v>
      </c>
      <c r="L2021" s="2" t="s">
        <v>67</v>
      </c>
      <c r="M2021" s="2" t="s">
        <v>1765</v>
      </c>
      <c r="N2021" s="2" t="s">
        <v>30</v>
      </c>
      <c r="O2021" s="2" t="s">
        <v>36</v>
      </c>
      <c r="P2021" s="2" t="s">
        <v>1766</v>
      </c>
      <c r="Q2021" s="2">
        <v>427.64400000000001</v>
      </c>
      <c r="R2021" s="2">
        <v>14</v>
      </c>
      <c r="S2021" s="2">
        <v>80.777199999999993</v>
      </c>
      <c r="T2021" s="2" t="s">
        <v>83</v>
      </c>
      <c r="U2021" s="2" t="s">
        <v>48</v>
      </c>
    </row>
    <row r="2022" spans="1:21" ht="14.25" customHeight="1" x14ac:dyDescent="0.3">
      <c r="A2022" s="2" t="s">
        <v>4298</v>
      </c>
      <c r="B2022" s="5">
        <v>42898</v>
      </c>
      <c r="C2022" s="2" t="str">
        <f>TEXT(data[[#This Row],[Order Date]],"YYYY")</f>
        <v>2017</v>
      </c>
      <c r="D2022" s="2">
        <v>42900</v>
      </c>
      <c r="E2022" s="2" t="s">
        <v>21</v>
      </c>
      <c r="F2022" s="2" t="s">
        <v>1428</v>
      </c>
      <c r="G2022" s="2" t="s">
        <v>1429</v>
      </c>
      <c r="H2022" s="2" t="s">
        <v>24</v>
      </c>
      <c r="I2022" s="2" t="s">
        <v>25</v>
      </c>
      <c r="J2022" s="2" t="s">
        <v>133</v>
      </c>
      <c r="K2022" s="2" t="s">
        <v>134</v>
      </c>
      <c r="L2022" s="2" t="s">
        <v>93</v>
      </c>
      <c r="M2022" s="2" t="s">
        <v>1718</v>
      </c>
      <c r="N2022" s="2" t="s">
        <v>30</v>
      </c>
      <c r="O2022" s="2" t="s">
        <v>56</v>
      </c>
      <c r="P2022" s="2" t="s">
        <v>1719</v>
      </c>
      <c r="Q2022" s="2">
        <v>8.8559999999999999</v>
      </c>
      <c r="R2022" s="2">
        <v>3</v>
      </c>
      <c r="S2022" s="2">
        <v>-6.8634000000000004</v>
      </c>
      <c r="T2022" s="2" t="s">
        <v>70</v>
      </c>
      <c r="U2022" s="2" t="s">
        <v>59</v>
      </c>
    </row>
    <row r="2023" spans="1:21" ht="14.25" customHeight="1" x14ac:dyDescent="0.3">
      <c r="A2023" s="2" t="s">
        <v>4299</v>
      </c>
      <c r="B2023" s="5">
        <v>42638</v>
      </c>
      <c r="C2023" s="2" t="str">
        <f>TEXT(data[[#This Row],[Order Date]],"YYYY")</f>
        <v>2016</v>
      </c>
      <c r="D2023" s="2">
        <v>42640</v>
      </c>
      <c r="E2023" s="2" t="s">
        <v>87</v>
      </c>
      <c r="F2023" s="2" t="s">
        <v>2264</v>
      </c>
      <c r="G2023" s="2" t="s">
        <v>2265</v>
      </c>
      <c r="H2023" s="2" t="s">
        <v>90</v>
      </c>
      <c r="I2023" s="2" t="s">
        <v>25</v>
      </c>
      <c r="J2023" s="2" t="s">
        <v>328</v>
      </c>
      <c r="K2023" s="2" t="s">
        <v>53</v>
      </c>
      <c r="L2023" s="2" t="s">
        <v>54</v>
      </c>
      <c r="M2023" s="2" t="s">
        <v>260</v>
      </c>
      <c r="N2023" s="2" t="s">
        <v>30</v>
      </c>
      <c r="O2023" s="2" t="s">
        <v>31</v>
      </c>
      <c r="P2023" s="2" t="s">
        <v>261</v>
      </c>
      <c r="Q2023" s="2">
        <v>477.666</v>
      </c>
      <c r="R2023" s="2">
        <v>2</v>
      </c>
      <c r="S2023" s="2">
        <v>84.293999999999997</v>
      </c>
      <c r="T2023" s="2" t="s">
        <v>70</v>
      </c>
      <c r="U2023" s="2" t="s">
        <v>77</v>
      </c>
    </row>
    <row r="2024" spans="1:21" ht="14.25" customHeight="1" x14ac:dyDescent="0.3">
      <c r="A2024" s="2" t="s">
        <v>4300</v>
      </c>
      <c r="B2024" s="5">
        <v>42135</v>
      </c>
      <c r="C2024" s="2" t="str">
        <f>TEXT(data[[#This Row],[Order Date]],"YYYY")</f>
        <v>2015</v>
      </c>
      <c r="D2024" s="2">
        <v>42140</v>
      </c>
      <c r="E2024" s="2" t="s">
        <v>21</v>
      </c>
      <c r="F2024" s="2" t="s">
        <v>131</v>
      </c>
      <c r="G2024" s="2" t="s">
        <v>132</v>
      </c>
      <c r="H2024" s="2" t="s">
        <v>100</v>
      </c>
      <c r="I2024" s="2" t="s">
        <v>25</v>
      </c>
      <c r="J2024" s="2" t="s">
        <v>519</v>
      </c>
      <c r="K2024" s="2" t="s">
        <v>520</v>
      </c>
      <c r="L2024" s="2" t="s">
        <v>54</v>
      </c>
      <c r="M2024" s="2" t="s">
        <v>1102</v>
      </c>
      <c r="N2024" s="2" t="s">
        <v>30</v>
      </c>
      <c r="O2024" s="2" t="s">
        <v>36</v>
      </c>
      <c r="P2024" s="2" t="s">
        <v>1103</v>
      </c>
      <c r="Q2024" s="2">
        <v>191.96799999999999</v>
      </c>
      <c r="R2024" s="2">
        <v>7</v>
      </c>
      <c r="S2024" s="2">
        <v>16.7972</v>
      </c>
      <c r="T2024" s="2" t="s">
        <v>58</v>
      </c>
      <c r="U2024" s="2" t="s">
        <v>161</v>
      </c>
    </row>
    <row r="2025" spans="1:21" ht="14.25" customHeight="1" x14ac:dyDescent="0.3">
      <c r="A2025" s="2" t="s">
        <v>4301</v>
      </c>
      <c r="B2025" s="5">
        <v>42222</v>
      </c>
      <c r="C2025" s="2" t="str">
        <f>TEXT(data[[#This Row],[Order Date]],"YYYY")</f>
        <v>2015</v>
      </c>
      <c r="D2025" s="2">
        <v>42226</v>
      </c>
      <c r="E2025" s="2" t="s">
        <v>39</v>
      </c>
      <c r="F2025" s="2" t="s">
        <v>4302</v>
      </c>
      <c r="G2025" s="2" t="s">
        <v>4303</v>
      </c>
      <c r="H2025" s="2" t="s">
        <v>90</v>
      </c>
      <c r="I2025" s="2" t="s">
        <v>25</v>
      </c>
      <c r="J2025" s="2" t="s">
        <v>101</v>
      </c>
      <c r="K2025" s="2" t="s">
        <v>92</v>
      </c>
      <c r="L2025" s="2" t="s">
        <v>93</v>
      </c>
      <c r="M2025" s="2" t="s">
        <v>1446</v>
      </c>
      <c r="N2025" s="2" t="s">
        <v>30</v>
      </c>
      <c r="O2025" s="2" t="s">
        <v>31</v>
      </c>
      <c r="P2025" s="2" t="s">
        <v>1447</v>
      </c>
      <c r="Q2025" s="2">
        <v>369.19920000000002</v>
      </c>
      <c r="R2025" s="2">
        <v>3</v>
      </c>
      <c r="S2025" s="2">
        <v>-114.01739999999999</v>
      </c>
      <c r="T2025" s="2" t="s">
        <v>83</v>
      </c>
      <c r="U2025" s="2" t="s">
        <v>253</v>
      </c>
    </row>
    <row r="2026" spans="1:21" ht="14.25" customHeight="1" x14ac:dyDescent="0.3">
      <c r="A2026" s="2" t="s">
        <v>4304</v>
      </c>
      <c r="B2026" s="5">
        <v>42635</v>
      </c>
      <c r="C2026" s="2" t="str">
        <f>TEXT(data[[#This Row],[Order Date]],"YYYY")</f>
        <v>2016</v>
      </c>
      <c r="D2026" s="2">
        <v>42640</v>
      </c>
      <c r="E2026" s="2" t="s">
        <v>39</v>
      </c>
      <c r="F2026" s="2" t="s">
        <v>2345</v>
      </c>
      <c r="G2026" s="2" t="s">
        <v>2346</v>
      </c>
      <c r="H2026" s="2" t="s">
        <v>90</v>
      </c>
      <c r="I2026" s="2" t="s">
        <v>25</v>
      </c>
      <c r="J2026" s="2" t="s">
        <v>1611</v>
      </c>
      <c r="K2026" s="2" t="s">
        <v>180</v>
      </c>
      <c r="L2026" s="2" t="s">
        <v>54</v>
      </c>
      <c r="M2026" s="2" t="s">
        <v>493</v>
      </c>
      <c r="N2026" s="2" t="s">
        <v>30</v>
      </c>
      <c r="O2026" s="2" t="s">
        <v>56</v>
      </c>
      <c r="P2026" s="2" t="s">
        <v>494</v>
      </c>
      <c r="Q2026" s="2">
        <v>68.432000000000002</v>
      </c>
      <c r="R2026" s="2">
        <v>7</v>
      </c>
      <c r="S2026" s="2">
        <v>8.5540000000000003</v>
      </c>
      <c r="T2026" s="2" t="s">
        <v>58</v>
      </c>
      <c r="U2026" s="2" t="s">
        <v>77</v>
      </c>
    </row>
    <row r="2027" spans="1:21" ht="14.25" customHeight="1" x14ac:dyDescent="0.3">
      <c r="A2027" s="2" t="s">
        <v>4305</v>
      </c>
      <c r="B2027" s="5">
        <v>42336</v>
      </c>
      <c r="C2027" s="2" t="str">
        <f>TEXT(data[[#This Row],[Order Date]],"YYYY")</f>
        <v>2015</v>
      </c>
      <c r="D2027" s="2">
        <v>42340</v>
      </c>
      <c r="E2027" s="2" t="s">
        <v>39</v>
      </c>
      <c r="F2027" s="2" t="s">
        <v>2963</v>
      </c>
      <c r="G2027" s="2" t="s">
        <v>2964</v>
      </c>
      <c r="H2027" s="2" t="s">
        <v>24</v>
      </c>
      <c r="I2027" s="2" t="s">
        <v>25</v>
      </c>
      <c r="J2027" s="2" t="s">
        <v>347</v>
      </c>
      <c r="K2027" s="2" t="s">
        <v>231</v>
      </c>
      <c r="L2027" s="2" t="s">
        <v>67</v>
      </c>
      <c r="M2027" s="2" t="s">
        <v>167</v>
      </c>
      <c r="N2027" s="2" t="s">
        <v>30</v>
      </c>
      <c r="O2027" s="2" t="s">
        <v>56</v>
      </c>
      <c r="P2027" s="2" t="s">
        <v>168</v>
      </c>
      <c r="Q2027" s="2">
        <v>71.12</v>
      </c>
      <c r="R2027" s="2">
        <v>5</v>
      </c>
      <c r="S2027" s="2">
        <v>9.7789999999999999</v>
      </c>
      <c r="T2027" s="2" t="s">
        <v>83</v>
      </c>
      <c r="U2027" s="2" t="s">
        <v>34</v>
      </c>
    </row>
    <row r="2028" spans="1:21" ht="14.25" customHeight="1" x14ac:dyDescent="0.3">
      <c r="A2028" s="2" t="s">
        <v>4306</v>
      </c>
      <c r="B2028" s="5">
        <v>41929</v>
      </c>
      <c r="C2028" s="2" t="str">
        <f>TEXT(data[[#This Row],[Order Date]],"YYYY")</f>
        <v>2014</v>
      </c>
      <c r="D2028" s="2">
        <v>41931</v>
      </c>
      <c r="E2028" s="2" t="s">
        <v>21</v>
      </c>
      <c r="F2028" s="2" t="s">
        <v>4307</v>
      </c>
      <c r="G2028" s="2" t="s">
        <v>4308</v>
      </c>
      <c r="H2028" s="2" t="s">
        <v>24</v>
      </c>
      <c r="I2028" s="2" t="s">
        <v>25</v>
      </c>
      <c r="J2028" s="2" t="s">
        <v>101</v>
      </c>
      <c r="K2028" s="2" t="s">
        <v>92</v>
      </c>
      <c r="L2028" s="2" t="s">
        <v>93</v>
      </c>
      <c r="M2028" s="2" t="s">
        <v>2326</v>
      </c>
      <c r="N2028" s="2" t="s">
        <v>30</v>
      </c>
      <c r="O2028" s="2" t="s">
        <v>56</v>
      </c>
      <c r="P2028" s="2" t="s">
        <v>2327</v>
      </c>
      <c r="Q2028" s="2">
        <v>5.3120000000000003</v>
      </c>
      <c r="R2028" s="2">
        <v>2</v>
      </c>
      <c r="S2028" s="2">
        <v>-1.5935999999999999</v>
      </c>
      <c r="T2028" s="2" t="s">
        <v>70</v>
      </c>
      <c r="U2028" s="2" t="s">
        <v>48</v>
      </c>
    </row>
    <row r="2029" spans="1:21" ht="14.25" customHeight="1" x14ac:dyDescent="0.3">
      <c r="A2029" s="2" t="s">
        <v>4309</v>
      </c>
      <c r="B2029" s="5">
        <v>42493</v>
      </c>
      <c r="C2029" s="2" t="str">
        <f>TEXT(data[[#This Row],[Order Date]],"YYYY")</f>
        <v>2016</v>
      </c>
      <c r="D2029" s="2">
        <v>42495</v>
      </c>
      <c r="E2029" s="2" t="s">
        <v>87</v>
      </c>
      <c r="F2029" s="2" t="s">
        <v>4310</v>
      </c>
      <c r="G2029" s="2" t="s">
        <v>4311</v>
      </c>
      <c r="H2029" s="2" t="s">
        <v>24</v>
      </c>
      <c r="I2029" s="2" t="s">
        <v>25</v>
      </c>
      <c r="J2029" s="2" t="s">
        <v>230</v>
      </c>
      <c r="K2029" s="2" t="s">
        <v>231</v>
      </c>
      <c r="L2029" s="2" t="s">
        <v>67</v>
      </c>
      <c r="M2029" s="2" t="s">
        <v>2055</v>
      </c>
      <c r="N2029" s="2" t="s">
        <v>30</v>
      </c>
      <c r="O2029" s="2" t="s">
        <v>56</v>
      </c>
      <c r="P2029" s="2" t="s">
        <v>2056</v>
      </c>
      <c r="Q2029" s="2">
        <v>51.968000000000004</v>
      </c>
      <c r="R2029" s="2">
        <v>2</v>
      </c>
      <c r="S2029" s="2">
        <v>10.393599999999999</v>
      </c>
      <c r="T2029" s="2" t="s">
        <v>70</v>
      </c>
      <c r="U2029" s="2" t="s">
        <v>161</v>
      </c>
    </row>
    <row r="2030" spans="1:21" ht="14.25" customHeight="1" x14ac:dyDescent="0.3">
      <c r="A2030" s="2" t="s">
        <v>4312</v>
      </c>
      <c r="B2030" s="5">
        <v>41729</v>
      </c>
      <c r="C2030" s="2" t="str">
        <f>TEXT(data[[#This Row],[Order Date]],"YYYY")</f>
        <v>2014</v>
      </c>
      <c r="D2030" s="2">
        <v>41729</v>
      </c>
      <c r="E2030" s="2" t="s">
        <v>425</v>
      </c>
      <c r="F2030" s="2" t="s">
        <v>3236</v>
      </c>
      <c r="G2030" s="2" t="s">
        <v>3237</v>
      </c>
      <c r="H2030" s="2" t="s">
        <v>24</v>
      </c>
      <c r="I2030" s="2" t="s">
        <v>25</v>
      </c>
      <c r="J2030" s="2" t="s">
        <v>303</v>
      </c>
      <c r="K2030" s="2" t="s">
        <v>43</v>
      </c>
      <c r="L2030" s="2" t="s">
        <v>28</v>
      </c>
      <c r="M2030" s="2" t="s">
        <v>329</v>
      </c>
      <c r="N2030" s="2" t="s">
        <v>30</v>
      </c>
      <c r="O2030" s="2" t="s">
        <v>36</v>
      </c>
      <c r="P2030" s="2" t="s">
        <v>330</v>
      </c>
      <c r="Q2030" s="2">
        <v>1125.4880000000001</v>
      </c>
      <c r="R2030" s="2">
        <v>7</v>
      </c>
      <c r="S2030" s="2">
        <v>98.480199999999996</v>
      </c>
      <c r="T2030" s="2" t="s">
        <v>430</v>
      </c>
      <c r="U2030" s="2" t="s">
        <v>195</v>
      </c>
    </row>
    <row r="2031" spans="1:21" ht="14.25" customHeight="1" x14ac:dyDescent="0.3">
      <c r="A2031" s="2" t="s">
        <v>4313</v>
      </c>
      <c r="B2031" s="5">
        <v>42229</v>
      </c>
      <c r="C2031" s="2" t="str">
        <f>TEXT(data[[#This Row],[Order Date]],"YYYY")</f>
        <v>2015</v>
      </c>
      <c r="D2031" s="2">
        <v>42229</v>
      </c>
      <c r="E2031" s="2" t="s">
        <v>425</v>
      </c>
      <c r="F2031" s="2" t="s">
        <v>63</v>
      </c>
      <c r="G2031" s="2" t="s">
        <v>64</v>
      </c>
      <c r="H2031" s="2" t="s">
        <v>24</v>
      </c>
      <c r="I2031" s="2" t="s">
        <v>25</v>
      </c>
      <c r="J2031" s="2" t="s">
        <v>1670</v>
      </c>
      <c r="K2031" s="2" t="s">
        <v>53</v>
      </c>
      <c r="L2031" s="2" t="s">
        <v>54</v>
      </c>
      <c r="M2031" s="2" t="s">
        <v>1577</v>
      </c>
      <c r="N2031" s="2" t="s">
        <v>30</v>
      </c>
      <c r="O2031" s="2" t="s">
        <v>56</v>
      </c>
      <c r="P2031" s="2" t="s">
        <v>1578</v>
      </c>
      <c r="Q2031" s="2">
        <v>31.56</v>
      </c>
      <c r="R2031" s="2">
        <v>3</v>
      </c>
      <c r="S2031" s="2">
        <v>10.4148</v>
      </c>
      <c r="T2031" s="2" t="s">
        <v>430</v>
      </c>
      <c r="U2031" s="2" t="s">
        <v>253</v>
      </c>
    </row>
    <row r="2032" spans="1:21" ht="14.25" customHeight="1" x14ac:dyDescent="0.3">
      <c r="A2032" s="2" t="s">
        <v>4314</v>
      </c>
      <c r="B2032" s="5">
        <v>42150</v>
      </c>
      <c r="C2032" s="2" t="str">
        <f>TEXT(data[[#This Row],[Order Date]],"YYYY")</f>
        <v>2015</v>
      </c>
      <c r="D2032" s="2">
        <v>42152</v>
      </c>
      <c r="E2032" s="2" t="s">
        <v>21</v>
      </c>
      <c r="F2032" s="2" t="s">
        <v>3580</v>
      </c>
      <c r="G2032" s="2" t="s">
        <v>3581</v>
      </c>
      <c r="H2032" s="2" t="s">
        <v>24</v>
      </c>
      <c r="I2032" s="2" t="s">
        <v>25</v>
      </c>
      <c r="J2032" s="2" t="s">
        <v>245</v>
      </c>
      <c r="K2032" s="2" t="s">
        <v>92</v>
      </c>
      <c r="L2032" s="2" t="s">
        <v>93</v>
      </c>
      <c r="M2032" s="2" t="s">
        <v>159</v>
      </c>
      <c r="N2032" s="2" t="s">
        <v>30</v>
      </c>
      <c r="O2032" s="2" t="s">
        <v>36</v>
      </c>
      <c r="P2032" s="2" t="s">
        <v>160</v>
      </c>
      <c r="Q2032" s="2">
        <v>105.68600000000001</v>
      </c>
      <c r="R2032" s="2">
        <v>1</v>
      </c>
      <c r="S2032" s="2">
        <v>-28.686199999999999</v>
      </c>
      <c r="T2032" s="2" t="s">
        <v>70</v>
      </c>
      <c r="U2032" s="2" t="s">
        <v>161</v>
      </c>
    </row>
    <row r="2033" spans="1:21" ht="14.25" customHeight="1" x14ac:dyDescent="0.3">
      <c r="A2033" s="2" t="s">
        <v>4314</v>
      </c>
      <c r="B2033" s="5">
        <v>42150</v>
      </c>
      <c r="C2033" s="2" t="str">
        <f>TEXT(data[[#This Row],[Order Date]],"YYYY")</f>
        <v>2015</v>
      </c>
      <c r="D2033" s="2">
        <v>42152</v>
      </c>
      <c r="E2033" s="2" t="s">
        <v>21</v>
      </c>
      <c r="F2033" s="2" t="s">
        <v>3580</v>
      </c>
      <c r="G2033" s="2" t="s">
        <v>3581</v>
      </c>
      <c r="H2033" s="2" t="s">
        <v>24</v>
      </c>
      <c r="I2033" s="2" t="s">
        <v>25</v>
      </c>
      <c r="J2033" s="2" t="s">
        <v>245</v>
      </c>
      <c r="K2033" s="2" t="s">
        <v>92</v>
      </c>
      <c r="L2033" s="2" t="s">
        <v>93</v>
      </c>
      <c r="M2033" s="2" t="s">
        <v>1513</v>
      </c>
      <c r="N2033" s="2" t="s">
        <v>30</v>
      </c>
      <c r="O2033" s="2" t="s">
        <v>36</v>
      </c>
      <c r="P2033" s="2" t="s">
        <v>1514</v>
      </c>
      <c r="Q2033" s="2">
        <v>104.93</v>
      </c>
      <c r="R2033" s="2">
        <v>5</v>
      </c>
      <c r="S2033" s="2">
        <v>-4.4969999999999999</v>
      </c>
      <c r="T2033" s="2" t="s">
        <v>70</v>
      </c>
      <c r="U2033" s="2" t="s">
        <v>161</v>
      </c>
    </row>
    <row r="2034" spans="1:21" ht="14.25" customHeight="1" x14ac:dyDescent="0.3">
      <c r="A2034" s="2" t="s">
        <v>4315</v>
      </c>
      <c r="B2034" s="5">
        <v>42992</v>
      </c>
      <c r="C2034" s="2" t="str">
        <f>TEXT(data[[#This Row],[Order Date]],"YYYY")</f>
        <v>2017</v>
      </c>
      <c r="D2034" s="2">
        <v>42994</v>
      </c>
      <c r="E2034" s="2" t="s">
        <v>87</v>
      </c>
      <c r="F2034" s="2" t="s">
        <v>3243</v>
      </c>
      <c r="G2034" s="2" t="s">
        <v>3244</v>
      </c>
      <c r="H2034" s="2" t="s">
        <v>100</v>
      </c>
      <c r="I2034" s="2" t="s">
        <v>25</v>
      </c>
      <c r="J2034" s="2" t="s">
        <v>173</v>
      </c>
      <c r="K2034" s="2" t="s">
        <v>120</v>
      </c>
      <c r="L2034" s="2" t="s">
        <v>67</v>
      </c>
      <c r="M2034" s="2" t="s">
        <v>2578</v>
      </c>
      <c r="N2034" s="2" t="s">
        <v>30</v>
      </c>
      <c r="O2034" s="2" t="s">
        <v>36</v>
      </c>
      <c r="P2034" s="2" t="s">
        <v>2579</v>
      </c>
      <c r="Q2034" s="2">
        <v>589.41</v>
      </c>
      <c r="R2034" s="2">
        <v>5</v>
      </c>
      <c r="S2034" s="2">
        <v>-6.5490000000000004</v>
      </c>
      <c r="T2034" s="2" t="s">
        <v>70</v>
      </c>
      <c r="U2034" s="2" t="s">
        <v>77</v>
      </c>
    </row>
    <row r="2035" spans="1:21" ht="14.25" customHeight="1" x14ac:dyDescent="0.3">
      <c r="A2035" s="2" t="s">
        <v>4316</v>
      </c>
      <c r="B2035" s="5">
        <v>42911</v>
      </c>
      <c r="C2035" s="2" t="str">
        <f>TEXT(data[[#This Row],[Order Date]],"YYYY")</f>
        <v>2017</v>
      </c>
      <c r="D2035" s="2">
        <v>42913</v>
      </c>
      <c r="E2035" s="2" t="s">
        <v>21</v>
      </c>
      <c r="F2035" s="2" t="s">
        <v>4126</v>
      </c>
      <c r="G2035" s="2" t="s">
        <v>4127</v>
      </c>
      <c r="H2035" s="2" t="s">
        <v>24</v>
      </c>
      <c r="I2035" s="2" t="s">
        <v>25</v>
      </c>
      <c r="J2035" s="2" t="s">
        <v>173</v>
      </c>
      <c r="K2035" s="2" t="s">
        <v>120</v>
      </c>
      <c r="L2035" s="2" t="s">
        <v>67</v>
      </c>
      <c r="M2035" s="2" t="s">
        <v>1695</v>
      </c>
      <c r="N2035" s="2" t="s">
        <v>30</v>
      </c>
      <c r="O2035" s="2" t="s">
        <v>31</v>
      </c>
      <c r="P2035" s="2" t="s">
        <v>1696</v>
      </c>
      <c r="Q2035" s="2">
        <v>400.78399999999999</v>
      </c>
      <c r="R2035" s="2">
        <v>1</v>
      </c>
      <c r="S2035" s="2">
        <v>-5.0098000000000003</v>
      </c>
      <c r="T2035" s="2" t="s">
        <v>70</v>
      </c>
      <c r="U2035" s="2" t="s">
        <v>59</v>
      </c>
    </row>
    <row r="2036" spans="1:21" ht="14.25" customHeight="1" x14ac:dyDescent="0.3">
      <c r="A2036" s="2" t="s">
        <v>4317</v>
      </c>
      <c r="B2036" s="5">
        <v>42579</v>
      </c>
      <c r="C2036" s="2" t="str">
        <f>TEXT(data[[#This Row],[Order Date]],"YYYY")</f>
        <v>2016</v>
      </c>
      <c r="D2036" s="2">
        <v>42583</v>
      </c>
      <c r="E2036" s="2" t="s">
        <v>39</v>
      </c>
      <c r="F2036" s="2" t="s">
        <v>4318</v>
      </c>
      <c r="G2036" s="2" t="s">
        <v>4319</v>
      </c>
      <c r="H2036" s="2" t="s">
        <v>100</v>
      </c>
      <c r="I2036" s="2" t="s">
        <v>25</v>
      </c>
      <c r="J2036" s="2" t="s">
        <v>1185</v>
      </c>
      <c r="K2036" s="2" t="s">
        <v>92</v>
      </c>
      <c r="L2036" s="2" t="s">
        <v>93</v>
      </c>
      <c r="M2036" s="2" t="s">
        <v>1128</v>
      </c>
      <c r="N2036" s="2" t="s">
        <v>30</v>
      </c>
      <c r="O2036" s="2" t="s">
        <v>56</v>
      </c>
      <c r="P2036" s="2" t="s">
        <v>1129</v>
      </c>
      <c r="Q2036" s="2">
        <v>24.7</v>
      </c>
      <c r="R2036" s="2">
        <v>5</v>
      </c>
      <c r="S2036" s="2">
        <v>-9.8800000000000008</v>
      </c>
      <c r="T2036" s="2" t="s">
        <v>83</v>
      </c>
      <c r="U2036" s="2" t="s">
        <v>71</v>
      </c>
    </row>
    <row r="2037" spans="1:21" ht="14.25" customHeight="1" x14ac:dyDescent="0.3">
      <c r="A2037" s="2" t="s">
        <v>4317</v>
      </c>
      <c r="B2037" s="5">
        <v>42579</v>
      </c>
      <c r="C2037" s="2" t="str">
        <f>TEXT(data[[#This Row],[Order Date]],"YYYY")</f>
        <v>2016</v>
      </c>
      <c r="D2037" s="2">
        <v>42583</v>
      </c>
      <c r="E2037" s="2" t="s">
        <v>39</v>
      </c>
      <c r="F2037" s="2" t="s">
        <v>4318</v>
      </c>
      <c r="G2037" s="2" t="s">
        <v>4319</v>
      </c>
      <c r="H2037" s="2" t="s">
        <v>100</v>
      </c>
      <c r="I2037" s="2" t="s">
        <v>25</v>
      </c>
      <c r="J2037" s="2" t="s">
        <v>1185</v>
      </c>
      <c r="K2037" s="2" t="s">
        <v>92</v>
      </c>
      <c r="L2037" s="2" t="s">
        <v>93</v>
      </c>
      <c r="M2037" s="2" t="s">
        <v>3676</v>
      </c>
      <c r="N2037" s="2" t="s">
        <v>30</v>
      </c>
      <c r="O2037" s="2" t="s">
        <v>56</v>
      </c>
      <c r="P2037" s="2" t="s">
        <v>3677</v>
      </c>
      <c r="Q2037" s="2">
        <v>302.72000000000003</v>
      </c>
      <c r="R2037" s="2">
        <v>5</v>
      </c>
      <c r="S2037" s="2">
        <v>-378.4</v>
      </c>
      <c r="T2037" s="2" t="s">
        <v>83</v>
      </c>
      <c r="U2037" s="2" t="s">
        <v>71</v>
      </c>
    </row>
    <row r="2038" spans="1:21" ht="14.25" customHeight="1" x14ac:dyDescent="0.3">
      <c r="A2038" s="2" t="s">
        <v>4320</v>
      </c>
      <c r="B2038" s="5">
        <v>42266</v>
      </c>
      <c r="C2038" s="2" t="str">
        <f>TEXT(data[[#This Row],[Order Date]],"YYYY")</f>
        <v>2015</v>
      </c>
      <c r="D2038" s="2">
        <v>42270</v>
      </c>
      <c r="E2038" s="2" t="s">
        <v>39</v>
      </c>
      <c r="F2038" s="2" t="s">
        <v>4321</v>
      </c>
      <c r="G2038" s="2" t="s">
        <v>4322</v>
      </c>
      <c r="H2038" s="2" t="s">
        <v>100</v>
      </c>
      <c r="I2038" s="2" t="s">
        <v>25</v>
      </c>
      <c r="J2038" s="2" t="s">
        <v>1849</v>
      </c>
      <c r="K2038" s="2" t="s">
        <v>53</v>
      </c>
      <c r="L2038" s="2" t="s">
        <v>54</v>
      </c>
      <c r="M2038" s="2" t="s">
        <v>2318</v>
      </c>
      <c r="N2038" s="2" t="s">
        <v>30</v>
      </c>
      <c r="O2038" s="2" t="s">
        <v>56</v>
      </c>
      <c r="P2038" s="2" t="s">
        <v>2319</v>
      </c>
      <c r="Q2038" s="2">
        <v>60.84</v>
      </c>
      <c r="R2038" s="2">
        <v>3</v>
      </c>
      <c r="S2038" s="2">
        <v>19.468800000000002</v>
      </c>
      <c r="T2038" s="2" t="s">
        <v>83</v>
      </c>
      <c r="U2038" s="2" t="s">
        <v>77</v>
      </c>
    </row>
    <row r="2039" spans="1:21" ht="14.25" customHeight="1" x14ac:dyDescent="0.3">
      <c r="A2039" s="2" t="s">
        <v>4323</v>
      </c>
      <c r="B2039" s="5">
        <v>42538</v>
      </c>
      <c r="C2039" s="2" t="str">
        <f>TEXT(data[[#This Row],[Order Date]],"YYYY")</f>
        <v>2016</v>
      </c>
      <c r="D2039" s="2">
        <v>42544</v>
      </c>
      <c r="E2039" s="2" t="s">
        <v>39</v>
      </c>
      <c r="F2039" s="2" t="s">
        <v>2124</v>
      </c>
      <c r="G2039" s="2" t="s">
        <v>2125</v>
      </c>
      <c r="H2039" s="2" t="s">
        <v>90</v>
      </c>
      <c r="I2039" s="2" t="s">
        <v>25</v>
      </c>
      <c r="J2039" s="2" t="s">
        <v>894</v>
      </c>
      <c r="K2039" s="2" t="s">
        <v>120</v>
      </c>
      <c r="L2039" s="2" t="s">
        <v>67</v>
      </c>
      <c r="M2039" s="2" t="s">
        <v>1328</v>
      </c>
      <c r="N2039" s="2" t="s">
        <v>30</v>
      </c>
      <c r="O2039" s="2" t="s">
        <v>45</v>
      </c>
      <c r="P2039" s="2" t="s">
        <v>1329</v>
      </c>
      <c r="Q2039" s="2">
        <v>376.86599999999999</v>
      </c>
      <c r="R2039" s="2">
        <v>3</v>
      </c>
      <c r="S2039" s="2">
        <v>-213.5574</v>
      </c>
      <c r="T2039" s="2" t="s">
        <v>129</v>
      </c>
      <c r="U2039" s="2" t="s">
        <v>59</v>
      </c>
    </row>
    <row r="2040" spans="1:21" ht="14.25" customHeight="1" x14ac:dyDescent="0.3">
      <c r="A2040" s="2" t="s">
        <v>4324</v>
      </c>
      <c r="B2040" s="5">
        <v>42506</v>
      </c>
      <c r="C2040" s="2" t="str">
        <f>TEXT(data[[#This Row],[Order Date]],"YYYY")</f>
        <v>2016</v>
      </c>
      <c r="D2040" s="2">
        <v>42509</v>
      </c>
      <c r="E2040" s="2" t="s">
        <v>21</v>
      </c>
      <c r="F2040" s="2" t="s">
        <v>507</v>
      </c>
      <c r="G2040" s="2" t="s">
        <v>508</v>
      </c>
      <c r="H2040" s="2" t="s">
        <v>24</v>
      </c>
      <c r="I2040" s="2" t="s">
        <v>25</v>
      </c>
      <c r="J2040" s="2" t="s">
        <v>52</v>
      </c>
      <c r="K2040" s="2" t="s">
        <v>53</v>
      </c>
      <c r="L2040" s="2" t="s">
        <v>54</v>
      </c>
      <c r="M2040" s="2" t="s">
        <v>2169</v>
      </c>
      <c r="N2040" s="2" t="s">
        <v>30</v>
      </c>
      <c r="O2040" s="2" t="s">
        <v>56</v>
      </c>
      <c r="P2040" s="2" t="s">
        <v>2170</v>
      </c>
      <c r="Q2040" s="2">
        <v>282.83999999999997</v>
      </c>
      <c r="R2040" s="2">
        <v>4</v>
      </c>
      <c r="S2040" s="2">
        <v>19.7988</v>
      </c>
      <c r="T2040" s="2" t="s">
        <v>33</v>
      </c>
      <c r="U2040" s="2" t="s">
        <v>161</v>
      </c>
    </row>
    <row r="2041" spans="1:21" ht="14.25" customHeight="1" x14ac:dyDescent="0.3">
      <c r="A2041" s="2" t="s">
        <v>4325</v>
      </c>
      <c r="B2041" s="5">
        <v>42915</v>
      </c>
      <c r="C2041" s="2" t="str">
        <f>TEXT(data[[#This Row],[Order Date]],"YYYY")</f>
        <v>2017</v>
      </c>
      <c r="D2041" s="2">
        <v>42916</v>
      </c>
      <c r="E2041" s="2" t="s">
        <v>87</v>
      </c>
      <c r="F2041" s="2" t="s">
        <v>3433</v>
      </c>
      <c r="G2041" s="2" t="s">
        <v>3434</v>
      </c>
      <c r="H2041" s="2" t="s">
        <v>24</v>
      </c>
      <c r="I2041" s="2" t="s">
        <v>25</v>
      </c>
      <c r="J2041" s="2" t="s">
        <v>1739</v>
      </c>
      <c r="K2041" s="2" t="s">
        <v>92</v>
      </c>
      <c r="L2041" s="2" t="s">
        <v>93</v>
      </c>
      <c r="M2041" s="2" t="s">
        <v>1627</v>
      </c>
      <c r="N2041" s="2" t="s">
        <v>30</v>
      </c>
      <c r="O2041" s="2" t="s">
        <v>45</v>
      </c>
      <c r="P2041" s="2" t="s">
        <v>1628</v>
      </c>
      <c r="Q2041" s="2">
        <v>307.31400000000002</v>
      </c>
      <c r="R2041" s="2">
        <v>3</v>
      </c>
      <c r="S2041" s="2">
        <v>-39.511800000000001</v>
      </c>
      <c r="T2041" s="2" t="s">
        <v>123</v>
      </c>
      <c r="U2041" s="2" t="s">
        <v>59</v>
      </c>
    </row>
    <row r="2042" spans="1:21" ht="14.25" customHeight="1" x14ac:dyDescent="0.3">
      <c r="A2042" s="2" t="s">
        <v>4325</v>
      </c>
      <c r="B2042" s="5">
        <v>42915</v>
      </c>
      <c r="C2042" s="2" t="str">
        <f>TEXT(data[[#This Row],[Order Date]],"YYYY")</f>
        <v>2017</v>
      </c>
      <c r="D2042" s="2">
        <v>42916</v>
      </c>
      <c r="E2042" s="2" t="s">
        <v>87</v>
      </c>
      <c r="F2042" s="2" t="s">
        <v>3433</v>
      </c>
      <c r="G2042" s="2" t="s">
        <v>3434</v>
      </c>
      <c r="H2042" s="2" t="s">
        <v>24</v>
      </c>
      <c r="I2042" s="2" t="s">
        <v>25</v>
      </c>
      <c r="J2042" s="2" t="s">
        <v>1739</v>
      </c>
      <c r="K2042" s="2" t="s">
        <v>92</v>
      </c>
      <c r="L2042" s="2" t="s">
        <v>93</v>
      </c>
      <c r="M2042" s="2" t="s">
        <v>1869</v>
      </c>
      <c r="N2042" s="2" t="s">
        <v>30</v>
      </c>
      <c r="O2042" s="2" t="s">
        <v>31</v>
      </c>
      <c r="P2042" s="2" t="s">
        <v>1870</v>
      </c>
      <c r="Q2042" s="2">
        <v>409.99919999999997</v>
      </c>
      <c r="R2042" s="2">
        <v>3</v>
      </c>
      <c r="S2042" s="2">
        <v>-96.470399999999998</v>
      </c>
      <c r="T2042" s="2" t="s">
        <v>123</v>
      </c>
      <c r="U2042" s="2" t="s">
        <v>59</v>
      </c>
    </row>
    <row r="2043" spans="1:21" ht="14.25" customHeight="1" x14ac:dyDescent="0.3">
      <c r="A2043" s="2" t="s">
        <v>4326</v>
      </c>
      <c r="B2043" s="5">
        <v>41926</v>
      </c>
      <c r="C2043" s="2" t="str">
        <f>TEXT(data[[#This Row],[Order Date]],"YYYY")</f>
        <v>2014</v>
      </c>
      <c r="D2043" s="2">
        <v>41929</v>
      </c>
      <c r="E2043" s="2" t="s">
        <v>87</v>
      </c>
      <c r="F2043" s="2" t="s">
        <v>3769</v>
      </c>
      <c r="G2043" s="2" t="s">
        <v>3770</v>
      </c>
      <c r="H2043" s="2" t="s">
        <v>24</v>
      </c>
      <c r="I2043" s="2" t="s">
        <v>25</v>
      </c>
      <c r="J2043" s="2" t="s">
        <v>1357</v>
      </c>
      <c r="K2043" s="2" t="s">
        <v>434</v>
      </c>
      <c r="L2043" s="2" t="s">
        <v>67</v>
      </c>
      <c r="M2043" s="2" t="s">
        <v>2910</v>
      </c>
      <c r="N2043" s="2" t="s">
        <v>30</v>
      </c>
      <c r="O2043" s="2" t="s">
        <v>36</v>
      </c>
      <c r="P2043" s="2" t="s">
        <v>2911</v>
      </c>
      <c r="Q2043" s="2">
        <v>1628.82</v>
      </c>
      <c r="R2043" s="2">
        <v>9</v>
      </c>
      <c r="S2043" s="2">
        <v>260.6112</v>
      </c>
      <c r="T2043" s="2" t="s">
        <v>33</v>
      </c>
      <c r="U2043" s="2" t="s">
        <v>48</v>
      </c>
    </row>
    <row r="2044" spans="1:21" ht="14.25" customHeight="1" x14ac:dyDescent="0.3">
      <c r="A2044" s="2" t="s">
        <v>4327</v>
      </c>
      <c r="B2044" s="5">
        <v>41961</v>
      </c>
      <c r="C2044" s="2" t="str">
        <f>TEXT(data[[#This Row],[Order Date]],"YYYY")</f>
        <v>2014</v>
      </c>
      <c r="D2044" s="2">
        <v>41968</v>
      </c>
      <c r="E2044" s="2" t="s">
        <v>39</v>
      </c>
      <c r="F2044" s="2" t="s">
        <v>770</v>
      </c>
      <c r="G2044" s="2" t="s">
        <v>771</v>
      </c>
      <c r="H2044" s="2" t="s">
        <v>90</v>
      </c>
      <c r="I2044" s="2" t="s">
        <v>25</v>
      </c>
      <c r="J2044" s="2" t="s">
        <v>191</v>
      </c>
      <c r="K2044" s="2" t="s">
        <v>192</v>
      </c>
      <c r="L2044" s="2" t="s">
        <v>54</v>
      </c>
      <c r="M2044" s="2" t="s">
        <v>705</v>
      </c>
      <c r="N2044" s="2" t="s">
        <v>30</v>
      </c>
      <c r="O2044" s="2" t="s">
        <v>56</v>
      </c>
      <c r="P2044" s="2" t="s">
        <v>706</v>
      </c>
      <c r="Q2044" s="2">
        <v>137.54</v>
      </c>
      <c r="R2044" s="2">
        <v>2</v>
      </c>
      <c r="S2044" s="2">
        <v>55.015999999999998</v>
      </c>
      <c r="T2044" s="2" t="s">
        <v>47</v>
      </c>
      <c r="U2044" s="2" t="s">
        <v>34</v>
      </c>
    </row>
    <row r="2045" spans="1:21" ht="14.25" customHeight="1" x14ac:dyDescent="0.3">
      <c r="A2045" s="2" t="s">
        <v>4327</v>
      </c>
      <c r="B2045" s="5">
        <v>41961</v>
      </c>
      <c r="C2045" s="2" t="str">
        <f>TEXT(data[[#This Row],[Order Date]],"YYYY")</f>
        <v>2014</v>
      </c>
      <c r="D2045" s="2">
        <v>41968</v>
      </c>
      <c r="E2045" s="2" t="s">
        <v>39</v>
      </c>
      <c r="F2045" s="2" t="s">
        <v>770</v>
      </c>
      <c r="G2045" s="2" t="s">
        <v>771</v>
      </c>
      <c r="H2045" s="2" t="s">
        <v>90</v>
      </c>
      <c r="I2045" s="2" t="s">
        <v>25</v>
      </c>
      <c r="J2045" s="2" t="s">
        <v>191</v>
      </c>
      <c r="K2045" s="2" t="s">
        <v>192</v>
      </c>
      <c r="L2045" s="2" t="s">
        <v>54</v>
      </c>
      <c r="M2045" s="2" t="s">
        <v>1234</v>
      </c>
      <c r="N2045" s="2" t="s">
        <v>30</v>
      </c>
      <c r="O2045" s="2" t="s">
        <v>45</v>
      </c>
      <c r="P2045" s="2" t="s">
        <v>1235</v>
      </c>
      <c r="Q2045" s="2">
        <v>730.2</v>
      </c>
      <c r="R2045" s="2">
        <v>4</v>
      </c>
      <c r="S2045" s="2">
        <v>94.926000000000002</v>
      </c>
      <c r="T2045" s="2" t="s">
        <v>47</v>
      </c>
      <c r="U2045" s="2" t="s">
        <v>34</v>
      </c>
    </row>
    <row r="2046" spans="1:21" ht="14.25" customHeight="1" x14ac:dyDescent="0.3">
      <c r="A2046" s="2" t="s">
        <v>4328</v>
      </c>
      <c r="B2046" s="5">
        <v>42032</v>
      </c>
      <c r="C2046" s="2" t="str">
        <f>TEXT(data[[#This Row],[Order Date]],"YYYY")</f>
        <v>2015</v>
      </c>
      <c r="D2046" s="2">
        <v>42035</v>
      </c>
      <c r="E2046" s="2" t="s">
        <v>21</v>
      </c>
      <c r="F2046" s="2" t="s">
        <v>4329</v>
      </c>
      <c r="G2046" s="2" t="s">
        <v>4330</v>
      </c>
      <c r="H2046" s="2" t="s">
        <v>24</v>
      </c>
      <c r="I2046" s="2" t="s">
        <v>25</v>
      </c>
      <c r="J2046" s="2" t="s">
        <v>509</v>
      </c>
      <c r="K2046" s="2" t="s">
        <v>1036</v>
      </c>
      <c r="L2046" s="2" t="s">
        <v>28</v>
      </c>
      <c r="M2046" s="2" t="s">
        <v>751</v>
      </c>
      <c r="N2046" s="2" t="s">
        <v>30</v>
      </c>
      <c r="O2046" s="2" t="s">
        <v>45</v>
      </c>
      <c r="P2046" s="2" t="s">
        <v>752</v>
      </c>
      <c r="Q2046" s="2">
        <v>4297.6440000000002</v>
      </c>
      <c r="R2046" s="2">
        <v>13</v>
      </c>
      <c r="S2046" s="2">
        <v>-1862.3124</v>
      </c>
      <c r="T2046" s="2" t="s">
        <v>33</v>
      </c>
      <c r="U2046" s="2" t="s">
        <v>169</v>
      </c>
    </row>
    <row r="2047" spans="1:21" ht="14.25" customHeight="1" x14ac:dyDescent="0.3">
      <c r="A2047" s="2" t="s">
        <v>4331</v>
      </c>
      <c r="B2047" s="5">
        <v>41705</v>
      </c>
      <c r="C2047" s="2" t="str">
        <f>TEXT(data[[#This Row],[Order Date]],"YYYY")</f>
        <v>2014</v>
      </c>
      <c r="D2047" s="2">
        <v>41710</v>
      </c>
      <c r="E2047" s="2" t="s">
        <v>39</v>
      </c>
      <c r="F2047" s="2" t="s">
        <v>3922</v>
      </c>
      <c r="G2047" s="2" t="s">
        <v>3923</v>
      </c>
      <c r="H2047" s="2" t="s">
        <v>90</v>
      </c>
      <c r="I2047" s="2" t="s">
        <v>25</v>
      </c>
      <c r="J2047" s="2" t="s">
        <v>191</v>
      </c>
      <c r="K2047" s="2" t="s">
        <v>192</v>
      </c>
      <c r="L2047" s="2" t="s">
        <v>54</v>
      </c>
      <c r="M2047" s="2" t="s">
        <v>4242</v>
      </c>
      <c r="N2047" s="2" t="s">
        <v>30</v>
      </c>
      <c r="O2047" s="2" t="s">
        <v>36</v>
      </c>
      <c r="P2047" s="2" t="s">
        <v>4243</v>
      </c>
      <c r="Q2047" s="2">
        <v>436.70400000000001</v>
      </c>
      <c r="R2047" s="2">
        <v>6</v>
      </c>
      <c r="S2047" s="2">
        <v>21.8352</v>
      </c>
      <c r="T2047" s="2" t="s">
        <v>58</v>
      </c>
      <c r="U2047" s="2" t="s">
        <v>195</v>
      </c>
    </row>
    <row r="2048" spans="1:21" ht="14.25" customHeight="1" x14ac:dyDescent="0.3">
      <c r="A2048" s="2" t="s">
        <v>4331</v>
      </c>
      <c r="B2048" s="5">
        <v>41705</v>
      </c>
      <c r="C2048" s="2" t="str">
        <f>TEXT(data[[#This Row],[Order Date]],"YYYY")</f>
        <v>2014</v>
      </c>
      <c r="D2048" s="2">
        <v>41710</v>
      </c>
      <c r="E2048" s="2" t="s">
        <v>39</v>
      </c>
      <c r="F2048" s="2" t="s">
        <v>3922</v>
      </c>
      <c r="G2048" s="2" t="s">
        <v>3923</v>
      </c>
      <c r="H2048" s="2" t="s">
        <v>90</v>
      </c>
      <c r="I2048" s="2" t="s">
        <v>25</v>
      </c>
      <c r="J2048" s="2" t="s">
        <v>191</v>
      </c>
      <c r="K2048" s="2" t="s">
        <v>192</v>
      </c>
      <c r="L2048" s="2" t="s">
        <v>54</v>
      </c>
      <c r="M2048" s="2" t="s">
        <v>2334</v>
      </c>
      <c r="N2048" s="2" t="s">
        <v>30</v>
      </c>
      <c r="O2048" s="2" t="s">
        <v>36</v>
      </c>
      <c r="P2048" s="2" t="s">
        <v>2335</v>
      </c>
      <c r="Q2048" s="2">
        <v>481.56799999999998</v>
      </c>
      <c r="R2048" s="2">
        <v>2</v>
      </c>
      <c r="S2048" s="2">
        <v>54.176400000000001</v>
      </c>
      <c r="T2048" s="2" t="s">
        <v>58</v>
      </c>
      <c r="U2048" s="2" t="s">
        <v>195</v>
      </c>
    </row>
    <row r="2049" spans="1:21" ht="14.25" customHeight="1" x14ac:dyDescent="0.3">
      <c r="A2049" s="2" t="s">
        <v>4332</v>
      </c>
      <c r="B2049" s="5">
        <v>42700</v>
      </c>
      <c r="C2049" s="2" t="str">
        <f>TEXT(data[[#This Row],[Order Date]],"YYYY")</f>
        <v>2016</v>
      </c>
      <c r="D2049" s="2">
        <v>42704</v>
      </c>
      <c r="E2049" s="2" t="s">
        <v>39</v>
      </c>
      <c r="F2049" s="2" t="s">
        <v>1681</v>
      </c>
      <c r="G2049" s="2" t="s">
        <v>1682</v>
      </c>
      <c r="H2049" s="2" t="s">
        <v>24</v>
      </c>
      <c r="I2049" s="2" t="s">
        <v>25</v>
      </c>
      <c r="J2049" s="2" t="s">
        <v>52</v>
      </c>
      <c r="K2049" s="2" t="s">
        <v>53</v>
      </c>
      <c r="L2049" s="2" t="s">
        <v>54</v>
      </c>
      <c r="M2049" s="2" t="s">
        <v>1695</v>
      </c>
      <c r="N2049" s="2" t="s">
        <v>30</v>
      </c>
      <c r="O2049" s="2" t="s">
        <v>31</v>
      </c>
      <c r="P2049" s="2" t="s">
        <v>1696</v>
      </c>
      <c r="Q2049" s="2">
        <v>3406.6640000000002</v>
      </c>
      <c r="R2049" s="2">
        <v>8</v>
      </c>
      <c r="S2049" s="2">
        <v>160.31360000000001</v>
      </c>
      <c r="T2049" s="2" t="s">
        <v>83</v>
      </c>
      <c r="U2049" s="2" t="s">
        <v>34</v>
      </c>
    </row>
    <row r="2050" spans="1:21" ht="14.25" customHeight="1" x14ac:dyDescent="0.3">
      <c r="A2050" s="2" t="s">
        <v>4332</v>
      </c>
      <c r="B2050" s="5">
        <v>42700</v>
      </c>
      <c r="C2050" s="2" t="str">
        <f>TEXT(data[[#This Row],[Order Date]],"YYYY")</f>
        <v>2016</v>
      </c>
      <c r="D2050" s="2">
        <v>42704</v>
      </c>
      <c r="E2050" s="2" t="s">
        <v>39</v>
      </c>
      <c r="F2050" s="2" t="s">
        <v>1681</v>
      </c>
      <c r="G2050" s="2" t="s">
        <v>1682</v>
      </c>
      <c r="H2050" s="2" t="s">
        <v>24</v>
      </c>
      <c r="I2050" s="2" t="s">
        <v>25</v>
      </c>
      <c r="J2050" s="2" t="s">
        <v>52</v>
      </c>
      <c r="K2050" s="2" t="s">
        <v>53</v>
      </c>
      <c r="L2050" s="2" t="s">
        <v>54</v>
      </c>
      <c r="M2050" s="2" t="s">
        <v>1400</v>
      </c>
      <c r="N2050" s="2" t="s">
        <v>30</v>
      </c>
      <c r="O2050" s="2" t="s">
        <v>56</v>
      </c>
      <c r="P2050" s="2" t="s">
        <v>1401</v>
      </c>
      <c r="Q2050" s="2">
        <v>595.38</v>
      </c>
      <c r="R2050" s="2">
        <v>6</v>
      </c>
      <c r="S2050" s="2">
        <v>297.69</v>
      </c>
      <c r="T2050" s="2" t="s">
        <v>83</v>
      </c>
      <c r="U2050" s="2" t="s">
        <v>34</v>
      </c>
    </row>
    <row r="2051" spans="1:21" ht="14.25" customHeight="1" x14ac:dyDescent="0.3">
      <c r="A2051" s="2" t="s">
        <v>4333</v>
      </c>
      <c r="B2051" s="5">
        <v>41904</v>
      </c>
      <c r="C2051" s="2" t="str">
        <f>TEXT(data[[#This Row],[Order Date]],"YYYY")</f>
        <v>2014</v>
      </c>
      <c r="D2051" s="2">
        <v>41911</v>
      </c>
      <c r="E2051" s="2" t="s">
        <v>39</v>
      </c>
      <c r="F2051" s="2" t="s">
        <v>1625</v>
      </c>
      <c r="G2051" s="2" t="s">
        <v>1626</v>
      </c>
      <c r="H2051" s="2" t="s">
        <v>24</v>
      </c>
      <c r="I2051" s="2" t="s">
        <v>25</v>
      </c>
      <c r="J2051" s="2" t="s">
        <v>173</v>
      </c>
      <c r="K2051" s="2" t="s">
        <v>120</v>
      </c>
      <c r="L2051" s="2" t="s">
        <v>67</v>
      </c>
      <c r="M2051" s="2" t="s">
        <v>2055</v>
      </c>
      <c r="N2051" s="2" t="s">
        <v>30</v>
      </c>
      <c r="O2051" s="2" t="s">
        <v>56</v>
      </c>
      <c r="P2051" s="2" t="s">
        <v>2056</v>
      </c>
      <c r="Q2051" s="2">
        <v>97.44</v>
      </c>
      <c r="R2051" s="2">
        <v>3</v>
      </c>
      <c r="S2051" s="2">
        <v>35.078400000000002</v>
      </c>
      <c r="T2051" s="2" t="s">
        <v>47</v>
      </c>
      <c r="U2051" s="2" t="s">
        <v>77</v>
      </c>
    </row>
    <row r="2052" spans="1:21" ht="14.25" customHeight="1" x14ac:dyDescent="0.3">
      <c r="A2052" s="2" t="s">
        <v>4333</v>
      </c>
      <c r="B2052" s="5">
        <v>41904</v>
      </c>
      <c r="C2052" s="2" t="str">
        <f>TEXT(data[[#This Row],[Order Date]],"YYYY")</f>
        <v>2014</v>
      </c>
      <c r="D2052" s="2">
        <v>41911</v>
      </c>
      <c r="E2052" s="2" t="s">
        <v>39</v>
      </c>
      <c r="F2052" s="2" t="s">
        <v>1625</v>
      </c>
      <c r="G2052" s="2" t="s">
        <v>1626</v>
      </c>
      <c r="H2052" s="2" t="s">
        <v>24</v>
      </c>
      <c r="I2052" s="2" t="s">
        <v>25</v>
      </c>
      <c r="J2052" s="2" t="s">
        <v>173</v>
      </c>
      <c r="K2052" s="2" t="s">
        <v>120</v>
      </c>
      <c r="L2052" s="2" t="s">
        <v>67</v>
      </c>
      <c r="M2052" s="2" t="s">
        <v>2549</v>
      </c>
      <c r="N2052" s="2" t="s">
        <v>30</v>
      </c>
      <c r="O2052" s="2" t="s">
        <v>36</v>
      </c>
      <c r="P2052" s="2" t="s">
        <v>2550</v>
      </c>
      <c r="Q2052" s="2">
        <v>579.52800000000002</v>
      </c>
      <c r="R2052" s="2">
        <v>4</v>
      </c>
      <c r="S2052" s="2">
        <v>83.709599999999995</v>
      </c>
      <c r="T2052" s="2" t="s">
        <v>47</v>
      </c>
      <c r="U2052" s="2" t="s">
        <v>77</v>
      </c>
    </row>
    <row r="2053" spans="1:21" ht="14.25" customHeight="1" x14ac:dyDescent="0.3">
      <c r="A2053" s="2" t="s">
        <v>4334</v>
      </c>
      <c r="B2053" s="5">
        <v>43055</v>
      </c>
      <c r="C2053" s="2" t="str">
        <f>TEXT(data[[#This Row],[Order Date]],"YYYY")</f>
        <v>2017</v>
      </c>
      <c r="D2053" s="2">
        <v>43059</v>
      </c>
      <c r="E2053" s="2" t="s">
        <v>39</v>
      </c>
      <c r="F2053" s="2" t="s">
        <v>221</v>
      </c>
      <c r="G2053" s="2" t="s">
        <v>222</v>
      </c>
      <c r="H2053" s="2" t="s">
        <v>24</v>
      </c>
      <c r="I2053" s="2" t="s">
        <v>25</v>
      </c>
      <c r="J2053" s="2" t="s">
        <v>52</v>
      </c>
      <c r="K2053" s="2" t="s">
        <v>53</v>
      </c>
      <c r="L2053" s="2" t="s">
        <v>54</v>
      </c>
      <c r="M2053" s="2" t="s">
        <v>1123</v>
      </c>
      <c r="N2053" s="2" t="s">
        <v>30</v>
      </c>
      <c r="O2053" s="2" t="s">
        <v>56</v>
      </c>
      <c r="P2053" s="2" t="s">
        <v>1124</v>
      </c>
      <c r="Q2053" s="2">
        <v>119.94</v>
      </c>
      <c r="R2053" s="2">
        <v>3</v>
      </c>
      <c r="S2053" s="2">
        <v>23.988</v>
      </c>
      <c r="T2053" s="2" t="s">
        <v>83</v>
      </c>
      <c r="U2053" s="2" t="s">
        <v>34</v>
      </c>
    </row>
    <row r="2054" spans="1:21" ht="14.25" customHeight="1" x14ac:dyDescent="0.3">
      <c r="A2054" s="2" t="s">
        <v>4334</v>
      </c>
      <c r="B2054" s="5">
        <v>43055</v>
      </c>
      <c r="C2054" s="2" t="str">
        <f>TEXT(data[[#This Row],[Order Date]],"YYYY")</f>
        <v>2017</v>
      </c>
      <c r="D2054" s="2">
        <v>43059</v>
      </c>
      <c r="E2054" s="2" t="s">
        <v>39</v>
      </c>
      <c r="F2054" s="2" t="s">
        <v>221</v>
      </c>
      <c r="G2054" s="2" t="s">
        <v>222</v>
      </c>
      <c r="H2054" s="2" t="s">
        <v>24</v>
      </c>
      <c r="I2054" s="2" t="s">
        <v>25</v>
      </c>
      <c r="J2054" s="2" t="s">
        <v>52</v>
      </c>
      <c r="K2054" s="2" t="s">
        <v>53</v>
      </c>
      <c r="L2054" s="2" t="s">
        <v>54</v>
      </c>
      <c r="M2054" s="2" t="s">
        <v>1980</v>
      </c>
      <c r="N2054" s="2" t="s">
        <v>30</v>
      </c>
      <c r="O2054" s="2" t="s">
        <v>56</v>
      </c>
      <c r="P2054" s="2" t="s">
        <v>1981</v>
      </c>
      <c r="Q2054" s="2">
        <v>12.42</v>
      </c>
      <c r="R2054" s="2">
        <v>3</v>
      </c>
      <c r="S2054" s="2">
        <v>4.4711999999999996</v>
      </c>
      <c r="T2054" s="2" t="s">
        <v>83</v>
      </c>
      <c r="U2054" s="2" t="s">
        <v>34</v>
      </c>
    </row>
    <row r="2055" spans="1:21" ht="14.25" customHeight="1" x14ac:dyDescent="0.3">
      <c r="A2055" s="2" t="s">
        <v>4335</v>
      </c>
      <c r="B2055" s="5">
        <v>42496</v>
      </c>
      <c r="C2055" s="2" t="str">
        <f>TEXT(data[[#This Row],[Order Date]],"YYYY")</f>
        <v>2016</v>
      </c>
      <c r="D2055" s="2">
        <v>42500</v>
      </c>
      <c r="E2055" s="2" t="s">
        <v>39</v>
      </c>
      <c r="F2055" s="2" t="s">
        <v>3859</v>
      </c>
      <c r="G2055" s="2" t="s">
        <v>3860</v>
      </c>
      <c r="H2055" s="2" t="s">
        <v>24</v>
      </c>
      <c r="I2055" s="2" t="s">
        <v>25</v>
      </c>
      <c r="J2055" s="2" t="s">
        <v>2085</v>
      </c>
      <c r="K2055" s="2" t="s">
        <v>53</v>
      </c>
      <c r="L2055" s="2" t="s">
        <v>54</v>
      </c>
      <c r="M2055" s="2" t="s">
        <v>1553</v>
      </c>
      <c r="N2055" s="2" t="s">
        <v>30</v>
      </c>
      <c r="O2055" s="2" t="s">
        <v>56</v>
      </c>
      <c r="P2055" s="2" t="s">
        <v>1554</v>
      </c>
      <c r="Q2055" s="2">
        <v>41.6</v>
      </c>
      <c r="R2055" s="2">
        <v>4</v>
      </c>
      <c r="S2055" s="2">
        <v>14.144</v>
      </c>
      <c r="T2055" s="2" t="s">
        <v>83</v>
      </c>
      <c r="U2055" s="2" t="s">
        <v>161</v>
      </c>
    </row>
    <row r="2056" spans="1:21" ht="14.25" customHeight="1" x14ac:dyDescent="0.3">
      <c r="A2056" s="2" t="s">
        <v>4336</v>
      </c>
      <c r="B2056" s="5">
        <v>43082</v>
      </c>
      <c r="C2056" s="2" t="str">
        <f>TEXT(data[[#This Row],[Order Date]],"YYYY")</f>
        <v>2017</v>
      </c>
      <c r="D2056" s="2">
        <v>43087</v>
      </c>
      <c r="E2056" s="2" t="s">
        <v>39</v>
      </c>
      <c r="F2056" s="2" t="s">
        <v>2063</v>
      </c>
      <c r="G2056" s="2" t="s">
        <v>2064</v>
      </c>
      <c r="H2056" s="2" t="s">
        <v>24</v>
      </c>
      <c r="I2056" s="2" t="s">
        <v>25</v>
      </c>
      <c r="J2056" s="2" t="s">
        <v>328</v>
      </c>
      <c r="K2056" s="2" t="s">
        <v>53</v>
      </c>
      <c r="L2056" s="2" t="s">
        <v>54</v>
      </c>
      <c r="M2056" s="2" t="s">
        <v>1290</v>
      </c>
      <c r="N2056" s="2" t="s">
        <v>30</v>
      </c>
      <c r="O2056" s="2" t="s">
        <v>56</v>
      </c>
      <c r="P2056" s="2" t="s">
        <v>1758</v>
      </c>
      <c r="Q2056" s="2">
        <v>201.04</v>
      </c>
      <c r="R2056" s="2">
        <v>8</v>
      </c>
      <c r="S2056" s="2">
        <v>54.280799999999999</v>
      </c>
      <c r="T2056" s="2" t="s">
        <v>58</v>
      </c>
      <c r="U2056" s="2" t="s">
        <v>96</v>
      </c>
    </row>
    <row r="2057" spans="1:21" ht="14.25" customHeight="1" x14ac:dyDescent="0.3">
      <c r="A2057" s="2" t="s">
        <v>4337</v>
      </c>
      <c r="B2057" s="5">
        <v>42321</v>
      </c>
      <c r="C2057" s="2" t="str">
        <f>TEXT(data[[#This Row],[Order Date]],"YYYY")</f>
        <v>2015</v>
      </c>
      <c r="D2057" s="2">
        <v>42325</v>
      </c>
      <c r="E2057" s="2" t="s">
        <v>39</v>
      </c>
      <c r="F2057" s="2" t="s">
        <v>403</v>
      </c>
      <c r="G2057" s="2" t="s">
        <v>404</v>
      </c>
      <c r="H2057" s="2" t="s">
        <v>24</v>
      </c>
      <c r="I2057" s="2" t="s">
        <v>25</v>
      </c>
      <c r="J2057" s="2" t="s">
        <v>101</v>
      </c>
      <c r="K2057" s="2" t="s">
        <v>92</v>
      </c>
      <c r="L2057" s="2" t="s">
        <v>93</v>
      </c>
      <c r="M2057" s="2" t="s">
        <v>999</v>
      </c>
      <c r="N2057" s="2" t="s">
        <v>30</v>
      </c>
      <c r="O2057" s="2" t="s">
        <v>31</v>
      </c>
      <c r="P2057" s="2" t="s">
        <v>1000</v>
      </c>
      <c r="Q2057" s="2">
        <v>613.99919999999997</v>
      </c>
      <c r="R2057" s="2">
        <v>3</v>
      </c>
      <c r="S2057" s="2">
        <v>-18.058800000000002</v>
      </c>
      <c r="T2057" s="2" t="s">
        <v>83</v>
      </c>
      <c r="U2057" s="2" t="s">
        <v>34</v>
      </c>
    </row>
    <row r="2058" spans="1:21" ht="14.25" customHeight="1" x14ac:dyDescent="0.3">
      <c r="A2058" s="2" t="s">
        <v>4338</v>
      </c>
      <c r="B2058" s="5">
        <v>42440</v>
      </c>
      <c r="C2058" s="2" t="str">
        <f>TEXT(data[[#This Row],[Order Date]],"YYYY")</f>
        <v>2016</v>
      </c>
      <c r="D2058" s="2">
        <v>42440</v>
      </c>
      <c r="E2058" s="2" t="s">
        <v>425</v>
      </c>
      <c r="F2058" s="2" t="s">
        <v>4339</v>
      </c>
      <c r="G2058" s="2" t="s">
        <v>4340</v>
      </c>
      <c r="H2058" s="2" t="s">
        <v>100</v>
      </c>
      <c r="I2058" s="2" t="s">
        <v>25</v>
      </c>
      <c r="J2058" s="2" t="s">
        <v>65</v>
      </c>
      <c r="K2058" s="2" t="s">
        <v>66</v>
      </c>
      <c r="L2058" s="2" t="s">
        <v>67</v>
      </c>
      <c r="M2058" s="2" t="s">
        <v>1595</v>
      </c>
      <c r="N2058" s="2" t="s">
        <v>30</v>
      </c>
      <c r="O2058" s="2" t="s">
        <v>56</v>
      </c>
      <c r="P2058" s="2" t="s">
        <v>1596</v>
      </c>
      <c r="Q2058" s="2">
        <v>30.335999999999999</v>
      </c>
      <c r="R2058" s="2">
        <v>4</v>
      </c>
      <c r="S2058" s="2">
        <v>9.48</v>
      </c>
      <c r="T2058" s="2" t="s">
        <v>430</v>
      </c>
      <c r="U2058" s="2" t="s">
        <v>195</v>
      </c>
    </row>
    <row r="2059" spans="1:21" ht="14.25" customHeight="1" x14ac:dyDescent="0.3">
      <c r="A2059" s="2" t="s">
        <v>4341</v>
      </c>
      <c r="B2059" s="5">
        <v>42664</v>
      </c>
      <c r="C2059" s="2" t="str">
        <f>TEXT(data[[#This Row],[Order Date]],"YYYY")</f>
        <v>2016</v>
      </c>
      <c r="D2059" s="2">
        <v>42670</v>
      </c>
      <c r="E2059" s="2" t="s">
        <v>39</v>
      </c>
      <c r="F2059" s="2" t="s">
        <v>628</v>
      </c>
      <c r="G2059" s="2" t="s">
        <v>629</v>
      </c>
      <c r="H2059" s="2" t="s">
        <v>24</v>
      </c>
      <c r="I2059" s="2" t="s">
        <v>25</v>
      </c>
      <c r="J2059" s="2" t="s">
        <v>52</v>
      </c>
      <c r="K2059" s="2" t="s">
        <v>53</v>
      </c>
      <c r="L2059" s="2" t="s">
        <v>54</v>
      </c>
      <c r="M2059" s="2" t="s">
        <v>3017</v>
      </c>
      <c r="N2059" s="2" t="s">
        <v>30</v>
      </c>
      <c r="O2059" s="2" t="s">
        <v>36</v>
      </c>
      <c r="P2059" s="2" t="s">
        <v>3018</v>
      </c>
      <c r="Q2059" s="2">
        <v>242.136</v>
      </c>
      <c r="R2059" s="2">
        <v>3</v>
      </c>
      <c r="S2059" s="2">
        <v>12.1068</v>
      </c>
      <c r="T2059" s="2" t="s">
        <v>129</v>
      </c>
      <c r="U2059" s="2" t="s">
        <v>48</v>
      </c>
    </row>
    <row r="2060" spans="1:21" ht="14.25" customHeight="1" x14ac:dyDescent="0.3">
      <c r="A2060" s="2" t="s">
        <v>4341</v>
      </c>
      <c r="B2060" s="5">
        <v>42664</v>
      </c>
      <c r="C2060" s="2" t="str">
        <f>TEXT(data[[#This Row],[Order Date]],"YYYY")</f>
        <v>2016</v>
      </c>
      <c r="D2060" s="2">
        <v>42670</v>
      </c>
      <c r="E2060" s="2" t="s">
        <v>39</v>
      </c>
      <c r="F2060" s="2" t="s">
        <v>628</v>
      </c>
      <c r="G2060" s="2" t="s">
        <v>629</v>
      </c>
      <c r="H2060" s="2" t="s">
        <v>24</v>
      </c>
      <c r="I2060" s="2" t="s">
        <v>25</v>
      </c>
      <c r="J2060" s="2" t="s">
        <v>52</v>
      </c>
      <c r="K2060" s="2" t="s">
        <v>53</v>
      </c>
      <c r="L2060" s="2" t="s">
        <v>54</v>
      </c>
      <c r="M2060" s="2" t="s">
        <v>2659</v>
      </c>
      <c r="N2060" s="2" t="s">
        <v>30</v>
      </c>
      <c r="O2060" s="2" t="s">
        <v>56</v>
      </c>
      <c r="P2060" s="2" t="s">
        <v>2660</v>
      </c>
      <c r="Q2060" s="2">
        <v>19.96</v>
      </c>
      <c r="R2060" s="2">
        <v>2</v>
      </c>
      <c r="S2060" s="2">
        <v>5.5888</v>
      </c>
      <c r="T2060" s="2" t="s">
        <v>129</v>
      </c>
      <c r="U2060" s="2" t="s">
        <v>48</v>
      </c>
    </row>
    <row r="2061" spans="1:21" ht="14.25" customHeight="1" x14ac:dyDescent="0.3">
      <c r="A2061" s="2" t="s">
        <v>4342</v>
      </c>
      <c r="B2061" s="5">
        <v>41948</v>
      </c>
      <c r="C2061" s="2" t="str">
        <f>TEXT(data[[#This Row],[Order Date]],"YYYY")</f>
        <v>2014</v>
      </c>
      <c r="D2061" s="2">
        <v>41953</v>
      </c>
      <c r="E2061" s="2" t="s">
        <v>39</v>
      </c>
      <c r="F2061" s="2" t="s">
        <v>1383</v>
      </c>
      <c r="G2061" s="2" t="s">
        <v>1384</v>
      </c>
      <c r="H2061" s="2" t="s">
        <v>24</v>
      </c>
      <c r="I2061" s="2" t="s">
        <v>25</v>
      </c>
      <c r="J2061" s="2" t="s">
        <v>65</v>
      </c>
      <c r="K2061" s="2" t="s">
        <v>66</v>
      </c>
      <c r="L2061" s="2" t="s">
        <v>67</v>
      </c>
      <c r="M2061" s="2" t="s">
        <v>1831</v>
      </c>
      <c r="N2061" s="2" t="s">
        <v>30</v>
      </c>
      <c r="O2061" s="2" t="s">
        <v>56</v>
      </c>
      <c r="P2061" s="2" t="s">
        <v>1832</v>
      </c>
      <c r="Q2061" s="2">
        <v>273.56799999999998</v>
      </c>
      <c r="R2061" s="2">
        <v>2</v>
      </c>
      <c r="S2061" s="2">
        <v>-34.195999999999998</v>
      </c>
      <c r="T2061" s="2" t="s">
        <v>58</v>
      </c>
      <c r="U2061" s="2" t="s">
        <v>34</v>
      </c>
    </row>
    <row r="2062" spans="1:21" ht="14.25" customHeight="1" x14ac:dyDescent="0.3">
      <c r="A2062" s="2" t="s">
        <v>4343</v>
      </c>
      <c r="B2062" s="5">
        <v>42635</v>
      </c>
      <c r="C2062" s="2" t="str">
        <f>TEXT(data[[#This Row],[Order Date]],"YYYY")</f>
        <v>2016</v>
      </c>
      <c r="D2062" s="2">
        <v>42639</v>
      </c>
      <c r="E2062" s="2" t="s">
        <v>39</v>
      </c>
      <c r="F2062" s="2" t="s">
        <v>3078</v>
      </c>
      <c r="G2062" s="2" t="s">
        <v>3079</v>
      </c>
      <c r="H2062" s="2" t="s">
        <v>90</v>
      </c>
      <c r="I2062" s="2" t="s">
        <v>25</v>
      </c>
      <c r="J2062" s="2" t="s">
        <v>4147</v>
      </c>
      <c r="K2062" s="2" t="s">
        <v>238</v>
      </c>
      <c r="L2062" s="2" t="s">
        <v>93</v>
      </c>
      <c r="M2062" s="2" t="s">
        <v>2204</v>
      </c>
      <c r="N2062" s="2" t="s">
        <v>30</v>
      </c>
      <c r="O2062" s="2" t="s">
        <v>56</v>
      </c>
      <c r="P2062" s="2" t="s">
        <v>2205</v>
      </c>
      <c r="Q2062" s="2">
        <v>18.96</v>
      </c>
      <c r="R2062" s="2">
        <v>2</v>
      </c>
      <c r="S2062" s="2">
        <v>7.5839999999999996</v>
      </c>
      <c r="T2062" s="2" t="s">
        <v>83</v>
      </c>
      <c r="U2062" s="2" t="s">
        <v>77</v>
      </c>
    </row>
    <row r="2063" spans="1:21" ht="14.25" customHeight="1" x14ac:dyDescent="0.3">
      <c r="A2063" s="2" t="s">
        <v>4344</v>
      </c>
      <c r="B2063" s="5">
        <v>42416</v>
      </c>
      <c r="C2063" s="2" t="str">
        <f>TEXT(data[[#This Row],[Order Date]],"YYYY")</f>
        <v>2016</v>
      </c>
      <c r="D2063" s="2">
        <v>42420</v>
      </c>
      <c r="E2063" s="2" t="s">
        <v>39</v>
      </c>
      <c r="F2063" s="2" t="s">
        <v>2211</v>
      </c>
      <c r="G2063" s="2" t="s">
        <v>2212</v>
      </c>
      <c r="H2063" s="2" t="s">
        <v>24</v>
      </c>
      <c r="I2063" s="2" t="s">
        <v>25</v>
      </c>
      <c r="J2063" s="2" t="s">
        <v>173</v>
      </c>
      <c r="K2063" s="2" t="s">
        <v>120</v>
      </c>
      <c r="L2063" s="2" t="s">
        <v>67</v>
      </c>
      <c r="M2063" s="2" t="s">
        <v>2988</v>
      </c>
      <c r="N2063" s="2" t="s">
        <v>30</v>
      </c>
      <c r="O2063" s="2" t="s">
        <v>36</v>
      </c>
      <c r="P2063" s="2" t="s">
        <v>2989</v>
      </c>
      <c r="Q2063" s="2">
        <v>326.64600000000002</v>
      </c>
      <c r="R2063" s="2">
        <v>3</v>
      </c>
      <c r="S2063" s="2">
        <v>39.923400000000001</v>
      </c>
      <c r="T2063" s="2" t="s">
        <v>83</v>
      </c>
      <c r="U2063" s="2" t="s">
        <v>297</v>
      </c>
    </row>
    <row r="2064" spans="1:21" ht="14.25" customHeight="1" x14ac:dyDescent="0.3">
      <c r="A2064" s="2" t="s">
        <v>4345</v>
      </c>
      <c r="B2064" s="5">
        <v>41871</v>
      </c>
      <c r="C2064" s="2" t="str">
        <f>TEXT(data[[#This Row],[Order Date]],"YYYY")</f>
        <v>2014</v>
      </c>
      <c r="D2064" s="2">
        <v>41876</v>
      </c>
      <c r="E2064" s="2" t="s">
        <v>39</v>
      </c>
      <c r="F2064" s="2" t="s">
        <v>2741</v>
      </c>
      <c r="G2064" s="2" t="s">
        <v>2742</v>
      </c>
      <c r="H2064" s="2" t="s">
        <v>90</v>
      </c>
      <c r="I2064" s="2" t="s">
        <v>25</v>
      </c>
      <c r="J2064" s="2" t="s">
        <v>2850</v>
      </c>
      <c r="K2064" s="2" t="s">
        <v>716</v>
      </c>
      <c r="L2064" s="2" t="s">
        <v>28</v>
      </c>
      <c r="M2064" s="2" t="s">
        <v>2218</v>
      </c>
      <c r="N2064" s="2" t="s">
        <v>30</v>
      </c>
      <c r="O2064" s="2" t="s">
        <v>36</v>
      </c>
      <c r="P2064" s="2" t="s">
        <v>2219</v>
      </c>
      <c r="Q2064" s="2">
        <v>500.24</v>
      </c>
      <c r="R2064" s="2">
        <v>13</v>
      </c>
      <c r="S2064" s="2">
        <v>145.06960000000001</v>
      </c>
      <c r="T2064" s="2" t="s">
        <v>58</v>
      </c>
      <c r="U2064" s="2" t="s">
        <v>253</v>
      </c>
    </row>
    <row r="2065" spans="1:21" ht="14.25" customHeight="1" x14ac:dyDescent="0.3">
      <c r="A2065" s="2" t="s">
        <v>4346</v>
      </c>
      <c r="B2065" s="5">
        <v>42316</v>
      </c>
      <c r="C2065" s="2" t="str">
        <f>TEXT(data[[#This Row],[Order Date]],"YYYY")</f>
        <v>2015</v>
      </c>
      <c r="D2065" s="2">
        <v>42320</v>
      </c>
      <c r="E2065" s="2" t="s">
        <v>39</v>
      </c>
      <c r="F2065" s="2" t="s">
        <v>4347</v>
      </c>
      <c r="G2065" s="2" t="s">
        <v>4348</v>
      </c>
      <c r="H2065" s="2" t="s">
        <v>90</v>
      </c>
      <c r="I2065" s="2" t="s">
        <v>25</v>
      </c>
      <c r="J2065" s="2" t="s">
        <v>3031</v>
      </c>
      <c r="K2065" s="2" t="s">
        <v>3106</v>
      </c>
      <c r="L2065" s="2" t="s">
        <v>67</v>
      </c>
      <c r="M2065" s="2" t="s">
        <v>81</v>
      </c>
      <c r="N2065" s="2" t="s">
        <v>30</v>
      </c>
      <c r="O2065" s="2" t="s">
        <v>31</v>
      </c>
      <c r="P2065" s="2" t="s">
        <v>82</v>
      </c>
      <c r="Q2065" s="2">
        <v>4404.8999999999996</v>
      </c>
      <c r="R2065" s="2">
        <v>5</v>
      </c>
      <c r="S2065" s="2">
        <v>1013.127</v>
      </c>
      <c r="T2065" s="2" t="s">
        <v>83</v>
      </c>
      <c r="U2065" s="2" t="s">
        <v>34</v>
      </c>
    </row>
    <row r="2066" spans="1:21" ht="14.25" customHeight="1" x14ac:dyDescent="0.3">
      <c r="A2066" s="2" t="s">
        <v>4349</v>
      </c>
      <c r="B2066" s="5">
        <v>43063</v>
      </c>
      <c r="C2066" s="2" t="str">
        <f>TEXT(data[[#This Row],[Order Date]],"YYYY")</f>
        <v>2017</v>
      </c>
      <c r="D2066" s="2">
        <v>43063</v>
      </c>
      <c r="E2066" s="2" t="s">
        <v>425</v>
      </c>
      <c r="F2066" s="2" t="s">
        <v>1207</v>
      </c>
      <c r="G2066" s="2" t="s">
        <v>1208</v>
      </c>
      <c r="H2066" s="2" t="s">
        <v>24</v>
      </c>
      <c r="I2066" s="2" t="s">
        <v>25</v>
      </c>
      <c r="J2066" s="2" t="s">
        <v>52</v>
      </c>
      <c r="K2066" s="2" t="s">
        <v>53</v>
      </c>
      <c r="L2066" s="2" t="s">
        <v>54</v>
      </c>
      <c r="M2066" s="2" t="s">
        <v>441</v>
      </c>
      <c r="N2066" s="2" t="s">
        <v>30</v>
      </c>
      <c r="O2066" s="2" t="s">
        <v>45</v>
      </c>
      <c r="P2066" s="2" t="s">
        <v>442</v>
      </c>
      <c r="Q2066" s="2">
        <v>364.08</v>
      </c>
      <c r="R2066" s="2">
        <v>2</v>
      </c>
      <c r="S2066" s="2">
        <v>9.1020000000000003</v>
      </c>
      <c r="T2066" s="2" t="s">
        <v>430</v>
      </c>
      <c r="U2066" s="2" t="s">
        <v>34</v>
      </c>
    </row>
    <row r="2067" spans="1:21" ht="14.25" customHeight="1" x14ac:dyDescent="0.3">
      <c r="A2067" s="2" t="s">
        <v>4349</v>
      </c>
      <c r="B2067" s="5">
        <v>43063</v>
      </c>
      <c r="C2067" s="2" t="str">
        <f>TEXT(data[[#This Row],[Order Date]],"YYYY")</f>
        <v>2017</v>
      </c>
      <c r="D2067" s="2">
        <v>43063</v>
      </c>
      <c r="E2067" s="2" t="s">
        <v>425</v>
      </c>
      <c r="F2067" s="2" t="s">
        <v>1207</v>
      </c>
      <c r="G2067" s="2" t="s">
        <v>1208</v>
      </c>
      <c r="H2067" s="2" t="s">
        <v>24</v>
      </c>
      <c r="I2067" s="2" t="s">
        <v>25</v>
      </c>
      <c r="J2067" s="2" t="s">
        <v>52</v>
      </c>
      <c r="K2067" s="2" t="s">
        <v>53</v>
      </c>
      <c r="L2067" s="2" t="s">
        <v>54</v>
      </c>
      <c r="M2067" s="2" t="s">
        <v>1249</v>
      </c>
      <c r="N2067" s="2" t="s">
        <v>30</v>
      </c>
      <c r="O2067" s="2" t="s">
        <v>45</v>
      </c>
      <c r="P2067" s="2" t="s">
        <v>1250</v>
      </c>
      <c r="Q2067" s="2">
        <v>71.087999999999994</v>
      </c>
      <c r="R2067" s="2">
        <v>2</v>
      </c>
      <c r="S2067" s="2">
        <v>-1.7771999999999999</v>
      </c>
      <c r="T2067" s="2" t="s">
        <v>430</v>
      </c>
      <c r="U2067" s="2" t="s">
        <v>34</v>
      </c>
    </row>
    <row r="2068" spans="1:21" ht="14.25" customHeight="1" x14ac:dyDescent="0.3">
      <c r="A2068" s="2" t="s">
        <v>4350</v>
      </c>
      <c r="B2068" s="5">
        <v>41954</v>
      </c>
      <c r="C2068" s="2" t="str">
        <f>TEXT(data[[#This Row],[Order Date]],"YYYY")</f>
        <v>2014</v>
      </c>
      <c r="D2068" s="2">
        <v>41958</v>
      </c>
      <c r="E2068" s="2" t="s">
        <v>39</v>
      </c>
      <c r="F2068" s="2" t="s">
        <v>50</v>
      </c>
      <c r="G2068" s="2" t="s">
        <v>51</v>
      </c>
      <c r="H2068" s="2" t="s">
        <v>24</v>
      </c>
      <c r="I2068" s="2" t="s">
        <v>25</v>
      </c>
      <c r="J2068" s="2" t="s">
        <v>133</v>
      </c>
      <c r="K2068" s="2" t="s">
        <v>134</v>
      </c>
      <c r="L2068" s="2" t="s">
        <v>93</v>
      </c>
      <c r="M2068" s="2" t="s">
        <v>2787</v>
      </c>
      <c r="N2068" s="2" t="s">
        <v>30</v>
      </c>
      <c r="O2068" s="2" t="s">
        <v>56</v>
      </c>
      <c r="P2068" s="2" t="s">
        <v>2788</v>
      </c>
      <c r="Q2068" s="2">
        <v>10.984</v>
      </c>
      <c r="R2068" s="2">
        <v>2</v>
      </c>
      <c r="S2068" s="2">
        <v>-7.9634</v>
      </c>
      <c r="T2068" s="2" t="s">
        <v>83</v>
      </c>
      <c r="U2068" s="2" t="s">
        <v>34</v>
      </c>
    </row>
    <row r="2069" spans="1:21" ht="14.25" customHeight="1" x14ac:dyDescent="0.3">
      <c r="A2069" s="2" t="s">
        <v>4350</v>
      </c>
      <c r="B2069" s="5">
        <v>41954</v>
      </c>
      <c r="C2069" s="2" t="str">
        <f>TEXT(data[[#This Row],[Order Date]],"YYYY")</f>
        <v>2014</v>
      </c>
      <c r="D2069" s="2">
        <v>41958</v>
      </c>
      <c r="E2069" s="2" t="s">
        <v>39</v>
      </c>
      <c r="F2069" s="2" t="s">
        <v>50</v>
      </c>
      <c r="G2069" s="2" t="s">
        <v>51</v>
      </c>
      <c r="H2069" s="2" t="s">
        <v>24</v>
      </c>
      <c r="I2069" s="2" t="s">
        <v>25</v>
      </c>
      <c r="J2069" s="2" t="s">
        <v>133</v>
      </c>
      <c r="K2069" s="2" t="s">
        <v>134</v>
      </c>
      <c r="L2069" s="2" t="s">
        <v>93</v>
      </c>
      <c r="M2069" s="2" t="s">
        <v>575</v>
      </c>
      <c r="N2069" s="2" t="s">
        <v>30</v>
      </c>
      <c r="O2069" s="2" t="s">
        <v>36</v>
      </c>
      <c r="P2069" s="2" t="s">
        <v>576</v>
      </c>
      <c r="Q2069" s="2">
        <v>797.94399999999996</v>
      </c>
      <c r="R2069" s="2">
        <v>4</v>
      </c>
      <c r="S2069" s="2">
        <v>-56.996000000000002</v>
      </c>
      <c r="T2069" s="2" t="s">
        <v>83</v>
      </c>
      <c r="U2069" s="2" t="s">
        <v>34</v>
      </c>
    </row>
    <row r="2070" spans="1:21" ht="14.25" customHeight="1" x14ac:dyDescent="0.3">
      <c r="A2070" s="2" t="s">
        <v>4351</v>
      </c>
      <c r="B2070" s="5">
        <v>42821</v>
      </c>
      <c r="C2070" s="2" t="str">
        <f>TEXT(data[[#This Row],[Order Date]],"YYYY")</f>
        <v>2017</v>
      </c>
      <c r="D2070" s="2">
        <v>42823</v>
      </c>
      <c r="E2070" s="2" t="s">
        <v>21</v>
      </c>
      <c r="F2070" s="2" t="s">
        <v>177</v>
      </c>
      <c r="G2070" s="2" t="s">
        <v>178</v>
      </c>
      <c r="H2070" s="2" t="s">
        <v>24</v>
      </c>
      <c r="I2070" s="2" t="s">
        <v>25</v>
      </c>
      <c r="J2070" s="2" t="s">
        <v>635</v>
      </c>
      <c r="K2070" s="2" t="s">
        <v>716</v>
      </c>
      <c r="L2070" s="2" t="s">
        <v>28</v>
      </c>
      <c r="M2070" s="2" t="s">
        <v>368</v>
      </c>
      <c r="N2070" s="2" t="s">
        <v>30</v>
      </c>
      <c r="O2070" s="2" t="s">
        <v>45</v>
      </c>
      <c r="P2070" s="2" t="s">
        <v>369</v>
      </c>
      <c r="Q2070" s="2">
        <v>292.10000000000002</v>
      </c>
      <c r="R2070" s="2">
        <v>2</v>
      </c>
      <c r="S2070" s="2">
        <v>58.42</v>
      </c>
      <c r="T2070" s="2" t="s">
        <v>70</v>
      </c>
      <c r="U2070" s="2" t="s">
        <v>195</v>
      </c>
    </row>
    <row r="2071" spans="1:21" ht="14.25" customHeight="1" x14ac:dyDescent="0.3">
      <c r="A2071" s="2" t="s">
        <v>4352</v>
      </c>
      <c r="B2071" s="5">
        <v>42674</v>
      </c>
      <c r="C2071" s="2" t="str">
        <f>TEXT(data[[#This Row],[Order Date]],"YYYY")</f>
        <v>2016</v>
      </c>
      <c r="D2071" s="2">
        <v>42679</v>
      </c>
      <c r="E2071" s="2" t="s">
        <v>39</v>
      </c>
      <c r="F2071" s="2" t="s">
        <v>653</v>
      </c>
      <c r="G2071" s="2" t="s">
        <v>654</v>
      </c>
      <c r="H2071" s="2" t="s">
        <v>90</v>
      </c>
      <c r="I2071" s="2" t="s">
        <v>25</v>
      </c>
      <c r="J2071" s="2" t="s">
        <v>328</v>
      </c>
      <c r="K2071" s="2" t="s">
        <v>53</v>
      </c>
      <c r="L2071" s="2" t="s">
        <v>54</v>
      </c>
      <c r="M2071" s="2" t="s">
        <v>1486</v>
      </c>
      <c r="N2071" s="2" t="s">
        <v>30</v>
      </c>
      <c r="O2071" s="2" t="s">
        <v>36</v>
      </c>
      <c r="P2071" s="2" t="s">
        <v>1487</v>
      </c>
      <c r="Q2071" s="2">
        <v>1403.92</v>
      </c>
      <c r="R2071" s="2">
        <v>5</v>
      </c>
      <c r="S2071" s="2">
        <v>70.195999999999998</v>
      </c>
      <c r="T2071" s="2" t="s">
        <v>58</v>
      </c>
      <c r="U2071" s="2" t="s">
        <v>48</v>
      </c>
    </row>
    <row r="2072" spans="1:21" ht="14.25" customHeight="1" x14ac:dyDescent="0.3">
      <c r="A2072" s="2" t="s">
        <v>4353</v>
      </c>
      <c r="B2072" s="5">
        <v>42698</v>
      </c>
      <c r="C2072" s="2" t="str">
        <f>TEXT(data[[#This Row],[Order Date]],"YYYY")</f>
        <v>2016</v>
      </c>
      <c r="D2072" s="2">
        <v>42704</v>
      </c>
      <c r="E2072" s="2" t="s">
        <v>39</v>
      </c>
      <c r="F2072" s="2" t="s">
        <v>901</v>
      </c>
      <c r="G2072" s="2" t="s">
        <v>902</v>
      </c>
      <c r="H2072" s="2" t="s">
        <v>100</v>
      </c>
      <c r="I2072" s="2" t="s">
        <v>25</v>
      </c>
      <c r="J2072" s="2" t="s">
        <v>2050</v>
      </c>
      <c r="K2072" s="2" t="s">
        <v>43</v>
      </c>
      <c r="L2072" s="2" t="s">
        <v>28</v>
      </c>
      <c r="M2072" s="2" t="s">
        <v>767</v>
      </c>
      <c r="N2072" s="2" t="s">
        <v>30</v>
      </c>
      <c r="O2072" s="2" t="s">
        <v>31</v>
      </c>
      <c r="P2072" s="2" t="s">
        <v>768</v>
      </c>
      <c r="Q2072" s="2">
        <v>339.92</v>
      </c>
      <c r="R2072" s="2">
        <v>5</v>
      </c>
      <c r="S2072" s="2">
        <v>8.4979999999999993</v>
      </c>
      <c r="T2072" s="2" t="s">
        <v>129</v>
      </c>
      <c r="U2072" s="2" t="s">
        <v>34</v>
      </c>
    </row>
    <row r="2073" spans="1:21" ht="14.25" customHeight="1" x14ac:dyDescent="0.3">
      <c r="A2073" s="2" t="s">
        <v>4354</v>
      </c>
      <c r="B2073" s="5">
        <v>41846</v>
      </c>
      <c r="C2073" s="2" t="str">
        <f>TEXT(data[[#This Row],[Order Date]],"YYYY")</f>
        <v>2014</v>
      </c>
      <c r="D2073" s="2">
        <v>41850</v>
      </c>
      <c r="E2073" s="2" t="s">
        <v>39</v>
      </c>
      <c r="F2073" s="2" t="s">
        <v>1574</v>
      </c>
      <c r="G2073" s="2" t="s">
        <v>1575</v>
      </c>
      <c r="H2073" s="2" t="s">
        <v>24</v>
      </c>
      <c r="I2073" s="2" t="s">
        <v>25</v>
      </c>
      <c r="J2073" s="2" t="s">
        <v>245</v>
      </c>
      <c r="K2073" s="2" t="s">
        <v>92</v>
      </c>
      <c r="L2073" s="2" t="s">
        <v>93</v>
      </c>
      <c r="M2073" s="2" t="s">
        <v>2261</v>
      </c>
      <c r="N2073" s="2" t="s">
        <v>30</v>
      </c>
      <c r="O2073" s="2" t="s">
        <v>56</v>
      </c>
      <c r="P2073" s="2" t="s">
        <v>2262</v>
      </c>
      <c r="Q2073" s="2">
        <v>17.495999999999999</v>
      </c>
      <c r="R2073" s="2">
        <v>3</v>
      </c>
      <c r="S2073" s="2">
        <v>-10.0602</v>
      </c>
      <c r="T2073" s="2" t="s">
        <v>83</v>
      </c>
      <c r="U2073" s="2" t="s">
        <v>71</v>
      </c>
    </row>
    <row r="2074" spans="1:21" ht="14.25" customHeight="1" x14ac:dyDescent="0.3">
      <c r="A2074" s="2" t="s">
        <v>4355</v>
      </c>
      <c r="B2074" s="5">
        <v>42155</v>
      </c>
      <c r="C2074" s="2" t="str">
        <f>TEXT(data[[#This Row],[Order Date]],"YYYY")</f>
        <v>2015</v>
      </c>
      <c r="D2074" s="2">
        <v>42157</v>
      </c>
      <c r="E2074" s="2" t="s">
        <v>21</v>
      </c>
      <c r="F2074" s="2" t="s">
        <v>1823</v>
      </c>
      <c r="G2074" s="2" t="s">
        <v>1824</v>
      </c>
      <c r="H2074" s="2" t="s">
        <v>90</v>
      </c>
      <c r="I2074" s="2" t="s">
        <v>25</v>
      </c>
      <c r="J2074" s="2" t="s">
        <v>3563</v>
      </c>
      <c r="K2074" s="2" t="s">
        <v>362</v>
      </c>
      <c r="L2074" s="2" t="s">
        <v>67</v>
      </c>
      <c r="M2074" s="2" t="s">
        <v>1980</v>
      </c>
      <c r="N2074" s="2" t="s">
        <v>30</v>
      </c>
      <c r="O2074" s="2" t="s">
        <v>56</v>
      </c>
      <c r="P2074" s="2" t="s">
        <v>1981</v>
      </c>
      <c r="Q2074" s="2">
        <v>8.2799999999999994</v>
      </c>
      <c r="R2074" s="2">
        <v>2</v>
      </c>
      <c r="S2074" s="2">
        <v>2.9807999999999999</v>
      </c>
      <c r="T2074" s="2" t="s">
        <v>70</v>
      </c>
      <c r="U2074" s="2" t="s">
        <v>161</v>
      </c>
    </row>
    <row r="2075" spans="1:21" ht="14.25" customHeight="1" x14ac:dyDescent="0.3">
      <c r="A2075" s="2" t="s">
        <v>4356</v>
      </c>
      <c r="B2075" s="5">
        <v>41948</v>
      </c>
      <c r="C2075" s="2" t="str">
        <f>TEXT(data[[#This Row],[Order Date]],"YYYY")</f>
        <v>2014</v>
      </c>
      <c r="D2075" s="2">
        <v>41948</v>
      </c>
      <c r="E2075" s="2" t="s">
        <v>425</v>
      </c>
      <c r="F2075" s="2" t="s">
        <v>4357</v>
      </c>
      <c r="G2075" s="2" t="s">
        <v>4358</v>
      </c>
      <c r="H2075" s="2" t="s">
        <v>24</v>
      </c>
      <c r="I2075" s="2" t="s">
        <v>25</v>
      </c>
      <c r="J2075" s="2" t="s">
        <v>2850</v>
      </c>
      <c r="K2075" s="2" t="s">
        <v>716</v>
      </c>
      <c r="L2075" s="2" t="s">
        <v>28</v>
      </c>
      <c r="M2075" s="2" t="s">
        <v>1513</v>
      </c>
      <c r="N2075" s="2" t="s">
        <v>30</v>
      </c>
      <c r="O2075" s="2" t="s">
        <v>36</v>
      </c>
      <c r="P2075" s="2" t="s">
        <v>1514</v>
      </c>
      <c r="Q2075" s="2">
        <v>149.9</v>
      </c>
      <c r="R2075" s="2">
        <v>5</v>
      </c>
      <c r="S2075" s="2">
        <v>40.472999999999999</v>
      </c>
      <c r="T2075" s="2" t="s">
        <v>430</v>
      </c>
      <c r="U2075" s="2" t="s">
        <v>34</v>
      </c>
    </row>
    <row r="2076" spans="1:21" ht="14.25" customHeight="1" x14ac:dyDescent="0.3">
      <c r="A2076" s="2" t="s">
        <v>4359</v>
      </c>
      <c r="B2076" s="5">
        <v>42821</v>
      </c>
      <c r="C2076" s="2" t="str">
        <f>TEXT(data[[#This Row],[Order Date]],"YYYY")</f>
        <v>2017</v>
      </c>
      <c r="D2076" s="2">
        <v>42826</v>
      </c>
      <c r="E2076" s="2" t="s">
        <v>39</v>
      </c>
      <c r="F2076" s="2" t="s">
        <v>1345</v>
      </c>
      <c r="G2076" s="2" t="s">
        <v>1346</v>
      </c>
      <c r="H2076" s="2" t="s">
        <v>24</v>
      </c>
      <c r="I2076" s="2" t="s">
        <v>25</v>
      </c>
      <c r="J2076" s="2" t="s">
        <v>101</v>
      </c>
      <c r="K2076" s="2" t="s">
        <v>92</v>
      </c>
      <c r="L2076" s="2" t="s">
        <v>93</v>
      </c>
      <c r="M2076" s="2" t="s">
        <v>999</v>
      </c>
      <c r="N2076" s="2" t="s">
        <v>30</v>
      </c>
      <c r="O2076" s="2" t="s">
        <v>31</v>
      </c>
      <c r="P2076" s="2" t="s">
        <v>1000</v>
      </c>
      <c r="Q2076" s="2">
        <v>1023.332</v>
      </c>
      <c r="R2076" s="2">
        <v>5</v>
      </c>
      <c r="S2076" s="2">
        <v>-30.097999999999999</v>
      </c>
      <c r="T2076" s="2" t="s">
        <v>58</v>
      </c>
      <c r="U2076" s="2" t="s">
        <v>195</v>
      </c>
    </row>
    <row r="2077" spans="1:21" ht="14.25" customHeight="1" x14ac:dyDescent="0.3">
      <c r="A2077" s="2" t="s">
        <v>4359</v>
      </c>
      <c r="B2077" s="5">
        <v>42821</v>
      </c>
      <c r="C2077" s="2" t="str">
        <f>TEXT(data[[#This Row],[Order Date]],"YYYY")</f>
        <v>2017</v>
      </c>
      <c r="D2077" s="2">
        <v>42826</v>
      </c>
      <c r="E2077" s="2" t="s">
        <v>39</v>
      </c>
      <c r="F2077" s="2" t="s">
        <v>1345</v>
      </c>
      <c r="G2077" s="2" t="s">
        <v>1346</v>
      </c>
      <c r="H2077" s="2" t="s">
        <v>24</v>
      </c>
      <c r="I2077" s="2" t="s">
        <v>25</v>
      </c>
      <c r="J2077" s="2" t="s">
        <v>101</v>
      </c>
      <c r="K2077" s="2" t="s">
        <v>92</v>
      </c>
      <c r="L2077" s="2" t="s">
        <v>93</v>
      </c>
      <c r="M2077" s="2" t="s">
        <v>206</v>
      </c>
      <c r="N2077" s="2" t="s">
        <v>30</v>
      </c>
      <c r="O2077" s="2" t="s">
        <v>36</v>
      </c>
      <c r="P2077" s="2" t="s">
        <v>207</v>
      </c>
      <c r="Q2077" s="2">
        <v>600.55799999999999</v>
      </c>
      <c r="R2077" s="2">
        <v>3</v>
      </c>
      <c r="S2077" s="2">
        <v>-8.5793999999999997</v>
      </c>
      <c r="T2077" s="2" t="s">
        <v>58</v>
      </c>
      <c r="U2077" s="2" t="s">
        <v>195</v>
      </c>
    </row>
    <row r="2078" spans="1:21" ht="14.25" customHeight="1" x14ac:dyDescent="0.3">
      <c r="A2078" s="2" t="s">
        <v>4359</v>
      </c>
      <c r="B2078" s="5">
        <v>42821</v>
      </c>
      <c r="C2078" s="2" t="str">
        <f>TEXT(data[[#This Row],[Order Date]],"YYYY")</f>
        <v>2017</v>
      </c>
      <c r="D2078" s="2">
        <v>42826</v>
      </c>
      <c r="E2078" s="2" t="s">
        <v>39</v>
      </c>
      <c r="F2078" s="2" t="s">
        <v>1345</v>
      </c>
      <c r="G2078" s="2" t="s">
        <v>1346</v>
      </c>
      <c r="H2078" s="2" t="s">
        <v>24</v>
      </c>
      <c r="I2078" s="2" t="s">
        <v>25</v>
      </c>
      <c r="J2078" s="2" t="s">
        <v>101</v>
      </c>
      <c r="K2078" s="2" t="s">
        <v>92</v>
      </c>
      <c r="L2078" s="2" t="s">
        <v>93</v>
      </c>
      <c r="M2078" s="2" t="s">
        <v>1850</v>
      </c>
      <c r="N2078" s="2" t="s">
        <v>30</v>
      </c>
      <c r="O2078" s="2" t="s">
        <v>36</v>
      </c>
      <c r="P2078" s="2" t="s">
        <v>1851</v>
      </c>
      <c r="Q2078" s="2">
        <v>211.24600000000001</v>
      </c>
      <c r="R2078" s="2">
        <v>2</v>
      </c>
      <c r="S2078" s="2">
        <v>-66.391599999999997</v>
      </c>
      <c r="T2078" s="2" t="s">
        <v>58</v>
      </c>
      <c r="U2078" s="2" t="s">
        <v>195</v>
      </c>
    </row>
    <row r="2079" spans="1:21" ht="14.25" customHeight="1" x14ac:dyDescent="0.3">
      <c r="A2079" s="2" t="s">
        <v>4360</v>
      </c>
      <c r="B2079" s="5">
        <v>41780</v>
      </c>
      <c r="C2079" s="2" t="str">
        <f>TEXT(data[[#This Row],[Order Date]],"YYYY")</f>
        <v>2014</v>
      </c>
      <c r="D2079" s="2">
        <v>41782</v>
      </c>
      <c r="E2079" s="2" t="s">
        <v>21</v>
      </c>
      <c r="F2079" s="2" t="s">
        <v>925</v>
      </c>
      <c r="G2079" s="2" t="s">
        <v>926</v>
      </c>
      <c r="H2079" s="2" t="s">
        <v>24</v>
      </c>
      <c r="I2079" s="2" t="s">
        <v>25</v>
      </c>
      <c r="J2079" s="2" t="s">
        <v>101</v>
      </c>
      <c r="K2079" s="2" t="s">
        <v>92</v>
      </c>
      <c r="L2079" s="2" t="s">
        <v>93</v>
      </c>
      <c r="M2079" s="2" t="s">
        <v>488</v>
      </c>
      <c r="N2079" s="2" t="s">
        <v>30</v>
      </c>
      <c r="O2079" s="2" t="s">
        <v>36</v>
      </c>
      <c r="P2079" s="2" t="s">
        <v>489</v>
      </c>
      <c r="Q2079" s="2">
        <v>107.77200000000001</v>
      </c>
      <c r="R2079" s="2">
        <v>2</v>
      </c>
      <c r="S2079" s="2">
        <v>-29.252400000000002</v>
      </c>
      <c r="T2079" s="2" t="s">
        <v>70</v>
      </c>
      <c r="U2079" s="2" t="s">
        <v>161</v>
      </c>
    </row>
    <row r="2080" spans="1:21" ht="14.25" customHeight="1" x14ac:dyDescent="0.3">
      <c r="A2080" s="2" t="s">
        <v>4361</v>
      </c>
      <c r="B2080" s="5">
        <v>42203</v>
      </c>
      <c r="C2080" s="2" t="str">
        <f>TEXT(data[[#This Row],[Order Date]],"YYYY")</f>
        <v>2015</v>
      </c>
      <c r="D2080" s="2">
        <v>42205</v>
      </c>
      <c r="E2080" s="2" t="s">
        <v>21</v>
      </c>
      <c r="F2080" s="2" t="s">
        <v>847</v>
      </c>
      <c r="G2080" s="2" t="s">
        <v>848</v>
      </c>
      <c r="H2080" s="2" t="s">
        <v>24</v>
      </c>
      <c r="I2080" s="2" t="s">
        <v>25</v>
      </c>
      <c r="J2080" s="2" t="s">
        <v>173</v>
      </c>
      <c r="K2080" s="2" t="s">
        <v>120</v>
      </c>
      <c r="L2080" s="2" t="s">
        <v>67</v>
      </c>
      <c r="M2080" s="2" t="s">
        <v>1718</v>
      </c>
      <c r="N2080" s="2" t="s">
        <v>30</v>
      </c>
      <c r="O2080" s="2" t="s">
        <v>56</v>
      </c>
      <c r="P2080" s="2" t="s">
        <v>1719</v>
      </c>
      <c r="Q2080" s="2">
        <v>7.38</v>
      </c>
      <c r="R2080" s="2">
        <v>1</v>
      </c>
      <c r="S2080" s="2">
        <v>2.1402000000000001</v>
      </c>
      <c r="T2080" s="2" t="s">
        <v>70</v>
      </c>
      <c r="U2080" s="2" t="s">
        <v>71</v>
      </c>
    </row>
    <row r="2081" spans="1:21" ht="14.25" customHeight="1" x14ac:dyDescent="0.3">
      <c r="A2081" s="2" t="s">
        <v>4362</v>
      </c>
      <c r="B2081" s="5">
        <v>42664</v>
      </c>
      <c r="C2081" s="2" t="str">
        <f>TEXT(data[[#This Row],[Order Date]],"YYYY")</f>
        <v>2016</v>
      </c>
      <c r="D2081" s="2">
        <v>42669</v>
      </c>
      <c r="E2081" s="2" t="s">
        <v>39</v>
      </c>
      <c r="F2081" s="2" t="s">
        <v>1950</v>
      </c>
      <c r="G2081" s="2" t="s">
        <v>1951</v>
      </c>
      <c r="H2081" s="2" t="s">
        <v>100</v>
      </c>
      <c r="I2081" s="2" t="s">
        <v>25</v>
      </c>
      <c r="J2081" s="2" t="s">
        <v>42</v>
      </c>
      <c r="K2081" s="2" t="s">
        <v>43</v>
      </c>
      <c r="L2081" s="2" t="s">
        <v>28</v>
      </c>
      <c r="M2081" s="2" t="s">
        <v>1518</v>
      </c>
      <c r="N2081" s="2" t="s">
        <v>30</v>
      </c>
      <c r="O2081" s="2" t="s">
        <v>56</v>
      </c>
      <c r="P2081" s="2" t="s">
        <v>1519</v>
      </c>
      <c r="Q2081" s="2">
        <v>45.567999999999998</v>
      </c>
      <c r="R2081" s="2">
        <v>2</v>
      </c>
      <c r="S2081" s="2">
        <v>9.6831999999999994</v>
      </c>
      <c r="T2081" s="2" t="s">
        <v>58</v>
      </c>
      <c r="U2081" s="2" t="s">
        <v>48</v>
      </c>
    </row>
    <row r="2082" spans="1:21" ht="14.25" customHeight="1" x14ac:dyDescent="0.3">
      <c r="A2082" s="2" t="s">
        <v>4363</v>
      </c>
      <c r="B2082" s="5">
        <v>42943</v>
      </c>
      <c r="C2082" s="2" t="str">
        <f>TEXT(data[[#This Row],[Order Date]],"YYYY")</f>
        <v>2017</v>
      </c>
      <c r="D2082" s="2">
        <v>42948</v>
      </c>
      <c r="E2082" s="2" t="s">
        <v>21</v>
      </c>
      <c r="F2082" s="2" t="s">
        <v>1468</v>
      </c>
      <c r="G2082" s="2" t="s">
        <v>1469</v>
      </c>
      <c r="H2082" s="2" t="s">
        <v>24</v>
      </c>
      <c r="I2082" s="2" t="s">
        <v>25</v>
      </c>
      <c r="J2082" s="2" t="s">
        <v>2017</v>
      </c>
      <c r="K2082" s="2" t="s">
        <v>1036</v>
      </c>
      <c r="L2082" s="2" t="s">
        <v>28</v>
      </c>
      <c r="M2082" s="2" t="s">
        <v>135</v>
      </c>
      <c r="N2082" s="2" t="s">
        <v>30</v>
      </c>
      <c r="O2082" s="2" t="s">
        <v>36</v>
      </c>
      <c r="P2082" s="2" t="s">
        <v>136</v>
      </c>
      <c r="Q2082" s="2">
        <v>194.84800000000001</v>
      </c>
      <c r="R2082" s="2">
        <v>4</v>
      </c>
      <c r="S2082" s="2">
        <v>12.178000000000001</v>
      </c>
      <c r="T2082" s="2" t="s">
        <v>58</v>
      </c>
      <c r="U2082" s="2" t="s">
        <v>71</v>
      </c>
    </row>
    <row r="2083" spans="1:21" ht="14.25" customHeight="1" x14ac:dyDescent="0.3">
      <c r="A2083" s="2" t="s">
        <v>4364</v>
      </c>
      <c r="B2083" s="5">
        <v>42163</v>
      </c>
      <c r="C2083" s="2" t="str">
        <f>TEXT(data[[#This Row],[Order Date]],"YYYY")</f>
        <v>2015</v>
      </c>
      <c r="D2083" s="2">
        <v>42167</v>
      </c>
      <c r="E2083" s="2" t="s">
        <v>39</v>
      </c>
      <c r="F2083" s="2" t="s">
        <v>3141</v>
      </c>
      <c r="G2083" s="2" t="s">
        <v>3142</v>
      </c>
      <c r="H2083" s="2" t="s">
        <v>90</v>
      </c>
      <c r="I2083" s="2" t="s">
        <v>25</v>
      </c>
      <c r="J2083" s="2" t="s">
        <v>789</v>
      </c>
      <c r="K2083" s="2" t="s">
        <v>43</v>
      </c>
      <c r="L2083" s="2" t="s">
        <v>28</v>
      </c>
      <c r="M2083" s="2" t="s">
        <v>2110</v>
      </c>
      <c r="N2083" s="2" t="s">
        <v>30</v>
      </c>
      <c r="O2083" s="2" t="s">
        <v>56</v>
      </c>
      <c r="P2083" s="2" t="s">
        <v>2111</v>
      </c>
      <c r="Q2083" s="2">
        <v>173.208</v>
      </c>
      <c r="R2083" s="2">
        <v>7</v>
      </c>
      <c r="S2083" s="2">
        <v>45.467100000000002</v>
      </c>
      <c r="T2083" s="2" t="s">
        <v>83</v>
      </c>
      <c r="U2083" s="2" t="s">
        <v>59</v>
      </c>
    </row>
    <row r="2084" spans="1:21" ht="14.25" customHeight="1" x14ac:dyDescent="0.3">
      <c r="A2084" s="2" t="s">
        <v>4365</v>
      </c>
      <c r="B2084" s="5">
        <v>41866</v>
      </c>
      <c r="C2084" s="2" t="str">
        <f>TEXT(data[[#This Row],[Order Date]],"YYYY")</f>
        <v>2014</v>
      </c>
      <c r="D2084" s="2">
        <v>41870</v>
      </c>
      <c r="E2084" s="2" t="s">
        <v>39</v>
      </c>
      <c r="F2084" s="2" t="s">
        <v>1060</v>
      </c>
      <c r="G2084" s="2" t="s">
        <v>1061</v>
      </c>
      <c r="H2084" s="2" t="s">
        <v>24</v>
      </c>
      <c r="I2084" s="2" t="s">
        <v>25</v>
      </c>
      <c r="J2084" s="2" t="s">
        <v>328</v>
      </c>
      <c r="K2084" s="2" t="s">
        <v>53</v>
      </c>
      <c r="L2084" s="2" t="s">
        <v>54</v>
      </c>
      <c r="M2084" s="2" t="s">
        <v>1656</v>
      </c>
      <c r="N2084" s="2" t="s">
        <v>30</v>
      </c>
      <c r="O2084" s="2" t="s">
        <v>36</v>
      </c>
      <c r="P2084" s="2" t="s">
        <v>1657</v>
      </c>
      <c r="Q2084" s="2">
        <v>195.136</v>
      </c>
      <c r="R2084" s="2">
        <v>4</v>
      </c>
      <c r="S2084" s="2">
        <v>-12.196</v>
      </c>
      <c r="T2084" s="2" t="s">
        <v>83</v>
      </c>
      <c r="U2084" s="2" t="s">
        <v>253</v>
      </c>
    </row>
    <row r="2085" spans="1:21" ht="14.25" customHeight="1" x14ac:dyDescent="0.3">
      <c r="A2085" s="2" t="s">
        <v>4366</v>
      </c>
      <c r="B2085" s="5">
        <v>42932</v>
      </c>
      <c r="C2085" s="2" t="str">
        <f>TEXT(data[[#This Row],[Order Date]],"YYYY")</f>
        <v>2017</v>
      </c>
      <c r="D2085" s="2">
        <v>42939</v>
      </c>
      <c r="E2085" s="2" t="s">
        <v>39</v>
      </c>
      <c r="F2085" s="2" t="s">
        <v>475</v>
      </c>
      <c r="G2085" s="2" t="s">
        <v>476</v>
      </c>
      <c r="H2085" s="2" t="s">
        <v>24</v>
      </c>
      <c r="I2085" s="2" t="s">
        <v>25</v>
      </c>
      <c r="J2085" s="2" t="s">
        <v>1527</v>
      </c>
      <c r="K2085" s="2" t="s">
        <v>1036</v>
      </c>
      <c r="L2085" s="2" t="s">
        <v>28</v>
      </c>
      <c r="M2085" s="2" t="s">
        <v>104</v>
      </c>
      <c r="N2085" s="2" t="s">
        <v>30</v>
      </c>
      <c r="O2085" s="2" t="s">
        <v>36</v>
      </c>
      <c r="P2085" s="2" t="s">
        <v>105</v>
      </c>
      <c r="Q2085" s="2">
        <v>242.352</v>
      </c>
      <c r="R2085" s="2">
        <v>3</v>
      </c>
      <c r="S2085" s="2">
        <v>15.147</v>
      </c>
      <c r="T2085" s="2" t="s">
        <v>47</v>
      </c>
      <c r="U2085" s="2" t="s">
        <v>71</v>
      </c>
    </row>
    <row r="2086" spans="1:21" ht="14.25" customHeight="1" x14ac:dyDescent="0.3">
      <c r="A2086" s="2" t="s">
        <v>4367</v>
      </c>
      <c r="B2086" s="5">
        <v>41989</v>
      </c>
      <c r="C2086" s="2" t="str">
        <f>TEXT(data[[#This Row],[Order Date]],"YYYY")</f>
        <v>2014</v>
      </c>
      <c r="D2086" s="2">
        <v>41991</v>
      </c>
      <c r="E2086" s="2" t="s">
        <v>21</v>
      </c>
      <c r="F2086" s="2" t="s">
        <v>3683</v>
      </c>
      <c r="G2086" s="2" t="s">
        <v>3684</v>
      </c>
      <c r="H2086" s="2" t="s">
        <v>24</v>
      </c>
      <c r="I2086" s="2" t="s">
        <v>25</v>
      </c>
      <c r="J2086" s="2" t="s">
        <v>4368</v>
      </c>
      <c r="K2086" s="2" t="s">
        <v>92</v>
      </c>
      <c r="L2086" s="2" t="s">
        <v>93</v>
      </c>
      <c r="M2086" s="2" t="s">
        <v>111</v>
      </c>
      <c r="N2086" s="2" t="s">
        <v>30</v>
      </c>
      <c r="O2086" s="2" t="s">
        <v>56</v>
      </c>
      <c r="P2086" s="2" t="s">
        <v>112</v>
      </c>
      <c r="Q2086" s="2">
        <v>8.6240000000000006</v>
      </c>
      <c r="R2086" s="2">
        <v>7</v>
      </c>
      <c r="S2086" s="2">
        <v>-2.5872000000000002</v>
      </c>
      <c r="T2086" s="2" t="s">
        <v>70</v>
      </c>
      <c r="U2086" s="2" t="s">
        <v>96</v>
      </c>
    </row>
    <row r="2087" spans="1:21" ht="14.25" customHeight="1" x14ac:dyDescent="0.3">
      <c r="A2087" s="2" t="s">
        <v>4369</v>
      </c>
      <c r="B2087" s="5">
        <v>42653</v>
      </c>
      <c r="C2087" s="2" t="str">
        <f>TEXT(data[[#This Row],[Order Date]],"YYYY")</f>
        <v>2016</v>
      </c>
      <c r="D2087" s="2">
        <v>42655</v>
      </c>
      <c r="E2087" s="2" t="s">
        <v>87</v>
      </c>
      <c r="F2087" s="2" t="s">
        <v>1730</v>
      </c>
      <c r="G2087" s="2" t="s">
        <v>1731</v>
      </c>
      <c r="H2087" s="2" t="s">
        <v>24</v>
      </c>
      <c r="I2087" s="2" t="s">
        <v>25</v>
      </c>
      <c r="J2087" s="2" t="s">
        <v>1154</v>
      </c>
      <c r="K2087" s="2" t="s">
        <v>92</v>
      </c>
      <c r="L2087" s="2" t="s">
        <v>93</v>
      </c>
      <c r="M2087" s="2" t="s">
        <v>2189</v>
      </c>
      <c r="N2087" s="2" t="s">
        <v>30</v>
      </c>
      <c r="O2087" s="2" t="s">
        <v>56</v>
      </c>
      <c r="P2087" s="2" t="s">
        <v>2190</v>
      </c>
      <c r="Q2087" s="2">
        <v>14</v>
      </c>
      <c r="R2087" s="2">
        <v>4</v>
      </c>
      <c r="S2087" s="2">
        <v>-6.3</v>
      </c>
      <c r="T2087" s="2" t="s">
        <v>70</v>
      </c>
      <c r="U2087" s="2" t="s">
        <v>48</v>
      </c>
    </row>
    <row r="2088" spans="1:21" ht="14.25" customHeight="1" x14ac:dyDescent="0.3">
      <c r="A2088" s="2" t="s">
        <v>4370</v>
      </c>
      <c r="B2088" s="5">
        <v>42638</v>
      </c>
      <c r="C2088" s="2" t="str">
        <f>TEXT(data[[#This Row],[Order Date]],"YYYY")</f>
        <v>2016</v>
      </c>
      <c r="D2088" s="2">
        <v>42644</v>
      </c>
      <c r="E2088" s="2" t="s">
        <v>39</v>
      </c>
      <c r="F2088" s="2" t="s">
        <v>2048</v>
      </c>
      <c r="G2088" s="2" t="s">
        <v>2049</v>
      </c>
      <c r="H2088" s="2" t="s">
        <v>24</v>
      </c>
      <c r="I2088" s="2" t="s">
        <v>25</v>
      </c>
      <c r="J2088" s="2" t="s">
        <v>730</v>
      </c>
      <c r="K2088" s="2" t="s">
        <v>53</v>
      </c>
      <c r="L2088" s="2" t="s">
        <v>54</v>
      </c>
      <c r="M2088" s="2" t="s">
        <v>855</v>
      </c>
      <c r="N2088" s="2" t="s">
        <v>30</v>
      </c>
      <c r="O2088" s="2" t="s">
        <v>36</v>
      </c>
      <c r="P2088" s="2" t="s">
        <v>856</v>
      </c>
      <c r="Q2088" s="2">
        <v>483.13600000000002</v>
      </c>
      <c r="R2088" s="2">
        <v>4</v>
      </c>
      <c r="S2088" s="2">
        <v>60.392000000000003</v>
      </c>
      <c r="T2088" s="2" t="s">
        <v>129</v>
      </c>
      <c r="U2088" s="2" t="s">
        <v>77</v>
      </c>
    </row>
    <row r="2089" spans="1:21" ht="14.25" customHeight="1" x14ac:dyDescent="0.3">
      <c r="A2089" s="2" t="s">
        <v>4371</v>
      </c>
      <c r="B2089" s="5">
        <v>41793</v>
      </c>
      <c r="C2089" s="2" t="str">
        <f>TEXT(data[[#This Row],[Order Date]],"YYYY")</f>
        <v>2014</v>
      </c>
      <c r="D2089" s="2">
        <v>41796</v>
      </c>
      <c r="E2089" s="2" t="s">
        <v>87</v>
      </c>
      <c r="F2089" s="2" t="s">
        <v>3081</v>
      </c>
      <c r="G2089" s="2" t="s">
        <v>3082</v>
      </c>
      <c r="H2089" s="2" t="s">
        <v>24</v>
      </c>
      <c r="I2089" s="2" t="s">
        <v>25</v>
      </c>
      <c r="J2089" s="2" t="s">
        <v>513</v>
      </c>
      <c r="K2089" s="2" t="s">
        <v>134</v>
      </c>
      <c r="L2089" s="2" t="s">
        <v>93</v>
      </c>
      <c r="M2089" s="2" t="s">
        <v>630</v>
      </c>
      <c r="N2089" s="2" t="s">
        <v>30</v>
      </c>
      <c r="O2089" s="2" t="s">
        <v>56</v>
      </c>
      <c r="P2089" s="2" t="s">
        <v>631</v>
      </c>
      <c r="Q2089" s="2">
        <v>61.543999999999997</v>
      </c>
      <c r="R2089" s="2">
        <v>7</v>
      </c>
      <c r="S2089" s="2">
        <v>-40.003599999999999</v>
      </c>
      <c r="T2089" s="2" t="s">
        <v>33</v>
      </c>
      <c r="U2089" s="2" t="s">
        <v>59</v>
      </c>
    </row>
    <row r="2090" spans="1:21" ht="14.25" customHeight="1" x14ac:dyDescent="0.3">
      <c r="A2090" s="2" t="s">
        <v>4372</v>
      </c>
      <c r="B2090" s="5">
        <v>42980</v>
      </c>
      <c r="C2090" s="2" t="str">
        <f>TEXT(data[[#This Row],[Order Date]],"YYYY")</f>
        <v>2017</v>
      </c>
      <c r="D2090" s="2">
        <v>42982</v>
      </c>
      <c r="E2090" s="2" t="s">
        <v>21</v>
      </c>
      <c r="F2090" s="2" t="s">
        <v>3150</v>
      </c>
      <c r="G2090" s="2" t="s">
        <v>3151</v>
      </c>
      <c r="H2090" s="2" t="s">
        <v>100</v>
      </c>
      <c r="I2090" s="2" t="s">
        <v>25</v>
      </c>
      <c r="J2090" s="2" t="s">
        <v>52</v>
      </c>
      <c r="K2090" s="2" t="s">
        <v>53</v>
      </c>
      <c r="L2090" s="2" t="s">
        <v>54</v>
      </c>
      <c r="M2090" s="2" t="s">
        <v>935</v>
      </c>
      <c r="N2090" s="2" t="s">
        <v>30</v>
      </c>
      <c r="O2090" s="2" t="s">
        <v>56</v>
      </c>
      <c r="P2090" s="2" t="s">
        <v>936</v>
      </c>
      <c r="Q2090" s="2">
        <v>511.5</v>
      </c>
      <c r="R2090" s="2">
        <v>5</v>
      </c>
      <c r="S2090" s="2">
        <v>132.99</v>
      </c>
      <c r="T2090" s="2" t="s">
        <v>70</v>
      </c>
      <c r="U2090" s="2" t="s">
        <v>77</v>
      </c>
    </row>
    <row r="2091" spans="1:21" ht="14.25" customHeight="1" x14ac:dyDescent="0.3">
      <c r="A2091" s="2" t="s">
        <v>4373</v>
      </c>
      <c r="B2091" s="5">
        <v>42492</v>
      </c>
      <c r="C2091" s="2" t="str">
        <f>TEXT(data[[#This Row],[Order Date]],"YYYY")</f>
        <v>2016</v>
      </c>
      <c r="D2091" s="2">
        <v>42496</v>
      </c>
      <c r="E2091" s="2" t="s">
        <v>39</v>
      </c>
      <c r="F2091" s="2" t="s">
        <v>1598</v>
      </c>
      <c r="G2091" s="2" t="s">
        <v>1599</v>
      </c>
      <c r="H2091" s="2" t="s">
        <v>90</v>
      </c>
      <c r="I2091" s="2" t="s">
        <v>25</v>
      </c>
      <c r="J2091" s="2" t="s">
        <v>173</v>
      </c>
      <c r="K2091" s="2" t="s">
        <v>120</v>
      </c>
      <c r="L2091" s="2" t="s">
        <v>67</v>
      </c>
      <c r="M2091" s="2" t="s">
        <v>677</v>
      </c>
      <c r="N2091" s="2" t="s">
        <v>30</v>
      </c>
      <c r="O2091" s="2" t="s">
        <v>56</v>
      </c>
      <c r="P2091" s="2" t="s">
        <v>678</v>
      </c>
      <c r="Q2091" s="2">
        <v>12.56</v>
      </c>
      <c r="R2091" s="2">
        <v>2</v>
      </c>
      <c r="S2091" s="2">
        <v>4.0191999999999997</v>
      </c>
      <c r="T2091" s="2" t="s">
        <v>83</v>
      </c>
      <c r="U2091" s="2" t="s">
        <v>161</v>
      </c>
    </row>
    <row r="2092" spans="1:21" ht="14.25" customHeight="1" x14ac:dyDescent="0.3">
      <c r="A2092" s="2" t="s">
        <v>4373</v>
      </c>
      <c r="B2092" s="5">
        <v>42492</v>
      </c>
      <c r="C2092" s="2" t="str">
        <f>TEXT(data[[#This Row],[Order Date]],"YYYY")</f>
        <v>2016</v>
      </c>
      <c r="D2092" s="2">
        <v>42496</v>
      </c>
      <c r="E2092" s="2" t="s">
        <v>39</v>
      </c>
      <c r="F2092" s="2" t="s">
        <v>1598</v>
      </c>
      <c r="G2092" s="2" t="s">
        <v>1599</v>
      </c>
      <c r="H2092" s="2" t="s">
        <v>90</v>
      </c>
      <c r="I2092" s="2" t="s">
        <v>25</v>
      </c>
      <c r="J2092" s="2" t="s">
        <v>173</v>
      </c>
      <c r="K2092" s="2" t="s">
        <v>120</v>
      </c>
      <c r="L2092" s="2" t="s">
        <v>67</v>
      </c>
      <c r="M2092" s="2" t="s">
        <v>745</v>
      </c>
      <c r="N2092" s="2" t="s">
        <v>30</v>
      </c>
      <c r="O2092" s="2" t="s">
        <v>56</v>
      </c>
      <c r="P2092" s="2" t="s">
        <v>746</v>
      </c>
      <c r="Q2092" s="2">
        <v>214.7</v>
      </c>
      <c r="R2092" s="2">
        <v>5</v>
      </c>
      <c r="S2092" s="2">
        <v>83.733000000000004</v>
      </c>
      <c r="T2092" s="2" t="s">
        <v>83</v>
      </c>
      <c r="U2092" s="2" t="s">
        <v>161</v>
      </c>
    </row>
    <row r="2093" spans="1:21" ht="14.25" customHeight="1" x14ac:dyDescent="0.3">
      <c r="A2093" s="2" t="s">
        <v>4374</v>
      </c>
      <c r="B2093" s="5">
        <v>42905</v>
      </c>
      <c r="C2093" s="2" t="str">
        <f>TEXT(data[[#This Row],[Order Date]],"YYYY")</f>
        <v>2017</v>
      </c>
      <c r="D2093" s="2">
        <v>42909</v>
      </c>
      <c r="E2093" s="2" t="s">
        <v>39</v>
      </c>
      <c r="F2093" s="2" t="s">
        <v>2702</v>
      </c>
      <c r="G2093" s="2" t="s">
        <v>2703</v>
      </c>
      <c r="H2093" s="2" t="s">
        <v>24</v>
      </c>
      <c r="I2093" s="2" t="s">
        <v>25</v>
      </c>
      <c r="J2093" s="2" t="s">
        <v>328</v>
      </c>
      <c r="K2093" s="2" t="s">
        <v>53</v>
      </c>
      <c r="L2093" s="2" t="s">
        <v>54</v>
      </c>
      <c r="M2093" s="2" t="s">
        <v>2614</v>
      </c>
      <c r="N2093" s="2" t="s">
        <v>30</v>
      </c>
      <c r="O2093" s="2" t="s">
        <v>56</v>
      </c>
      <c r="P2093" s="2" t="s">
        <v>2615</v>
      </c>
      <c r="Q2093" s="2">
        <v>50.32</v>
      </c>
      <c r="R2093" s="2">
        <v>4</v>
      </c>
      <c r="S2093" s="2">
        <v>21.134399999999999</v>
      </c>
      <c r="T2093" s="2" t="s">
        <v>83</v>
      </c>
      <c r="U2093" s="2" t="s">
        <v>59</v>
      </c>
    </row>
    <row r="2094" spans="1:21" ht="14.25" customHeight="1" x14ac:dyDescent="0.3">
      <c r="A2094" s="2" t="s">
        <v>4375</v>
      </c>
      <c r="B2094" s="5">
        <v>42089</v>
      </c>
      <c r="C2094" s="2" t="str">
        <f>TEXT(data[[#This Row],[Order Date]],"YYYY")</f>
        <v>2015</v>
      </c>
      <c r="D2094" s="2">
        <v>42093</v>
      </c>
      <c r="E2094" s="2" t="s">
        <v>39</v>
      </c>
      <c r="F2094" s="2" t="s">
        <v>623</v>
      </c>
      <c r="G2094" s="2" t="s">
        <v>624</v>
      </c>
      <c r="H2094" s="2" t="s">
        <v>90</v>
      </c>
      <c r="I2094" s="2" t="s">
        <v>25</v>
      </c>
      <c r="J2094" s="2" t="s">
        <v>191</v>
      </c>
      <c r="K2094" s="2" t="s">
        <v>192</v>
      </c>
      <c r="L2094" s="2" t="s">
        <v>54</v>
      </c>
      <c r="M2094" s="2" t="s">
        <v>521</v>
      </c>
      <c r="N2094" s="2" t="s">
        <v>30</v>
      </c>
      <c r="O2094" s="2" t="s">
        <v>45</v>
      </c>
      <c r="P2094" s="2" t="s">
        <v>522</v>
      </c>
      <c r="Q2094" s="2">
        <v>3393.68</v>
      </c>
      <c r="R2094" s="2">
        <v>8</v>
      </c>
      <c r="S2094" s="2">
        <v>610.86239999999998</v>
      </c>
      <c r="T2094" s="2" t="s">
        <v>83</v>
      </c>
      <c r="U2094" s="2" t="s">
        <v>195</v>
      </c>
    </row>
    <row r="2095" spans="1:21" ht="14.25" customHeight="1" x14ac:dyDescent="0.3">
      <c r="A2095" s="2" t="s">
        <v>4376</v>
      </c>
      <c r="B2095" s="5">
        <v>42749</v>
      </c>
      <c r="C2095" s="2" t="str">
        <f>TEXT(data[[#This Row],[Order Date]],"YYYY")</f>
        <v>2017</v>
      </c>
      <c r="D2095" s="2">
        <v>42755</v>
      </c>
      <c r="E2095" s="2" t="s">
        <v>39</v>
      </c>
      <c r="F2095" s="2" t="s">
        <v>3021</v>
      </c>
      <c r="G2095" s="2" t="s">
        <v>3022</v>
      </c>
      <c r="H2095" s="2" t="s">
        <v>100</v>
      </c>
      <c r="I2095" s="2" t="s">
        <v>25</v>
      </c>
      <c r="J2095" s="2" t="s">
        <v>635</v>
      </c>
      <c r="K2095" s="2" t="s">
        <v>110</v>
      </c>
      <c r="L2095" s="2" t="s">
        <v>93</v>
      </c>
      <c r="M2095" s="2" t="s">
        <v>1595</v>
      </c>
      <c r="N2095" s="2" t="s">
        <v>30</v>
      </c>
      <c r="O2095" s="2" t="s">
        <v>56</v>
      </c>
      <c r="P2095" s="2" t="s">
        <v>1596</v>
      </c>
      <c r="Q2095" s="2">
        <v>18.96</v>
      </c>
      <c r="R2095" s="2">
        <v>2</v>
      </c>
      <c r="S2095" s="2">
        <v>8.532</v>
      </c>
      <c r="T2095" s="2" t="s">
        <v>129</v>
      </c>
      <c r="U2095" s="2" t="s">
        <v>169</v>
      </c>
    </row>
    <row r="2096" spans="1:21" ht="14.25" customHeight="1" x14ac:dyDescent="0.3">
      <c r="A2096" s="2" t="s">
        <v>4377</v>
      </c>
      <c r="B2096" s="5">
        <v>41944</v>
      </c>
      <c r="C2096" s="2" t="str">
        <f>TEXT(data[[#This Row],[Order Date]],"YYYY")</f>
        <v>2014</v>
      </c>
      <c r="D2096" s="2">
        <v>41946</v>
      </c>
      <c r="E2096" s="2" t="s">
        <v>87</v>
      </c>
      <c r="F2096" s="2" t="s">
        <v>1511</v>
      </c>
      <c r="G2096" s="2" t="s">
        <v>1512</v>
      </c>
      <c r="H2096" s="2" t="s">
        <v>90</v>
      </c>
      <c r="I2096" s="2" t="s">
        <v>25</v>
      </c>
      <c r="J2096" s="2" t="s">
        <v>4378</v>
      </c>
      <c r="K2096" s="2" t="s">
        <v>231</v>
      </c>
      <c r="L2096" s="2" t="s">
        <v>67</v>
      </c>
      <c r="M2096" s="2" t="s">
        <v>745</v>
      </c>
      <c r="N2096" s="2" t="s">
        <v>30</v>
      </c>
      <c r="O2096" s="2" t="s">
        <v>56</v>
      </c>
      <c r="P2096" s="2" t="s">
        <v>746</v>
      </c>
      <c r="Q2096" s="2">
        <v>68.703999999999994</v>
      </c>
      <c r="R2096" s="2">
        <v>2</v>
      </c>
      <c r="S2096" s="2">
        <v>16.3172</v>
      </c>
      <c r="T2096" s="2" t="s">
        <v>70</v>
      </c>
      <c r="U2096" s="2" t="s">
        <v>34</v>
      </c>
    </row>
    <row r="2097" spans="1:21" ht="14.25" customHeight="1" x14ac:dyDescent="0.3">
      <c r="A2097" s="2" t="s">
        <v>4379</v>
      </c>
      <c r="B2097" s="5">
        <v>42603</v>
      </c>
      <c r="C2097" s="2" t="str">
        <f>TEXT(data[[#This Row],[Order Date]],"YYYY")</f>
        <v>2016</v>
      </c>
      <c r="D2097" s="2">
        <v>42607</v>
      </c>
      <c r="E2097" s="2" t="s">
        <v>39</v>
      </c>
      <c r="F2097" s="2" t="s">
        <v>728</v>
      </c>
      <c r="G2097" s="2" t="s">
        <v>729</v>
      </c>
      <c r="H2097" s="2" t="s">
        <v>24</v>
      </c>
      <c r="I2097" s="2" t="s">
        <v>25</v>
      </c>
      <c r="J2097" s="2" t="s">
        <v>173</v>
      </c>
      <c r="K2097" s="2" t="s">
        <v>120</v>
      </c>
      <c r="L2097" s="2" t="s">
        <v>67</v>
      </c>
      <c r="M2097" s="2" t="s">
        <v>1217</v>
      </c>
      <c r="N2097" s="2" t="s">
        <v>30</v>
      </c>
      <c r="O2097" s="2" t="s">
        <v>36</v>
      </c>
      <c r="P2097" s="2" t="s">
        <v>1218</v>
      </c>
      <c r="Q2097" s="2">
        <v>573.17399999999998</v>
      </c>
      <c r="R2097" s="2">
        <v>7</v>
      </c>
      <c r="S2097" s="2">
        <v>63.686</v>
      </c>
      <c r="T2097" s="2" t="s">
        <v>83</v>
      </c>
      <c r="U2097" s="2" t="s">
        <v>253</v>
      </c>
    </row>
    <row r="2098" spans="1:21" ht="14.25" customHeight="1" x14ac:dyDescent="0.3">
      <c r="A2098" s="2" t="s">
        <v>4380</v>
      </c>
      <c r="B2098" s="5">
        <v>42576</v>
      </c>
      <c r="C2098" s="2" t="str">
        <f>TEXT(data[[#This Row],[Order Date]],"YYYY")</f>
        <v>2016</v>
      </c>
      <c r="D2098" s="2">
        <v>42579</v>
      </c>
      <c r="E2098" s="2" t="s">
        <v>21</v>
      </c>
      <c r="F2098" s="2" t="s">
        <v>2024</v>
      </c>
      <c r="G2098" s="2" t="s">
        <v>2025</v>
      </c>
      <c r="H2098" s="2" t="s">
        <v>90</v>
      </c>
      <c r="I2098" s="2" t="s">
        <v>25</v>
      </c>
      <c r="J2098" s="2" t="s">
        <v>905</v>
      </c>
      <c r="K2098" s="2" t="s">
        <v>238</v>
      </c>
      <c r="L2098" s="2" t="s">
        <v>93</v>
      </c>
      <c r="M2098" s="2" t="s">
        <v>3017</v>
      </c>
      <c r="N2098" s="2" t="s">
        <v>30</v>
      </c>
      <c r="O2098" s="2" t="s">
        <v>36</v>
      </c>
      <c r="P2098" s="2" t="s">
        <v>3018</v>
      </c>
      <c r="Q2098" s="2">
        <v>403.56</v>
      </c>
      <c r="R2098" s="2">
        <v>4</v>
      </c>
      <c r="S2098" s="2">
        <v>96.854399999999998</v>
      </c>
      <c r="T2098" s="2" t="s">
        <v>33</v>
      </c>
      <c r="U2098" s="2" t="s">
        <v>71</v>
      </c>
    </row>
    <row r="2099" spans="1:21" ht="14.25" customHeight="1" x14ac:dyDescent="0.3">
      <c r="A2099" s="2" t="s">
        <v>4380</v>
      </c>
      <c r="B2099" s="5">
        <v>42576</v>
      </c>
      <c r="C2099" s="2" t="str">
        <f>TEXT(data[[#This Row],[Order Date]],"YYYY")</f>
        <v>2016</v>
      </c>
      <c r="D2099" s="2">
        <v>42579</v>
      </c>
      <c r="E2099" s="2" t="s">
        <v>21</v>
      </c>
      <c r="F2099" s="2" t="s">
        <v>2024</v>
      </c>
      <c r="G2099" s="2" t="s">
        <v>2025</v>
      </c>
      <c r="H2099" s="2" t="s">
        <v>90</v>
      </c>
      <c r="I2099" s="2" t="s">
        <v>25</v>
      </c>
      <c r="J2099" s="2" t="s">
        <v>905</v>
      </c>
      <c r="K2099" s="2" t="s">
        <v>238</v>
      </c>
      <c r="L2099" s="2" t="s">
        <v>93</v>
      </c>
      <c r="M2099" s="2" t="s">
        <v>383</v>
      </c>
      <c r="N2099" s="2" t="s">
        <v>30</v>
      </c>
      <c r="O2099" s="2" t="s">
        <v>56</v>
      </c>
      <c r="P2099" s="2" t="s">
        <v>384</v>
      </c>
      <c r="Q2099" s="2">
        <v>95.2</v>
      </c>
      <c r="R2099" s="2">
        <v>5</v>
      </c>
      <c r="S2099" s="2">
        <v>27.608000000000001</v>
      </c>
      <c r="T2099" s="2" t="s">
        <v>33</v>
      </c>
      <c r="U2099" s="2" t="s">
        <v>71</v>
      </c>
    </row>
    <row r="2100" spans="1:21" ht="14.25" customHeight="1" x14ac:dyDescent="0.3">
      <c r="A2100" s="2" t="s">
        <v>4381</v>
      </c>
      <c r="B2100" s="5">
        <v>42527</v>
      </c>
      <c r="C2100" s="2" t="str">
        <f>TEXT(data[[#This Row],[Order Date]],"YYYY")</f>
        <v>2016</v>
      </c>
      <c r="D2100" s="2">
        <v>42531</v>
      </c>
      <c r="E2100" s="2" t="s">
        <v>39</v>
      </c>
      <c r="F2100" s="2" t="s">
        <v>3985</v>
      </c>
      <c r="G2100" s="2" t="s">
        <v>3986</v>
      </c>
      <c r="H2100" s="2" t="s">
        <v>24</v>
      </c>
      <c r="I2100" s="2" t="s">
        <v>25</v>
      </c>
      <c r="J2100" s="2" t="s">
        <v>1580</v>
      </c>
      <c r="K2100" s="2" t="s">
        <v>231</v>
      </c>
      <c r="L2100" s="2" t="s">
        <v>67</v>
      </c>
      <c r="M2100" s="2" t="s">
        <v>790</v>
      </c>
      <c r="N2100" s="2" t="s">
        <v>30</v>
      </c>
      <c r="O2100" s="2" t="s">
        <v>56</v>
      </c>
      <c r="P2100" s="2" t="s">
        <v>791</v>
      </c>
      <c r="Q2100" s="2">
        <v>466.32</v>
      </c>
      <c r="R2100" s="2">
        <v>3</v>
      </c>
      <c r="S2100" s="2">
        <v>34.973999999999997</v>
      </c>
      <c r="T2100" s="2" t="s">
        <v>83</v>
      </c>
      <c r="U2100" s="2" t="s">
        <v>59</v>
      </c>
    </row>
    <row r="2101" spans="1:21" ht="14.25" customHeight="1" x14ac:dyDescent="0.3">
      <c r="A2101" s="2" t="s">
        <v>4381</v>
      </c>
      <c r="B2101" s="5">
        <v>42527</v>
      </c>
      <c r="C2101" s="2" t="str">
        <f>TEXT(data[[#This Row],[Order Date]],"YYYY")</f>
        <v>2016</v>
      </c>
      <c r="D2101" s="2">
        <v>42531</v>
      </c>
      <c r="E2101" s="2" t="s">
        <v>39</v>
      </c>
      <c r="F2101" s="2" t="s">
        <v>3985</v>
      </c>
      <c r="G2101" s="2" t="s">
        <v>3986</v>
      </c>
      <c r="H2101" s="2" t="s">
        <v>24</v>
      </c>
      <c r="I2101" s="2" t="s">
        <v>25</v>
      </c>
      <c r="J2101" s="2" t="s">
        <v>1580</v>
      </c>
      <c r="K2101" s="2" t="s">
        <v>231</v>
      </c>
      <c r="L2101" s="2" t="s">
        <v>67</v>
      </c>
      <c r="M2101" s="2" t="s">
        <v>2973</v>
      </c>
      <c r="N2101" s="2" t="s">
        <v>30</v>
      </c>
      <c r="O2101" s="2" t="s">
        <v>56</v>
      </c>
      <c r="P2101" s="2" t="s">
        <v>2974</v>
      </c>
      <c r="Q2101" s="2">
        <v>82.64</v>
      </c>
      <c r="R2101" s="2">
        <v>2</v>
      </c>
      <c r="S2101" s="2">
        <v>0</v>
      </c>
      <c r="T2101" s="2" t="s">
        <v>83</v>
      </c>
      <c r="U2101" s="2" t="s">
        <v>59</v>
      </c>
    </row>
    <row r="2102" spans="1:21" ht="14.25" customHeight="1" x14ac:dyDescent="0.3">
      <c r="A2102" s="2" t="s">
        <v>4382</v>
      </c>
      <c r="B2102" s="5">
        <v>41726</v>
      </c>
      <c r="C2102" s="2" t="str">
        <f>TEXT(data[[#This Row],[Order Date]],"YYYY")</f>
        <v>2014</v>
      </c>
      <c r="D2102" s="2">
        <v>41732</v>
      </c>
      <c r="E2102" s="2" t="s">
        <v>39</v>
      </c>
      <c r="F2102" s="2" t="s">
        <v>1351</v>
      </c>
      <c r="G2102" s="2" t="s">
        <v>1352</v>
      </c>
      <c r="H2102" s="2" t="s">
        <v>100</v>
      </c>
      <c r="I2102" s="2" t="s">
        <v>25</v>
      </c>
      <c r="J2102" s="2" t="s">
        <v>878</v>
      </c>
      <c r="K2102" s="2" t="s">
        <v>231</v>
      </c>
      <c r="L2102" s="2" t="s">
        <v>67</v>
      </c>
      <c r="M2102" s="2" t="s">
        <v>751</v>
      </c>
      <c r="N2102" s="2" t="s">
        <v>30</v>
      </c>
      <c r="O2102" s="2" t="s">
        <v>45</v>
      </c>
      <c r="P2102" s="2" t="s">
        <v>752</v>
      </c>
      <c r="Q2102" s="2">
        <v>330.58800000000002</v>
      </c>
      <c r="R2102" s="2">
        <v>1</v>
      </c>
      <c r="S2102" s="2">
        <v>-143.25479999999999</v>
      </c>
      <c r="T2102" s="2" t="s">
        <v>129</v>
      </c>
      <c r="U2102" s="2" t="s">
        <v>195</v>
      </c>
    </row>
    <row r="2103" spans="1:21" ht="14.25" customHeight="1" x14ac:dyDescent="0.3">
      <c r="A2103" s="2" t="s">
        <v>4383</v>
      </c>
      <c r="B2103" s="5">
        <v>42968</v>
      </c>
      <c r="C2103" s="2" t="str">
        <f>TEXT(data[[#This Row],[Order Date]],"YYYY")</f>
        <v>2017</v>
      </c>
      <c r="D2103" s="2">
        <v>42972</v>
      </c>
      <c r="E2103" s="2" t="s">
        <v>39</v>
      </c>
      <c r="F2103" s="2" t="s">
        <v>4384</v>
      </c>
      <c r="G2103" s="2" t="s">
        <v>4385</v>
      </c>
      <c r="H2103" s="2" t="s">
        <v>24</v>
      </c>
      <c r="I2103" s="2" t="s">
        <v>25</v>
      </c>
      <c r="J2103" s="2" t="s">
        <v>865</v>
      </c>
      <c r="K2103" s="2" t="s">
        <v>180</v>
      </c>
      <c r="L2103" s="2" t="s">
        <v>54</v>
      </c>
      <c r="M2103" s="2" t="s">
        <v>1595</v>
      </c>
      <c r="N2103" s="2" t="s">
        <v>30</v>
      </c>
      <c r="O2103" s="2" t="s">
        <v>56</v>
      </c>
      <c r="P2103" s="2" t="s">
        <v>1596</v>
      </c>
      <c r="Q2103" s="2">
        <v>22.751999999999999</v>
      </c>
      <c r="R2103" s="2">
        <v>3</v>
      </c>
      <c r="S2103" s="2">
        <v>7.11</v>
      </c>
      <c r="T2103" s="2" t="s">
        <v>83</v>
      </c>
      <c r="U2103" s="2" t="s">
        <v>253</v>
      </c>
    </row>
    <row r="2104" spans="1:21" ht="14.25" customHeight="1" x14ac:dyDescent="0.3">
      <c r="A2104" s="2" t="s">
        <v>4386</v>
      </c>
      <c r="B2104" s="5">
        <v>41955</v>
      </c>
      <c r="C2104" s="2" t="str">
        <f>TEXT(data[[#This Row],[Order Date]],"YYYY")</f>
        <v>2014</v>
      </c>
      <c r="D2104" s="2">
        <v>41961</v>
      </c>
      <c r="E2104" s="2" t="s">
        <v>39</v>
      </c>
      <c r="F2104" s="2" t="s">
        <v>107</v>
      </c>
      <c r="G2104" s="2" t="s">
        <v>108</v>
      </c>
      <c r="H2104" s="2" t="s">
        <v>24</v>
      </c>
      <c r="I2104" s="2" t="s">
        <v>25</v>
      </c>
      <c r="J2104" s="2" t="s">
        <v>1389</v>
      </c>
      <c r="K2104" s="2" t="s">
        <v>92</v>
      </c>
      <c r="L2104" s="2" t="s">
        <v>93</v>
      </c>
      <c r="M2104" s="2" t="s">
        <v>1978</v>
      </c>
      <c r="N2104" s="2" t="s">
        <v>30</v>
      </c>
      <c r="O2104" s="2" t="s">
        <v>56</v>
      </c>
      <c r="P2104" s="2" t="s">
        <v>1979</v>
      </c>
      <c r="Q2104" s="2">
        <v>25.128</v>
      </c>
      <c r="R2104" s="2">
        <v>3</v>
      </c>
      <c r="S2104" s="2">
        <v>-6.9101999999999997</v>
      </c>
      <c r="T2104" s="2" t="s">
        <v>129</v>
      </c>
      <c r="U2104" s="2" t="s">
        <v>34</v>
      </c>
    </row>
    <row r="2105" spans="1:21" ht="14.25" customHeight="1" x14ac:dyDescent="0.3">
      <c r="A2105" s="2" t="s">
        <v>4387</v>
      </c>
      <c r="B2105" s="5">
        <v>42260</v>
      </c>
      <c r="C2105" s="2" t="str">
        <f>TEXT(data[[#This Row],[Order Date]],"YYYY")</f>
        <v>2015</v>
      </c>
      <c r="D2105" s="2">
        <v>42262</v>
      </c>
      <c r="E2105" s="2" t="s">
        <v>87</v>
      </c>
      <c r="F2105" s="2" t="s">
        <v>1946</v>
      </c>
      <c r="G2105" s="2" t="s">
        <v>1947</v>
      </c>
      <c r="H2105" s="2" t="s">
        <v>90</v>
      </c>
      <c r="I2105" s="2" t="s">
        <v>25</v>
      </c>
      <c r="J2105" s="2" t="s">
        <v>3047</v>
      </c>
      <c r="K2105" s="2" t="s">
        <v>53</v>
      </c>
      <c r="L2105" s="2" t="s">
        <v>54</v>
      </c>
      <c r="M2105" s="2" t="s">
        <v>1542</v>
      </c>
      <c r="N2105" s="2" t="s">
        <v>30</v>
      </c>
      <c r="O2105" s="2" t="s">
        <v>56</v>
      </c>
      <c r="P2105" s="2" t="s">
        <v>1543</v>
      </c>
      <c r="Q2105" s="2">
        <v>131.88</v>
      </c>
      <c r="R2105" s="2">
        <v>7</v>
      </c>
      <c r="S2105" s="2">
        <v>55.389600000000002</v>
      </c>
      <c r="T2105" s="2" t="s">
        <v>70</v>
      </c>
      <c r="U2105" s="2" t="s">
        <v>77</v>
      </c>
    </row>
    <row r="2106" spans="1:21" ht="14.25" customHeight="1" x14ac:dyDescent="0.3">
      <c r="A2106" s="2" t="s">
        <v>4387</v>
      </c>
      <c r="B2106" s="5">
        <v>42260</v>
      </c>
      <c r="C2106" s="2" t="str">
        <f>TEXT(data[[#This Row],[Order Date]],"YYYY")</f>
        <v>2015</v>
      </c>
      <c r="D2106" s="2">
        <v>42262</v>
      </c>
      <c r="E2106" s="2" t="s">
        <v>87</v>
      </c>
      <c r="F2106" s="2" t="s">
        <v>1946</v>
      </c>
      <c r="G2106" s="2" t="s">
        <v>1947</v>
      </c>
      <c r="H2106" s="2" t="s">
        <v>90</v>
      </c>
      <c r="I2106" s="2" t="s">
        <v>25</v>
      </c>
      <c r="J2106" s="2" t="s">
        <v>3047</v>
      </c>
      <c r="K2106" s="2" t="s">
        <v>53</v>
      </c>
      <c r="L2106" s="2" t="s">
        <v>54</v>
      </c>
      <c r="M2106" s="2" t="s">
        <v>1585</v>
      </c>
      <c r="N2106" s="2" t="s">
        <v>30</v>
      </c>
      <c r="O2106" s="2" t="s">
        <v>36</v>
      </c>
      <c r="P2106" s="2" t="s">
        <v>1586</v>
      </c>
      <c r="Q2106" s="2">
        <v>717.72</v>
      </c>
      <c r="R2106" s="2">
        <v>3</v>
      </c>
      <c r="S2106" s="2">
        <v>71.772000000000006</v>
      </c>
      <c r="T2106" s="2" t="s">
        <v>70</v>
      </c>
      <c r="U2106" s="2" t="s">
        <v>77</v>
      </c>
    </row>
    <row r="2107" spans="1:21" ht="14.25" customHeight="1" x14ac:dyDescent="0.3">
      <c r="A2107" s="2" t="s">
        <v>4387</v>
      </c>
      <c r="B2107" s="5">
        <v>42260</v>
      </c>
      <c r="C2107" s="2" t="str">
        <f>TEXT(data[[#This Row],[Order Date]],"YYYY")</f>
        <v>2015</v>
      </c>
      <c r="D2107" s="2">
        <v>42262</v>
      </c>
      <c r="E2107" s="2" t="s">
        <v>87</v>
      </c>
      <c r="F2107" s="2" t="s">
        <v>1946</v>
      </c>
      <c r="G2107" s="2" t="s">
        <v>1947</v>
      </c>
      <c r="H2107" s="2" t="s">
        <v>90</v>
      </c>
      <c r="I2107" s="2" t="s">
        <v>25</v>
      </c>
      <c r="J2107" s="2" t="s">
        <v>3047</v>
      </c>
      <c r="K2107" s="2" t="s">
        <v>53</v>
      </c>
      <c r="L2107" s="2" t="s">
        <v>54</v>
      </c>
      <c r="M2107" s="2" t="s">
        <v>2291</v>
      </c>
      <c r="N2107" s="2" t="s">
        <v>30</v>
      </c>
      <c r="O2107" s="2" t="s">
        <v>56</v>
      </c>
      <c r="P2107" s="2" t="s">
        <v>2292</v>
      </c>
      <c r="Q2107" s="2">
        <v>207.35</v>
      </c>
      <c r="R2107" s="2">
        <v>5</v>
      </c>
      <c r="S2107" s="2">
        <v>24.882000000000001</v>
      </c>
      <c r="T2107" s="2" t="s">
        <v>70</v>
      </c>
      <c r="U2107" s="2" t="s">
        <v>77</v>
      </c>
    </row>
    <row r="2108" spans="1:21" ht="14.25" customHeight="1" x14ac:dyDescent="0.3">
      <c r="A2108" s="2" t="s">
        <v>4387</v>
      </c>
      <c r="B2108" s="5">
        <v>42260</v>
      </c>
      <c r="C2108" s="2" t="str">
        <f>TEXT(data[[#This Row],[Order Date]],"YYYY")</f>
        <v>2015</v>
      </c>
      <c r="D2108" s="2">
        <v>42262</v>
      </c>
      <c r="E2108" s="2" t="s">
        <v>87</v>
      </c>
      <c r="F2108" s="2" t="s">
        <v>1946</v>
      </c>
      <c r="G2108" s="2" t="s">
        <v>1947</v>
      </c>
      <c r="H2108" s="2" t="s">
        <v>90</v>
      </c>
      <c r="I2108" s="2" t="s">
        <v>25</v>
      </c>
      <c r="J2108" s="2" t="s">
        <v>3047</v>
      </c>
      <c r="K2108" s="2" t="s">
        <v>53</v>
      </c>
      <c r="L2108" s="2" t="s">
        <v>54</v>
      </c>
      <c r="M2108" s="2" t="s">
        <v>1204</v>
      </c>
      <c r="N2108" s="2" t="s">
        <v>30</v>
      </c>
      <c r="O2108" s="2" t="s">
        <v>56</v>
      </c>
      <c r="P2108" s="2" t="s">
        <v>1205</v>
      </c>
      <c r="Q2108" s="2">
        <v>44.67</v>
      </c>
      <c r="R2108" s="2">
        <v>3</v>
      </c>
      <c r="S2108" s="2">
        <v>12.0609</v>
      </c>
      <c r="T2108" s="2" t="s">
        <v>70</v>
      </c>
      <c r="U2108" s="2" t="s">
        <v>77</v>
      </c>
    </row>
    <row r="2109" spans="1:21" ht="14.25" customHeight="1" x14ac:dyDescent="0.3">
      <c r="A2109" s="2" t="s">
        <v>4388</v>
      </c>
      <c r="B2109" s="5">
        <v>42287</v>
      </c>
      <c r="C2109" s="2" t="str">
        <f>TEXT(data[[#This Row],[Order Date]],"YYYY")</f>
        <v>2015</v>
      </c>
      <c r="D2109" s="2">
        <v>42289</v>
      </c>
      <c r="E2109" s="2" t="s">
        <v>87</v>
      </c>
      <c r="F2109" s="2" t="s">
        <v>3488</v>
      </c>
      <c r="G2109" s="2" t="s">
        <v>3489</v>
      </c>
      <c r="H2109" s="2" t="s">
        <v>90</v>
      </c>
      <c r="I2109" s="2" t="s">
        <v>25</v>
      </c>
      <c r="J2109" s="2" t="s">
        <v>4389</v>
      </c>
      <c r="K2109" s="2" t="s">
        <v>53</v>
      </c>
      <c r="L2109" s="2" t="s">
        <v>54</v>
      </c>
      <c r="M2109" s="2" t="s">
        <v>1850</v>
      </c>
      <c r="N2109" s="2" t="s">
        <v>30</v>
      </c>
      <c r="O2109" s="2" t="s">
        <v>36</v>
      </c>
      <c r="P2109" s="2" t="s">
        <v>1851</v>
      </c>
      <c r="Q2109" s="2">
        <v>362.13600000000002</v>
      </c>
      <c r="R2109" s="2">
        <v>3</v>
      </c>
      <c r="S2109" s="2">
        <v>-54.320399999999999</v>
      </c>
      <c r="T2109" s="2" t="s">
        <v>70</v>
      </c>
      <c r="U2109" s="2" t="s">
        <v>48</v>
      </c>
    </row>
    <row r="2110" spans="1:21" ht="14.25" customHeight="1" x14ac:dyDescent="0.3">
      <c r="A2110" s="2" t="s">
        <v>4390</v>
      </c>
      <c r="B2110" s="5">
        <v>42764</v>
      </c>
      <c r="C2110" s="2" t="str">
        <f>TEXT(data[[#This Row],[Order Date]],"YYYY")</f>
        <v>2017</v>
      </c>
      <c r="D2110" s="2">
        <v>42766</v>
      </c>
      <c r="E2110" s="2" t="s">
        <v>21</v>
      </c>
      <c r="F2110" s="2" t="s">
        <v>1965</v>
      </c>
      <c r="G2110" s="2" t="s">
        <v>1966</v>
      </c>
      <c r="H2110" s="2" t="s">
        <v>24</v>
      </c>
      <c r="I2110" s="2" t="s">
        <v>25</v>
      </c>
      <c r="J2110" s="2" t="s">
        <v>1770</v>
      </c>
      <c r="K2110" s="2" t="s">
        <v>801</v>
      </c>
      <c r="L2110" s="2" t="s">
        <v>93</v>
      </c>
      <c r="M2110" s="2" t="s">
        <v>650</v>
      </c>
      <c r="N2110" s="2" t="s">
        <v>30</v>
      </c>
      <c r="O2110" s="2" t="s">
        <v>56</v>
      </c>
      <c r="P2110" s="2" t="s">
        <v>651</v>
      </c>
      <c r="Q2110" s="2">
        <v>14.91</v>
      </c>
      <c r="R2110" s="2">
        <v>3</v>
      </c>
      <c r="S2110" s="2">
        <v>4.6220999999999997</v>
      </c>
      <c r="T2110" s="2" t="s">
        <v>70</v>
      </c>
      <c r="U2110" s="2" t="s">
        <v>169</v>
      </c>
    </row>
    <row r="2111" spans="1:21" ht="14.25" customHeight="1" x14ac:dyDescent="0.3">
      <c r="A2111" s="2" t="s">
        <v>4391</v>
      </c>
      <c r="B2111" s="5">
        <v>42444</v>
      </c>
      <c r="C2111" s="2" t="str">
        <f>TEXT(data[[#This Row],[Order Date]],"YYYY")</f>
        <v>2016</v>
      </c>
      <c r="D2111" s="2">
        <v>42448</v>
      </c>
      <c r="E2111" s="2" t="s">
        <v>39</v>
      </c>
      <c r="F2111" s="2" t="s">
        <v>2588</v>
      </c>
      <c r="G2111" s="2" t="s">
        <v>2589</v>
      </c>
      <c r="H2111" s="2" t="s">
        <v>90</v>
      </c>
      <c r="I2111" s="2" t="s">
        <v>25</v>
      </c>
      <c r="J2111" s="2" t="s">
        <v>4392</v>
      </c>
      <c r="K2111" s="2" t="s">
        <v>92</v>
      </c>
      <c r="L2111" s="2" t="s">
        <v>93</v>
      </c>
      <c r="M2111" s="2" t="s">
        <v>159</v>
      </c>
      <c r="N2111" s="2" t="s">
        <v>30</v>
      </c>
      <c r="O2111" s="2" t="s">
        <v>36</v>
      </c>
      <c r="P2111" s="2" t="s">
        <v>160</v>
      </c>
      <c r="Q2111" s="2">
        <v>528.42999999999995</v>
      </c>
      <c r="R2111" s="2">
        <v>5</v>
      </c>
      <c r="S2111" s="2">
        <v>-143.43100000000001</v>
      </c>
      <c r="T2111" s="2" t="s">
        <v>83</v>
      </c>
      <c r="U2111" s="2" t="s">
        <v>195</v>
      </c>
    </row>
    <row r="2112" spans="1:21" ht="14.25" customHeight="1" x14ac:dyDescent="0.3">
      <c r="A2112" s="2" t="s">
        <v>4393</v>
      </c>
      <c r="B2112" s="5">
        <v>42617</v>
      </c>
      <c r="C2112" s="2" t="str">
        <f>TEXT(data[[#This Row],[Order Date]],"YYYY")</f>
        <v>2016</v>
      </c>
      <c r="D2112" s="2">
        <v>42617</v>
      </c>
      <c r="E2112" s="2" t="s">
        <v>425</v>
      </c>
      <c r="F2112" s="2" t="s">
        <v>4394</v>
      </c>
      <c r="G2112" s="2" t="s">
        <v>4395</v>
      </c>
      <c r="H2112" s="2" t="s">
        <v>24</v>
      </c>
      <c r="I2112" s="2" t="s">
        <v>25</v>
      </c>
      <c r="J2112" s="2" t="s">
        <v>328</v>
      </c>
      <c r="K2112" s="2" t="s">
        <v>53</v>
      </c>
      <c r="L2112" s="2" t="s">
        <v>54</v>
      </c>
      <c r="M2112" s="2" t="s">
        <v>149</v>
      </c>
      <c r="N2112" s="2" t="s">
        <v>30</v>
      </c>
      <c r="O2112" s="2" t="s">
        <v>56</v>
      </c>
      <c r="P2112" s="2" t="s">
        <v>150</v>
      </c>
      <c r="Q2112" s="2">
        <v>24.27</v>
      </c>
      <c r="R2112" s="2">
        <v>3</v>
      </c>
      <c r="S2112" s="2">
        <v>8.7371999999999996</v>
      </c>
      <c r="T2112" s="2" t="s">
        <v>430</v>
      </c>
      <c r="U2112" s="2" t="s">
        <v>77</v>
      </c>
    </row>
    <row r="2113" spans="1:21" ht="14.25" customHeight="1" x14ac:dyDescent="0.3">
      <c r="A2113" s="2" t="s">
        <v>4396</v>
      </c>
      <c r="B2113" s="5">
        <v>42321</v>
      </c>
      <c r="C2113" s="2" t="str">
        <f>TEXT(data[[#This Row],[Order Date]],"YYYY")</f>
        <v>2015</v>
      </c>
      <c r="D2113" s="2">
        <v>42325</v>
      </c>
      <c r="E2113" s="2" t="s">
        <v>39</v>
      </c>
      <c r="F2113" s="2" t="s">
        <v>452</v>
      </c>
      <c r="G2113" s="2" t="s">
        <v>453</v>
      </c>
      <c r="H2113" s="2" t="s">
        <v>24</v>
      </c>
      <c r="I2113" s="2" t="s">
        <v>25</v>
      </c>
      <c r="J2113" s="2" t="s">
        <v>4397</v>
      </c>
      <c r="K2113" s="2" t="s">
        <v>53</v>
      </c>
      <c r="L2113" s="2" t="s">
        <v>54</v>
      </c>
      <c r="M2113" s="2" t="s">
        <v>1967</v>
      </c>
      <c r="N2113" s="2" t="s">
        <v>30</v>
      </c>
      <c r="O2113" s="2" t="s">
        <v>31</v>
      </c>
      <c r="P2113" s="2" t="s">
        <v>1968</v>
      </c>
      <c r="Q2113" s="2">
        <v>683.33199999999999</v>
      </c>
      <c r="R2113" s="2">
        <v>4</v>
      </c>
      <c r="S2113" s="2">
        <v>-40.195999999999998</v>
      </c>
      <c r="T2113" s="2" t="s">
        <v>83</v>
      </c>
      <c r="U2113" s="2" t="s">
        <v>34</v>
      </c>
    </row>
    <row r="2114" spans="1:21" ht="14.25" customHeight="1" x14ac:dyDescent="0.3">
      <c r="A2114" s="2" t="s">
        <v>4398</v>
      </c>
      <c r="B2114" s="5">
        <v>42524</v>
      </c>
      <c r="C2114" s="2" t="str">
        <f>TEXT(data[[#This Row],[Order Date]],"YYYY")</f>
        <v>2016</v>
      </c>
      <c r="D2114" s="2">
        <v>42527</v>
      </c>
      <c r="E2114" s="2" t="s">
        <v>21</v>
      </c>
      <c r="F2114" s="2" t="s">
        <v>1841</v>
      </c>
      <c r="G2114" s="2" t="s">
        <v>1842</v>
      </c>
      <c r="H2114" s="2" t="s">
        <v>90</v>
      </c>
      <c r="I2114" s="2" t="s">
        <v>25</v>
      </c>
      <c r="J2114" s="2" t="s">
        <v>52</v>
      </c>
      <c r="K2114" s="2" t="s">
        <v>53</v>
      </c>
      <c r="L2114" s="2" t="s">
        <v>54</v>
      </c>
      <c r="M2114" s="2" t="s">
        <v>1249</v>
      </c>
      <c r="N2114" s="2" t="s">
        <v>30</v>
      </c>
      <c r="O2114" s="2" t="s">
        <v>45</v>
      </c>
      <c r="P2114" s="2" t="s">
        <v>1250</v>
      </c>
      <c r="Q2114" s="2">
        <v>71.087999999999994</v>
      </c>
      <c r="R2114" s="2">
        <v>2</v>
      </c>
      <c r="S2114" s="2">
        <v>-1.7771999999999999</v>
      </c>
      <c r="T2114" s="2" t="s">
        <v>33</v>
      </c>
      <c r="U2114" s="2" t="s">
        <v>59</v>
      </c>
    </row>
    <row r="2115" spans="1:21" ht="14.25" customHeight="1" x14ac:dyDescent="0.3">
      <c r="A2115" s="2" t="s">
        <v>4399</v>
      </c>
      <c r="B2115" s="5">
        <v>42716</v>
      </c>
      <c r="C2115" s="2" t="str">
        <f>TEXT(data[[#This Row],[Order Date]],"YYYY")</f>
        <v>2016</v>
      </c>
      <c r="D2115" s="2">
        <v>42721</v>
      </c>
      <c r="E2115" s="2" t="s">
        <v>39</v>
      </c>
      <c r="F2115" s="2" t="s">
        <v>1038</v>
      </c>
      <c r="G2115" s="2" t="s">
        <v>1039</v>
      </c>
      <c r="H2115" s="2" t="s">
        <v>90</v>
      </c>
      <c r="I2115" s="2" t="s">
        <v>25</v>
      </c>
      <c r="J2115" s="2" t="s">
        <v>173</v>
      </c>
      <c r="K2115" s="2" t="s">
        <v>120</v>
      </c>
      <c r="L2115" s="2" t="s">
        <v>67</v>
      </c>
      <c r="M2115" s="2" t="s">
        <v>551</v>
      </c>
      <c r="N2115" s="2" t="s">
        <v>30</v>
      </c>
      <c r="O2115" s="2" t="s">
        <v>56</v>
      </c>
      <c r="P2115" s="2" t="s">
        <v>3125</v>
      </c>
      <c r="Q2115" s="2">
        <v>60.35</v>
      </c>
      <c r="R2115" s="2">
        <v>5</v>
      </c>
      <c r="S2115" s="2">
        <v>19.915500000000002</v>
      </c>
      <c r="T2115" s="2" t="s">
        <v>58</v>
      </c>
      <c r="U2115" s="2" t="s">
        <v>96</v>
      </c>
    </row>
    <row r="2116" spans="1:21" ht="14.25" customHeight="1" x14ac:dyDescent="0.3">
      <c r="A2116" s="2" t="s">
        <v>4400</v>
      </c>
      <c r="B2116" s="5">
        <v>42887</v>
      </c>
      <c r="C2116" s="2" t="str">
        <f>TEXT(data[[#This Row],[Order Date]],"YYYY")</f>
        <v>2017</v>
      </c>
      <c r="D2116" s="2">
        <v>42889</v>
      </c>
      <c r="E2116" s="2" t="s">
        <v>21</v>
      </c>
      <c r="F2116" s="2" t="s">
        <v>828</v>
      </c>
      <c r="G2116" s="2" t="s">
        <v>829</v>
      </c>
      <c r="H2116" s="2" t="s">
        <v>90</v>
      </c>
      <c r="I2116" s="2" t="s">
        <v>25</v>
      </c>
      <c r="J2116" s="2" t="s">
        <v>4401</v>
      </c>
      <c r="K2116" s="2" t="s">
        <v>110</v>
      </c>
      <c r="L2116" s="2" t="s">
        <v>93</v>
      </c>
      <c r="M2116" s="2" t="s">
        <v>795</v>
      </c>
      <c r="N2116" s="2" t="s">
        <v>30</v>
      </c>
      <c r="O2116" s="2" t="s">
        <v>36</v>
      </c>
      <c r="P2116" s="2" t="s">
        <v>796</v>
      </c>
      <c r="Q2116" s="2">
        <v>1925.88</v>
      </c>
      <c r="R2116" s="2">
        <v>6</v>
      </c>
      <c r="S2116" s="2">
        <v>539.24639999999999</v>
      </c>
      <c r="T2116" s="2" t="s">
        <v>70</v>
      </c>
      <c r="U2116" s="2" t="s">
        <v>59</v>
      </c>
    </row>
    <row r="2117" spans="1:21" ht="14.25" customHeight="1" x14ac:dyDescent="0.3">
      <c r="A2117" s="2" t="s">
        <v>4402</v>
      </c>
      <c r="B2117" s="5">
        <v>42352</v>
      </c>
      <c r="C2117" s="2" t="str">
        <f>TEXT(data[[#This Row],[Order Date]],"YYYY")</f>
        <v>2015</v>
      </c>
      <c r="D2117" s="2">
        <v>42354</v>
      </c>
      <c r="E2117" s="2" t="s">
        <v>21</v>
      </c>
      <c r="F2117" s="2" t="s">
        <v>3194</v>
      </c>
      <c r="G2117" s="2" t="s">
        <v>3195</v>
      </c>
      <c r="H2117" s="2" t="s">
        <v>90</v>
      </c>
      <c r="I2117" s="2" t="s">
        <v>25</v>
      </c>
      <c r="J2117" s="2" t="s">
        <v>52</v>
      </c>
      <c r="K2117" s="2" t="s">
        <v>53</v>
      </c>
      <c r="L2117" s="2" t="s">
        <v>54</v>
      </c>
      <c r="M2117" s="2" t="s">
        <v>1254</v>
      </c>
      <c r="N2117" s="2" t="s">
        <v>30</v>
      </c>
      <c r="O2117" s="2" t="s">
        <v>45</v>
      </c>
      <c r="P2117" s="2" t="s">
        <v>1255</v>
      </c>
      <c r="Q2117" s="2">
        <v>273.56799999999998</v>
      </c>
      <c r="R2117" s="2">
        <v>2</v>
      </c>
      <c r="S2117" s="2">
        <v>10.258800000000001</v>
      </c>
      <c r="T2117" s="2" t="s">
        <v>70</v>
      </c>
      <c r="U2117" s="2" t="s">
        <v>96</v>
      </c>
    </row>
    <row r="2118" spans="1:21" ht="14.25" customHeight="1" x14ac:dyDescent="0.3">
      <c r="A2118" s="2" t="s">
        <v>4403</v>
      </c>
      <c r="B2118" s="5">
        <v>42082</v>
      </c>
      <c r="C2118" s="2" t="str">
        <f>TEXT(data[[#This Row],[Order Date]],"YYYY")</f>
        <v>2015</v>
      </c>
      <c r="D2118" s="2">
        <v>42085</v>
      </c>
      <c r="E2118" s="2" t="s">
        <v>87</v>
      </c>
      <c r="F2118" s="2" t="s">
        <v>1314</v>
      </c>
      <c r="G2118" s="2" t="s">
        <v>1315</v>
      </c>
      <c r="H2118" s="2" t="s">
        <v>100</v>
      </c>
      <c r="I2118" s="2" t="s">
        <v>25</v>
      </c>
      <c r="J2118" s="2" t="s">
        <v>101</v>
      </c>
      <c r="K2118" s="2" t="s">
        <v>92</v>
      </c>
      <c r="L2118" s="2" t="s">
        <v>93</v>
      </c>
      <c r="M2118" s="2" t="s">
        <v>2622</v>
      </c>
      <c r="N2118" s="2" t="s">
        <v>30</v>
      </c>
      <c r="O2118" s="2" t="s">
        <v>31</v>
      </c>
      <c r="P2118" s="2" t="s">
        <v>2623</v>
      </c>
      <c r="Q2118" s="2">
        <v>383.46559999999999</v>
      </c>
      <c r="R2118" s="2">
        <v>4</v>
      </c>
      <c r="S2118" s="2">
        <v>-67.670400000000001</v>
      </c>
      <c r="T2118" s="2" t="s">
        <v>33</v>
      </c>
      <c r="U2118" s="2" t="s">
        <v>195</v>
      </c>
    </row>
    <row r="2119" spans="1:21" ht="14.25" customHeight="1" x14ac:dyDescent="0.3">
      <c r="A2119" s="2" t="s">
        <v>4404</v>
      </c>
      <c r="B2119" s="5">
        <v>42709</v>
      </c>
      <c r="C2119" s="2" t="str">
        <f>TEXT(data[[#This Row],[Order Date]],"YYYY")</f>
        <v>2016</v>
      </c>
      <c r="D2119" s="2">
        <v>42714</v>
      </c>
      <c r="E2119" s="2" t="s">
        <v>21</v>
      </c>
      <c r="F2119" s="2" t="s">
        <v>4028</v>
      </c>
      <c r="G2119" s="2" t="s">
        <v>4029</v>
      </c>
      <c r="H2119" s="2" t="s">
        <v>90</v>
      </c>
      <c r="I2119" s="2" t="s">
        <v>25</v>
      </c>
      <c r="J2119" s="2" t="s">
        <v>230</v>
      </c>
      <c r="K2119" s="2" t="s">
        <v>200</v>
      </c>
      <c r="L2119" s="2" t="s">
        <v>67</v>
      </c>
      <c r="M2119" s="2" t="s">
        <v>373</v>
      </c>
      <c r="N2119" s="2" t="s">
        <v>30</v>
      </c>
      <c r="O2119" s="2" t="s">
        <v>56</v>
      </c>
      <c r="P2119" s="2" t="s">
        <v>374</v>
      </c>
      <c r="Q2119" s="2">
        <v>13.4</v>
      </c>
      <c r="R2119" s="2">
        <v>1</v>
      </c>
      <c r="S2119" s="2">
        <v>6.4320000000000004</v>
      </c>
      <c r="T2119" s="2" t="s">
        <v>58</v>
      </c>
      <c r="U2119" s="2" t="s">
        <v>96</v>
      </c>
    </row>
    <row r="2120" spans="1:21" ht="14.25" customHeight="1" x14ac:dyDescent="0.3">
      <c r="A2120" s="2" t="s">
        <v>4405</v>
      </c>
      <c r="B2120" s="5">
        <v>42253</v>
      </c>
      <c r="C2120" s="2" t="str">
        <f>TEXT(data[[#This Row],[Order Date]],"YYYY")</f>
        <v>2015</v>
      </c>
      <c r="D2120" s="2">
        <v>42256</v>
      </c>
      <c r="E2120" s="2" t="s">
        <v>21</v>
      </c>
      <c r="F2120" s="2" t="s">
        <v>1903</v>
      </c>
      <c r="G2120" s="2" t="s">
        <v>1904</v>
      </c>
      <c r="H2120" s="2" t="s">
        <v>24</v>
      </c>
      <c r="I2120" s="2" t="s">
        <v>25</v>
      </c>
      <c r="J2120" s="2" t="s">
        <v>1405</v>
      </c>
      <c r="K2120" s="2" t="s">
        <v>1406</v>
      </c>
      <c r="L2120" s="2" t="s">
        <v>28</v>
      </c>
      <c r="M2120" s="2" t="s">
        <v>1259</v>
      </c>
      <c r="N2120" s="2" t="s">
        <v>30</v>
      </c>
      <c r="O2120" s="2" t="s">
        <v>45</v>
      </c>
      <c r="P2120" s="2" t="s">
        <v>1063</v>
      </c>
      <c r="Q2120" s="2">
        <v>85.98</v>
      </c>
      <c r="R2120" s="2">
        <v>1</v>
      </c>
      <c r="S2120" s="2">
        <v>22.354800000000001</v>
      </c>
      <c r="T2120" s="2" t="s">
        <v>33</v>
      </c>
      <c r="U2120" s="2" t="s">
        <v>77</v>
      </c>
    </row>
    <row r="2121" spans="1:21" ht="14.25" customHeight="1" x14ac:dyDescent="0.3">
      <c r="A2121" s="2" t="s">
        <v>4406</v>
      </c>
      <c r="B2121" s="5">
        <v>41660</v>
      </c>
      <c r="C2121" s="2" t="str">
        <f>TEXT(data[[#This Row],[Order Date]],"YYYY")</f>
        <v>2014</v>
      </c>
      <c r="D2121" s="2">
        <v>41662</v>
      </c>
      <c r="E2121" s="2" t="s">
        <v>21</v>
      </c>
      <c r="F2121" s="2" t="s">
        <v>2019</v>
      </c>
      <c r="G2121" s="2" t="s">
        <v>2020</v>
      </c>
      <c r="H2121" s="2" t="s">
        <v>24</v>
      </c>
      <c r="I2121" s="2" t="s">
        <v>25</v>
      </c>
      <c r="J2121" s="2" t="s">
        <v>1006</v>
      </c>
      <c r="K2121" s="2" t="s">
        <v>43</v>
      </c>
      <c r="L2121" s="2" t="s">
        <v>28</v>
      </c>
      <c r="M2121" s="2" t="s">
        <v>1577</v>
      </c>
      <c r="N2121" s="2" t="s">
        <v>30</v>
      </c>
      <c r="O2121" s="2" t="s">
        <v>56</v>
      </c>
      <c r="P2121" s="2" t="s">
        <v>1578</v>
      </c>
      <c r="Q2121" s="2">
        <v>25.248000000000001</v>
      </c>
      <c r="R2121" s="2">
        <v>3</v>
      </c>
      <c r="S2121" s="2">
        <v>4.1028000000000002</v>
      </c>
      <c r="T2121" s="2" t="s">
        <v>70</v>
      </c>
      <c r="U2121" s="2" t="s">
        <v>169</v>
      </c>
    </row>
    <row r="2122" spans="1:21" ht="14.25" customHeight="1" x14ac:dyDescent="0.3">
      <c r="A2122" s="2" t="s">
        <v>4407</v>
      </c>
      <c r="B2122" s="5">
        <v>42792</v>
      </c>
      <c r="C2122" s="2" t="str">
        <f>TEXT(data[[#This Row],[Order Date]],"YYYY")</f>
        <v>2017</v>
      </c>
      <c r="D2122" s="2">
        <v>42797</v>
      </c>
      <c r="E2122" s="2" t="s">
        <v>39</v>
      </c>
      <c r="F2122" s="2" t="s">
        <v>240</v>
      </c>
      <c r="G2122" s="2" t="s">
        <v>241</v>
      </c>
      <c r="H2122" s="2" t="s">
        <v>24</v>
      </c>
      <c r="I2122" s="2" t="s">
        <v>25</v>
      </c>
      <c r="J2122" s="2" t="s">
        <v>550</v>
      </c>
      <c r="K2122" s="2" t="s">
        <v>53</v>
      </c>
      <c r="L2122" s="2" t="s">
        <v>54</v>
      </c>
      <c r="M2122" s="2" t="s">
        <v>3288</v>
      </c>
      <c r="N2122" s="2" t="s">
        <v>30</v>
      </c>
      <c r="O2122" s="2" t="s">
        <v>56</v>
      </c>
      <c r="P2122" s="2" t="s">
        <v>3289</v>
      </c>
      <c r="Q2122" s="2">
        <v>91.96</v>
      </c>
      <c r="R2122" s="2">
        <v>2</v>
      </c>
      <c r="S2122" s="2">
        <v>15.6332</v>
      </c>
      <c r="T2122" s="2" t="s">
        <v>58</v>
      </c>
      <c r="U2122" s="2" t="s">
        <v>297</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F5D14-1AA6-45F7-8F72-1E40A1B423A9}">
  <dimension ref="B3:O93"/>
  <sheetViews>
    <sheetView zoomScaleNormal="100" workbookViewId="0">
      <selection activeCell="N44" sqref="N44"/>
    </sheetView>
  </sheetViews>
  <sheetFormatPr defaultRowHeight="14.4" x14ac:dyDescent="0.3"/>
  <cols>
    <col min="2" max="2" width="12.5546875" bestFit="1" customWidth="1"/>
    <col min="3" max="3" width="11.6640625" bestFit="1" customWidth="1"/>
    <col min="4" max="4" width="14.88671875" bestFit="1" customWidth="1"/>
    <col min="5" max="5" width="12.109375" bestFit="1" customWidth="1"/>
    <col min="6" max="6" width="12.5546875" bestFit="1" customWidth="1"/>
    <col min="7" max="7" width="15.88671875" bestFit="1" customWidth="1"/>
    <col min="8" max="8" width="12.5546875" bestFit="1" customWidth="1"/>
    <col min="9" max="9" width="11.6640625" bestFit="1" customWidth="1"/>
    <col min="10" max="10" width="18.77734375" bestFit="1" customWidth="1"/>
    <col min="11" max="11" width="10.21875" bestFit="1" customWidth="1"/>
    <col min="14" max="14" width="17.33203125" bestFit="1" customWidth="1"/>
    <col min="15" max="15" width="21.33203125" bestFit="1" customWidth="1"/>
    <col min="16" max="16" width="12" bestFit="1" customWidth="1"/>
    <col min="17" max="17" width="17.33203125" bestFit="1" customWidth="1"/>
    <col min="18" max="19" width="12" bestFit="1" customWidth="1"/>
    <col min="20" max="20" width="10" bestFit="1" customWidth="1"/>
    <col min="21" max="21" width="11.109375" bestFit="1" customWidth="1"/>
    <col min="22" max="22" width="9" bestFit="1" customWidth="1"/>
    <col min="23" max="23" width="17.6640625" bestFit="1" customWidth="1"/>
    <col min="24" max="24" width="10" bestFit="1" customWidth="1"/>
    <col min="25" max="25" width="8" bestFit="1" customWidth="1"/>
    <col min="26" max="26" width="9" bestFit="1" customWidth="1"/>
    <col min="27" max="27" width="10" bestFit="1" customWidth="1"/>
    <col min="28" max="28" width="9" bestFit="1" customWidth="1"/>
    <col min="29" max="29" width="8" bestFit="1" customWidth="1"/>
    <col min="30" max="30" width="7" bestFit="1" customWidth="1"/>
    <col min="31" max="31" width="9" bestFit="1" customWidth="1"/>
    <col min="33" max="33" width="7" bestFit="1" customWidth="1"/>
    <col min="34" max="34" width="9.109375" bestFit="1" customWidth="1"/>
    <col min="35" max="35" width="13.44140625" bestFit="1" customWidth="1"/>
    <col min="36" max="36" width="8.77734375" bestFit="1" customWidth="1"/>
    <col min="37" max="37" width="10" bestFit="1" customWidth="1"/>
    <col min="38" max="38" width="9.88671875" bestFit="1" customWidth="1"/>
    <col min="39" max="39" width="8.109375" bestFit="1" customWidth="1"/>
    <col min="40" max="40" width="8.77734375" bestFit="1" customWidth="1"/>
    <col min="42" max="42" width="9" bestFit="1" customWidth="1"/>
    <col min="43" max="43" width="14.33203125" bestFit="1" customWidth="1"/>
    <col min="44" max="44" width="10.33203125" bestFit="1" customWidth="1"/>
    <col min="45" max="45" width="11.33203125" bestFit="1" customWidth="1"/>
    <col min="46" max="46" width="10" bestFit="1" customWidth="1"/>
    <col min="47" max="47" width="13.33203125" bestFit="1" customWidth="1"/>
    <col min="48" max="48" width="10" bestFit="1" customWidth="1"/>
    <col min="49" max="49" width="9.6640625" bestFit="1" customWidth="1"/>
    <col min="50" max="50" width="8" bestFit="1" customWidth="1"/>
    <col min="51" max="51" width="12.109375" bestFit="1" customWidth="1"/>
    <col min="52" max="52" width="11.88671875" bestFit="1" customWidth="1"/>
    <col min="53" max="53" width="13.44140625" bestFit="1" customWidth="1"/>
    <col min="54" max="54" width="12.44140625" bestFit="1" customWidth="1"/>
    <col min="55" max="55" width="10" bestFit="1" customWidth="1"/>
    <col min="56" max="56" width="11" bestFit="1" customWidth="1"/>
    <col min="57" max="57" width="8" bestFit="1" customWidth="1"/>
    <col min="58" max="58" width="8.44140625" bestFit="1" customWidth="1"/>
    <col min="59" max="59" width="9" bestFit="1" customWidth="1"/>
    <col min="60" max="60" width="11.109375" bestFit="1" customWidth="1"/>
    <col min="61" max="61" width="12" bestFit="1" customWidth="1"/>
    <col min="62" max="62" width="9.44140625" bestFit="1" customWidth="1"/>
    <col min="63" max="63" width="9.109375" bestFit="1" customWidth="1"/>
    <col min="64" max="64" width="12" bestFit="1" customWidth="1"/>
  </cols>
  <sheetData>
    <row r="3" spans="2:11" x14ac:dyDescent="0.3">
      <c r="B3" s="3" t="s">
        <v>4411</v>
      </c>
      <c r="C3" t="s">
        <v>4408</v>
      </c>
      <c r="D3" t="s">
        <v>4409</v>
      </c>
      <c r="E3" t="s">
        <v>4410</v>
      </c>
      <c r="F3" s="6"/>
      <c r="G3" s="10" t="s">
        <v>4420</v>
      </c>
      <c r="H3" s="6" t="s">
        <v>4418</v>
      </c>
      <c r="I3" s="6" t="s">
        <v>4419</v>
      </c>
      <c r="J3" s="10" t="s">
        <v>4422</v>
      </c>
      <c r="K3" s="10" t="s">
        <v>4421</v>
      </c>
    </row>
    <row r="4" spans="2:11" x14ac:dyDescent="0.3">
      <c r="B4" s="4" t="s">
        <v>4414</v>
      </c>
      <c r="C4" s="8">
        <v>157192.85310000001</v>
      </c>
      <c r="D4" s="8">
        <v>1623</v>
      </c>
      <c r="E4" s="8">
        <v>5457.7255000000059</v>
      </c>
      <c r="F4" s="6"/>
      <c r="G4" s="11" t="s">
        <v>15</v>
      </c>
      <c r="H4" s="12">
        <f>C7</f>
        <v>215387.26920000004</v>
      </c>
      <c r="I4" s="12">
        <f>C6</f>
        <v>198901.43600000019</v>
      </c>
      <c r="J4" s="7">
        <f>(H4-I4)/I4</f>
        <v>8.2884435283814811E-2</v>
      </c>
      <c r="K4" t="str">
        <f>IF(J4&gt;0,"▲","▼")&amp;TEXT(ABS(J4),"0%")&amp;" YOY"</f>
        <v>▲8% YOY</v>
      </c>
    </row>
    <row r="5" spans="2:11" x14ac:dyDescent="0.3">
      <c r="B5" s="4" t="s">
        <v>4415</v>
      </c>
      <c r="C5" s="8">
        <v>170518.23700000011</v>
      </c>
      <c r="D5" s="8">
        <v>1775</v>
      </c>
      <c r="E5" s="8">
        <v>3015.2028999999993</v>
      </c>
      <c r="F5" s="6"/>
      <c r="G5" s="11" t="s">
        <v>16</v>
      </c>
      <c r="H5" s="12">
        <f>D7</f>
        <v>2437</v>
      </c>
      <c r="I5" s="12">
        <f>D6</f>
        <v>2193</v>
      </c>
      <c r="J5" s="7">
        <f t="shared" ref="J5:J6" si="0">(H5-I5)/I5</f>
        <v>0.11126310989512084</v>
      </c>
      <c r="K5" t="str">
        <f t="shared" ref="K5:K6" si="1">IF(J5&gt;0,"▲","▼")&amp;TEXT(ABS(J5),"0%")&amp;" YOY"</f>
        <v>▲11% YOY</v>
      </c>
    </row>
    <row r="6" spans="2:11" x14ac:dyDescent="0.3">
      <c r="B6" s="4" t="s">
        <v>4416</v>
      </c>
      <c r="C6" s="8">
        <v>198901.43600000019</v>
      </c>
      <c r="D6" s="8">
        <v>2193</v>
      </c>
      <c r="E6" s="8">
        <v>6959.9530999999979</v>
      </c>
      <c r="F6" s="6"/>
      <c r="G6" s="11" t="s">
        <v>17</v>
      </c>
      <c r="H6" s="12">
        <f>E7</f>
        <v>3018.3912999999957</v>
      </c>
      <c r="I6" s="12">
        <f>E6</f>
        <v>6959.9530999999979</v>
      </c>
      <c r="J6" s="7">
        <f t="shared" si="0"/>
        <v>-0.56632016672641128</v>
      </c>
      <c r="K6" t="str">
        <f t="shared" si="1"/>
        <v>▼57% YOY</v>
      </c>
    </row>
    <row r="7" spans="2:11" x14ac:dyDescent="0.3">
      <c r="B7" s="4" t="s">
        <v>4417</v>
      </c>
      <c r="C7" s="8">
        <v>215387.26920000004</v>
      </c>
      <c r="D7" s="8">
        <v>2437</v>
      </c>
      <c r="E7" s="8">
        <v>3018.3912999999957</v>
      </c>
    </row>
    <row r="8" spans="2:11" x14ac:dyDescent="0.3">
      <c r="B8" s="4" t="s">
        <v>4412</v>
      </c>
      <c r="C8" s="8">
        <v>741999.79530000035</v>
      </c>
      <c r="D8" s="9">
        <v>8028</v>
      </c>
      <c r="E8" s="8">
        <v>18451.272799999999</v>
      </c>
    </row>
    <row r="20" spans="2:10" x14ac:dyDescent="0.3">
      <c r="B20" t="str">
        <f>"Most Used Shipping Mode is "&amp;INDEX(B22:B25,MATCH(MAX(C22:C25),C22:C25,0))&amp;" ("&amp;TEXT(MAX(C22:C25),"0")&amp;")"</f>
        <v>Most Used Shipping Mode is Standard Class (1248)</v>
      </c>
      <c r="F20" t="str">
        <f>"Highest Sales from Category:"&amp;INDEX(F22:F25,MATCH(MAX(G22:G25),G22:G25,0))&amp;"("&amp;TEXT(MAX(G22:G25),"$0.0,K")&amp;")"</f>
        <v>Highest Sales from Category:Chairs($328.4K)</v>
      </c>
    </row>
    <row r="21" spans="2:10" x14ac:dyDescent="0.3">
      <c r="B21" s="3" t="s">
        <v>4411</v>
      </c>
      <c r="C21" t="s">
        <v>4423</v>
      </c>
      <c r="F21" s="3" t="s">
        <v>4411</v>
      </c>
      <c r="G21" t="s">
        <v>4408</v>
      </c>
      <c r="J21" s="8">
        <f>MAX(I22:I25)*1.2</f>
        <v>394138.92360000091</v>
      </c>
    </row>
    <row r="22" spans="2:10" x14ac:dyDescent="0.3">
      <c r="B22" s="4" t="s">
        <v>87</v>
      </c>
      <c r="C22" s="16">
        <v>327</v>
      </c>
      <c r="F22" s="4" t="s">
        <v>31</v>
      </c>
      <c r="G22" s="8">
        <v>114879.99629999997</v>
      </c>
      <c r="H22" s="4" t="s">
        <v>31</v>
      </c>
      <c r="I22" s="8">
        <v>114879.99629999997</v>
      </c>
      <c r="J22" s="13">
        <f>$J$21-I22</f>
        <v>279258.92730000091</v>
      </c>
    </row>
    <row r="23" spans="2:10" x14ac:dyDescent="0.3">
      <c r="B23" s="4" t="s">
        <v>425</v>
      </c>
      <c r="C23" s="16">
        <v>119</v>
      </c>
      <c r="F23" s="4" t="s">
        <v>36</v>
      </c>
      <c r="G23" s="8">
        <v>328449.10300000076</v>
      </c>
      <c r="H23" s="4" t="s">
        <v>36</v>
      </c>
      <c r="I23" s="8">
        <v>328449.10300000076</v>
      </c>
      <c r="J23" s="13">
        <f t="shared" ref="J23:J25" si="2">$J$21-I23</f>
        <v>65689.820600000152</v>
      </c>
    </row>
    <row r="24" spans="2:10" x14ac:dyDescent="0.3">
      <c r="B24" s="4" t="s">
        <v>21</v>
      </c>
      <c r="C24" s="16">
        <v>427</v>
      </c>
      <c r="F24" s="4" t="s">
        <v>56</v>
      </c>
      <c r="G24" s="8">
        <v>91705.164000000048</v>
      </c>
      <c r="H24" s="4" t="s">
        <v>56</v>
      </c>
      <c r="I24" s="8">
        <v>91705.164000000048</v>
      </c>
      <c r="J24" s="13">
        <f t="shared" si="2"/>
        <v>302433.75960000086</v>
      </c>
    </row>
    <row r="25" spans="2:10" x14ac:dyDescent="0.3">
      <c r="B25" s="4" t="s">
        <v>39</v>
      </c>
      <c r="C25" s="16">
        <v>1248</v>
      </c>
      <c r="F25" s="4" t="s">
        <v>45</v>
      </c>
      <c r="G25" s="8">
        <v>206965.53200000009</v>
      </c>
      <c r="H25" s="4" t="s">
        <v>45</v>
      </c>
      <c r="I25" s="8">
        <v>206965.53200000009</v>
      </c>
      <c r="J25" s="13">
        <f t="shared" si="2"/>
        <v>187173.39160000082</v>
      </c>
    </row>
    <row r="28" spans="2:10" x14ac:dyDescent="0.3">
      <c r="B28" t="str">
        <f>"Peak Sales Month is "&amp;INDEX(B30:B41,MATCH(MAX(C30:C41),C30:C41,0))&amp;" with "&amp;TEXT(MAX(C30:C41),"$0.0,K")&amp;" in sales"</f>
        <v>Peak Sales Month is Dec with $121.8K in sales</v>
      </c>
      <c r="F28" t="str">
        <f>"Most Orders ("&amp;TEXT(MAX(G30:G37),"0%")&amp;") were delivered in "&amp; INDEX(F30:F37,MATCH(MAX(G30:G37),G30:G37,0))</f>
        <v>Most Orders (28%) were delivered in 4- days</v>
      </c>
    </row>
    <row r="29" spans="2:10" x14ac:dyDescent="0.3">
      <c r="B29" s="3" t="s">
        <v>4411</v>
      </c>
      <c r="C29" t="s">
        <v>4408</v>
      </c>
      <c r="F29" s="3" t="s">
        <v>4411</v>
      </c>
      <c r="G29" t="s">
        <v>4423</v>
      </c>
    </row>
    <row r="30" spans="2:10" x14ac:dyDescent="0.3">
      <c r="B30" s="4" t="s">
        <v>169</v>
      </c>
      <c r="C30" s="8">
        <v>31569.241599999998</v>
      </c>
      <c r="F30" s="4" t="s">
        <v>430</v>
      </c>
      <c r="G30" s="14">
        <v>5.469118340405469E-2</v>
      </c>
    </row>
    <row r="31" spans="2:10" x14ac:dyDescent="0.3">
      <c r="B31" s="4" t="s">
        <v>297</v>
      </c>
      <c r="C31" s="8">
        <v>15765.920399999994</v>
      </c>
      <c r="F31" s="4" t="s">
        <v>123</v>
      </c>
      <c r="G31" s="14">
        <v>3.6303630363036306E-2</v>
      </c>
    </row>
    <row r="32" spans="2:10" x14ac:dyDescent="0.3">
      <c r="B32" s="4" t="s">
        <v>195</v>
      </c>
      <c r="C32" s="8">
        <v>50768.275799999996</v>
      </c>
      <c r="F32" s="4" t="s">
        <v>70</v>
      </c>
      <c r="G32" s="14">
        <v>0.14615747289014616</v>
      </c>
    </row>
    <row r="33" spans="2:15" x14ac:dyDescent="0.3">
      <c r="B33" s="4" t="s">
        <v>113</v>
      </c>
      <c r="C33" s="8">
        <v>40698.583600000013</v>
      </c>
      <c r="F33" s="4" t="s">
        <v>33</v>
      </c>
      <c r="G33" s="14">
        <v>8.7694483734087697E-2</v>
      </c>
    </row>
    <row r="34" spans="2:15" x14ac:dyDescent="0.3">
      <c r="B34" s="4" t="s">
        <v>161</v>
      </c>
      <c r="C34" s="8">
        <v>48365.130699999951</v>
      </c>
      <c r="F34" s="4" t="s">
        <v>83</v>
      </c>
      <c r="G34" s="14">
        <v>0.28335690711928335</v>
      </c>
    </row>
    <row r="35" spans="2:15" x14ac:dyDescent="0.3">
      <c r="B35" s="4" t="s">
        <v>59</v>
      </c>
      <c r="C35" s="8">
        <v>52999.463299999974</v>
      </c>
      <c r="F35" s="4" t="s">
        <v>58</v>
      </c>
      <c r="G35" s="14">
        <v>0.2197076850542197</v>
      </c>
    </row>
    <row r="36" spans="2:15" x14ac:dyDescent="0.3">
      <c r="B36" s="4" t="s">
        <v>71</v>
      </c>
      <c r="C36" s="8">
        <v>49377.011999999966</v>
      </c>
      <c r="F36" s="4" t="s">
        <v>129</v>
      </c>
      <c r="G36" s="14">
        <v>0.11126826968411127</v>
      </c>
    </row>
    <row r="37" spans="2:15" x14ac:dyDescent="0.3">
      <c r="B37" s="4" t="s">
        <v>253</v>
      </c>
      <c r="C37" s="8">
        <v>44884.044999999991</v>
      </c>
      <c r="F37" s="4" t="s">
        <v>47</v>
      </c>
      <c r="G37" s="14">
        <v>6.0820367751060818E-2</v>
      </c>
    </row>
    <row r="38" spans="2:15" x14ac:dyDescent="0.3">
      <c r="B38" s="4" t="s">
        <v>77</v>
      </c>
      <c r="C38" s="8">
        <v>106380.59069999997</v>
      </c>
    </row>
    <row r="39" spans="2:15" x14ac:dyDescent="0.3">
      <c r="B39" s="4" t="s">
        <v>48</v>
      </c>
      <c r="C39" s="8">
        <v>58087.515699999982</v>
      </c>
    </row>
    <row r="40" spans="2:15" x14ac:dyDescent="0.3">
      <c r="B40" s="4" t="s">
        <v>34</v>
      </c>
      <c r="C40" s="8">
        <v>121286.04899999996</v>
      </c>
    </row>
    <row r="41" spans="2:15" x14ac:dyDescent="0.3">
      <c r="B41" s="4" t="s">
        <v>96</v>
      </c>
      <c r="C41" s="8">
        <v>121817.96749999993</v>
      </c>
    </row>
    <row r="43" spans="2:15" x14ac:dyDescent="0.3">
      <c r="K43" s="8"/>
    </row>
    <row r="44" spans="2:15" x14ac:dyDescent="0.3">
      <c r="K44" s="8"/>
    </row>
    <row r="45" spans="2:15" x14ac:dyDescent="0.3">
      <c r="B45" s="3" t="s">
        <v>4411</v>
      </c>
      <c r="C45" t="s">
        <v>4408</v>
      </c>
      <c r="D45" t="str">
        <f>INDEX(B46:B93,MATCH(MAX(C46:C93),C46:C93,0)) &amp;" is the states with most sales ("&amp;TEXT(MAX(C46:C93),"$0.0,K")&amp;") "</f>
        <v xml:space="preserve">California is the states with most sales ($156.1K) </v>
      </c>
      <c r="H45" s="3" t="s">
        <v>4411</v>
      </c>
      <c r="I45" t="s">
        <v>4408</v>
      </c>
      <c r="J45" t="str">
        <f>INDEX(H46:H55,MATCH(MAX(I46:I55),I46:I55,0)) &amp;" is number one in sales ("&amp;TEXT(MAX(I46:I55),"$0.0,K")&amp;")"</f>
        <v>New York City is number one in sales ($75.7K)</v>
      </c>
      <c r="K45" s="8"/>
      <c r="N45" s="15" t="s">
        <v>9</v>
      </c>
      <c r="O45" s="15" t="s">
        <v>15</v>
      </c>
    </row>
    <row r="46" spans="2:15" x14ac:dyDescent="0.3">
      <c r="B46" s="4" t="s">
        <v>1276</v>
      </c>
      <c r="C46" s="8">
        <v>6332.48</v>
      </c>
      <c r="D46" t="str" cm="1">
        <f t="array" ref="D46:E93">B46:C93</f>
        <v>Alabama</v>
      </c>
      <c r="E46">
        <v>6332.48</v>
      </c>
      <c r="H46" s="4" t="s">
        <v>878</v>
      </c>
      <c r="I46" s="8">
        <v>12046.198000000002</v>
      </c>
      <c r="K46" s="8"/>
      <c r="N46" t="str">
        <f>B46</f>
        <v>Alabama</v>
      </c>
      <c r="O46" s="8">
        <f>GETPIVOTDATA("Sum of Sales",$B$46,"State",Table2[[#This Row],[State]])</f>
        <v>6332.48</v>
      </c>
    </row>
    <row r="47" spans="2:15" x14ac:dyDescent="0.3">
      <c r="B47" s="4" t="s">
        <v>520</v>
      </c>
      <c r="C47" s="8">
        <v>13525.291000000001</v>
      </c>
      <c r="D47" t="str">
        <v>Arizona</v>
      </c>
      <c r="E47">
        <v>13525.291000000001</v>
      </c>
      <c r="H47" s="4" t="s">
        <v>133</v>
      </c>
      <c r="I47" s="8">
        <v>12495.222000000002</v>
      </c>
      <c r="K47" s="8"/>
      <c r="N47" t="str">
        <f t="shared" ref="N47:N93" si="3">B47</f>
        <v>Arizona</v>
      </c>
      <c r="O47" s="8">
        <f>GETPIVOTDATA("Sum of Sales",$B$46,"State",Table2[[#This Row],[State]])</f>
        <v>13525.291000000001</v>
      </c>
    </row>
    <row r="48" spans="2:15" x14ac:dyDescent="0.3">
      <c r="B48" s="4" t="s">
        <v>1058</v>
      </c>
      <c r="C48" s="8">
        <v>3187.55</v>
      </c>
      <c r="D48" t="str">
        <v>Arkansas</v>
      </c>
      <c r="E48">
        <v>3187.55</v>
      </c>
      <c r="H48" s="4" t="s">
        <v>288</v>
      </c>
      <c r="I48" s="8">
        <v>16364.009999999998</v>
      </c>
      <c r="K48" s="8"/>
      <c r="N48" t="str">
        <f t="shared" si="3"/>
        <v>Arkansas</v>
      </c>
      <c r="O48" s="8">
        <f>GETPIVOTDATA("Sum of Sales",$B$46,"State",Table2[[#This Row],[State]])</f>
        <v>3187.55</v>
      </c>
    </row>
    <row r="49" spans="2:15" x14ac:dyDescent="0.3">
      <c r="B49" s="4" t="s">
        <v>53</v>
      </c>
      <c r="C49" s="8">
        <v>156064.60149999999</v>
      </c>
      <c r="D49" t="str">
        <v>California</v>
      </c>
      <c r="E49">
        <v>156064.60149999999</v>
      </c>
      <c r="H49" s="4" t="s">
        <v>639</v>
      </c>
      <c r="I49" s="8">
        <v>20031.236999999994</v>
      </c>
      <c r="K49" s="8"/>
      <c r="N49" t="str">
        <f t="shared" si="3"/>
        <v>California</v>
      </c>
      <c r="O49" s="8">
        <f>GETPIVOTDATA("Sum of Sales",$B$46,"State",Table2[[#This Row],[State]])</f>
        <v>156064.60149999999</v>
      </c>
    </row>
    <row r="50" spans="2:15" x14ac:dyDescent="0.3">
      <c r="B50" s="4" t="s">
        <v>180</v>
      </c>
      <c r="C50" s="8">
        <v>13243.037</v>
      </c>
      <c r="D50" t="str">
        <v>Colorado</v>
      </c>
      <c r="E50">
        <v>13243.037</v>
      </c>
      <c r="H50" s="4" t="s">
        <v>101</v>
      </c>
      <c r="I50" s="8">
        <v>23183.214400000001</v>
      </c>
      <c r="K50" s="8"/>
      <c r="N50" t="str">
        <f t="shared" si="3"/>
        <v>Colorado</v>
      </c>
      <c r="O50" s="8">
        <f>GETPIVOTDATA("Sum of Sales",$B$46,"State",Table2[[#This Row],[State]])</f>
        <v>13243.037</v>
      </c>
    </row>
    <row r="51" spans="2:15" x14ac:dyDescent="0.3">
      <c r="B51" s="4" t="s">
        <v>429</v>
      </c>
      <c r="C51" s="8">
        <v>5174.9870000000001</v>
      </c>
      <c r="D51" t="str">
        <v>Connecticut</v>
      </c>
      <c r="E51">
        <v>5174.9870000000001</v>
      </c>
      <c r="H51" s="4" t="s">
        <v>328</v>
      </c>
      <c r="I51" s="8">
        <v>36357.307999999997</v>
      </c>
      <c r="K51" s="8"/>
      <c r="N51" t="str">
        <f t="shared" si="3"/>
        <v>Connecticut</v>
      </c>
      <c r="O51" s="8">
        <f>GETPIVOTDATA("Sum of Sales",$B$46,"State",Table2[[#This Row],[State]])</f>
        <v>5174.9870000000001</v>
      </c>
    </row>
    <row r="52" spans="2:15" x14ac:dyDescent="0.3">
      <c r="B52" s="4" t="s">
        <v>200</v>
      </c>
      <c r="C52" s="8">
        <v>4759.3189999999995</v>
      </c>
      <c r="D52" t="str">
        <v>Delaware</v>
      </c>
      <c r="E52">
        <v>4759.3189999999995</v>
      </c>
      <c r="H52" s="4" t="s">
        <v>65</v>
      </c>
      <c r="I52" s="8">
        <v>36495.541000000012</v>
      </c>
      <c r="K52" s="8"/>
      <c r="N52" t="str">
        <f t="shared" si="3"/>
        <v>Delaware</v>
      </c>
      <c r="O52" s="8">
        <f>GETPIVOTDATA("Sum of Sales",$B$46,"State",Table2[[#This Row],[State]])</f>
        <v>4759.3189999999995</v>
      </c>
    </row>
    <row r="53" spans="2:15" x14ac:dyDescent="0.3">
      <c r="B53" s="4" t="s">
        <v>980</v>
      </c>
      <c r="C53" s="8">
        <v>1346.58</v>
      </c>
      <c r="D53" t="str">
        <v>District of Columbia</v>
      </c>
      <c r="E53">
        <v>1346.58</v>
      </c>
      <c r="H53" s="4" t="s">
        <v>191</v>
      </c>
      <c r="I53" s="8">
        <v>40995.877999999997</v>
      </c>
      <c r="K53" s="8"/>
      <c r="N53" t="str">
        <f t="shared" si="3"/>
        <v>District of Columbia</v>
      </c>
      <c r="O53" s="8">
        <f>GETPIVOTDATA("Sum of Sales",$B$46,"State",Table2[[#This Row],[State]])</f>
        <v>1346.58</v>
      </c>
    </row>
    <row r="54" spans="2:15" x14ac:dyDescent="0.3">
      <c r="B54" s="4" t="s">
        <v>43</v>
      </c>
      <c r="C54" s="8">
        <v>22987.03799999999</v>
      </c>
      <c r="D54" t="str">
        <v>Florida</v>
      </c>
      <c r="E54">
        <v>22987.03799999999</v>
      </c>
      <c r="H54" s="4" t="s">
        <v>52</v>
      </c>
      <c r="I54" s="8">
        <v>54000.040999999976</v>
      </c>
      <c r="K54" s="8"/>
      <c r="N54" t="str">
        <f t="shared" si="3"/>
        <v>Florida</v>
      </c>
      <c r="O54" s="8">
        <f>GETPIVOTDATA("Sum of Sales",$B$46,"State",Table2[[#This Row],[State]])</f>
        <v>22987.03799999999</v>
      </c>
    </row>
    <row r="55" spans="2:15" x14ac:dyDescent="0.3">
      <c r="B55" s="4" t="s">
        <v>667</v>
      </c>
      <c r="C55" s="8">
        <v>8321.48</v>
      </c>
      <c r="D55" t="str">
        <v>Georgia</v>
      </c>
      <c r="E55">
        <v>8321.48</v>
      </c>
      <c r="H55" s="4" t="s">
        <v>173</v>
      </c>
      <c r="I55" s="8">
        <v>75691.049000000014</v>
      </c>
      <c r="K55" s="8"/>
      <c r="N55" t="str">
        <f t="shared" si="3"/>
        <v>Georgia</v>
      </c>
      <c r="O55" s="8">
        <f>GETPIVOTDATA("Sum of Sales",$B$46,"State",Table2[[#This Row],[State]])</f>
        <v>8321.48</v>
      </c>
    </row>
    <row r="56" spans="2:15" x14ac:dyDescent="0.3">
      <c r="B56" s="4" t="s">
        <v>2280</v>
      </c>
      <c r="C56" s="8">
        <v>2595.482</v>
      </c>
      <c r="D56" t="str">
        <v>Idaho</v>
      </c>
      <c r="E56">
        <v>2595.482</v>
      </c>
      <c r="K56" s="8"/>
      <c r="N56" t="str">
        <f t="shared" si="3"/>
        <v>Idaho</v>
      </c>
      <c r="O56" s="8">
        <f>GETPIVOTDATA("Sum of Sales",$B$46,"State",Table2[[#This Row],[State]])</f>
        <v>2595.482</v>
      </c>
    </row>
    <row r="57" spans="2:15" x14ac:dyDescent="0.3">
      <c r="B57" s="4" t="s">
        <v>134</v>
      </c>
      <c r="C57" s="8">
        <v>28274.522000000008</v>
      </c>
      <c r="D57" t="str">
        <v>Illinois</v>
      </c>
      <c r="E57">
        <v>28274.522000000008</v>
      </c>
      <c r="K57" s="8"/>
      <c r="N57" t="str">
        <f t="shared" si="3"/>
        <v>Illinois</v>
      </c>
      <c r="O57" s="8">
        <f>GETPIVOTDATA("Sum of Sales",$B$46,"State",Table2[[#This Row],[State]])</f>
        <v>28274.522000000008</v>
      </c>
    </row>
    <row r="58" spans="2:15" x14ac:dyDescent="0.3">
      <c r="B58" s="4" t="s">
        <v>110</v>
      </c>
      <c r="C58" s="8">
        <v>11496.71</v>
      </c>
      <c r="D58" t="str">
        <v>Indiana</v>
      </c>
      <c r="E58">
        <v>11496.71</v>
      </c>
      <c r="K58" s="8"/>
      <c r="N58" t="str">
        <f t="shared" si="3"/>
        <v>Indiana</v>
      </c>
      <c r="O58" s="8">
        <f>GETPIVOTDATA("Sum of Sales",$B$46,"State",Table2[[#This Row],[State]])</f>
        <v>11496.71</v>
      </c>
    </row>
    <row r="59" spans="2:15" x14ac:dyDescent="0.3">
      <c r="B59" s="4" t="s">
        <v>801</v>
      </c>
      <c r="C59" s="8">
        <v>2642.3099999999995</v>
      </c>
      <c r="D59" t="str">
        <v>Iowa</v>
      </c>
      <c r="E59">
        <v>2642.3099999999995</v>
      </c>
      <c r="K59" s="8"/>
      <c r="N59" t="str">
        <f t="shared" si="3"/>
        <v>Iowa</v>
      </c>
      <c r="O59" s="8">
        <f>GETPIVOTDATA("Sum of Sales",$B$46,"State",Table2[[#This Row],[State]])</f>
        <v>2642.3099999999995</v>
      </c>
    </row>
    <row r="60" spans="2:15" x14ac:dyDescent="0.3">
      <c r="B60" s="4" t="s">
        <v>3135</v>
      </c>
      <c r="C60" s="8">
        <v>111.12</v>
      </c>
      <c r="D60" t="str">
        <v>Kansas</v>
      </c>
      <c r="E60">
        <v>111.12</v>
      </c>
      <c r="K60" s="8"/>
      <c r="N60" t="str">
        <f t="shared" si="3"/>
        <v>Kansas</v>
      </c>
      <c r="O60" s="8">
        <f>GETPIVOTDATA("Sum of Sales",$B$46,"State",Table2[[#This Row],[State]])</f>
        <v>111.12</v>
      </c>
    </row>
    <row r="61" spans="2:15" x14ac:dyDescent="0.3">
      <c r="B61" s="4" t="s">
        <v>27</v>
      </c>
      <c r="C61" s="8">
        <v>12126.84</v>
      </c>
      <c r="D61" t="str">
        <v>Kentucky</v>
      </c>
      <c r="E61">
        <v>12126.84</v>
      </c>
      <c r="K61" s="8"/>
      <c r="N61" t="str">
        <f t="shared" si="3"/>
        <v>Kentucky</v>
      </c>
      <c r="O61" s="8">
        <f>GETPIVOTDATA("Sum of Sales",$B$46,"State",Table2[[#This Row],[State]])</f>
        <v>12126.84</v>
      </c>
    </row>
    <row r="62" spans="2:15" x14ac:dyDescent="0.3">
      <c r="B62" s="4" t="s">
        <v>1406</v>
      </c>
      <c r="C62" s="8">
        <v>2963.03</v>
      </c>
      <c r="D62" t="str">
        <v>Louisiana</v>
      </c>
      <c r="E62">
        <v>2963.03</v>
      </c>
      <c r="K62" s="8"/>
      <c r="N62" t="str">
        <f t="shared" si="3"/>
        <v>Louisiana</v>
      </c>
      <c r="O62" s="8">
        <f>GETPIVOTDATA("Sum of Sales",$B$46,"State",Table2[[#This Row],[State]])</f>
        <v>2963.03</v>
      </c>
    </row>
    <row r="63" spans="2:15" x14ac:dyDescent="0.3">
      <c r="B63" s="4" t="s">
        <v>1788</v>
      </c>
      <c r="C63" s="8">
        <v>109.48</v>
      </c>
      <c r="D63" t="str">
        <v>Maine</v>
      </c>
      <c r="E63">
        <v>109.48</v>
      </c>
      <c r="J63" s="4"/>
      <c r="K63" s="8"/>
      <c r="N63" t="str">
        <f t="shared" si="3"/>
        <v>Maine</v>
      </c>
      <c r="O63" s="8">
        <f>GETPIVOTDATA("Sum of Sales",$B$46,"State",Table2[[#This Row],[State]])</f>
        <v>109.48</v>
      </c>
    </row>
    <row r="64" spans="2:15" x14ac:dyDescent="0.3">
      <c r="B64" s="4" t="s">
        <v>1089</v>
      </c>
      <c r="C64" s="8">
        <v>9149.2529999999988</v>
      </c>
      <c r="D64" t="str">
        <v>Maryland</v>
      </c>
      <c r="E64">
        <v>9149.2529999999988</v>
      </c>
      <c r="J64" s="4"/>
      <c r="K64" s="8"/>
      <c r="N64" t="str">
        <f t="shared" si="3"/>
        <v>Maryland</v>
      </c>
      <c r="O64" s="8">
        <f>GETPIVOTDATA("Sum of Sales",$B$46,"State",Table2[[#This Row],[State]])</f>
        <v>9149.2529999999988</v>
      </c>
    </row>
    <row r="65" spans="2:15" x14ac:dyDescent="0.3">
      <c r="B65" s="4" t="s">
        <v>434</v>
      </c>
      <c r="C65" s="8">
        <v>10919.063999999997</v>
      </c>
      <c r="D65" t="str">
        <v>Massachusetts</v>
      </c>
      <c r="E65">
        <v>10919.063999999997</v>
      </c>
      <c r="J65" s="4"/>
      <c r="K65" s="8"/>
      <c r="N65" t="str">
        <f t="shared" si="3"/>
        <v>Massachusetts</v>
      </c>
      <c r="O65" s="8">
        <f>GETPIVOTDATA("Sum of Sales",$B$46,"State",Table2[[#This Row],[State]])</f>
        <v>10919.063999999997</v>
      </c>
    </row>
    <row r="66" spans="2:15" x14ac:dyDescent="0.3">
      <c r="B66" s="4" t="s">
        <v>289</v>
      </c>
      <c r="C66" s="8">
        <v>22321.099999999995</v>
      </c>
      <c r="D66" t="str">
        <v>Michigan</v>
      </c>
      <c r="E66">
        <v>22321.099999999995</v>
      </c>
      <c r="J66" s="4"/>
      <c r="K66" s="8"/>
      <c r="N66" t="str">
        <f t="shared" si="3"/>
        <v>Michigan</v>
      </c>
      <c r="O66" s="8">
        <f>GETPIVOTDATA("Sum of Sales",$B$46,"State",Table2[[#This Row],[State]])</f>
        <v>22321.099999999995</v>
      </c>
    </row>
    <row r="67" spans="2:15" x14ac:dyDescent="0.3">
      <c r="B67" s="4" t="s">
        <v>166</v>
      </c>
      <c r="C67" s="8">
        <v>7611.35</v>
      </c>
      <c r="D67" t="str">
        <v>Minnesota</v>
      </c>
      <c r="E67">
        <v>7611.35</v>
      </c>
      <c r="J67" s="4"/>
      <c r="K67" s="8"/>
      <c r="N67" t="str">
        <f t="shared" si="3"/>
        <v>Minnesota</v>
      </c>
      <c r="O67" s="8">
        <f>GETPIVOTDATA("Sum of Sales",$B$46,"State",Table2[[#This Row],[State]])</f>
        <v>7611.35</v>
      </c>
    </row>
    <row r="68" spans="2:15" x14ac:dyDescent="0.3">
      <c r="B68" s="4" t="s">
        <v>478</v>
      </c>
      <c r="C68" s="8">
        <v>4317.8499999999995</v>
      </c>
      <c r="D68" t="str">
        <v>Mississippi</v>
      </c>
      <c r="E68">
        <v>4317.8499999999995</v>
      </c>
      <c r="J68" s="4"/>
      <c r="K68" s="8"/>
      <c r="N68" t="str">
        <f t="shared" si="3"/>
        <v>Mississippi</v>
      </c>
      <c r="O68" s="8">
        <f>GETPIVOTDATA("Sum of Sales",$B$46,"State",Table2[[#This Row],[State]])</f>
        <v>4317.8499999999995</v>
      </c>
    </row>
    <row r="69" spans="2:15" x14ac:dyDescent="0.3">
      <c r="B69" s="4" t="s">
        <v>565</v>
      </c>
      <c r="C69" s="8">
        <v>2936.45</v>
      </c>
      <c r="D69" t="str">
        <v>Missouri</v>
      </c>
      <c r="E69">
        <v>2936.45</v>
      </c>
      <c r="J69" s="4"/>
      <c r="K69" s="8"/>
      <c r="N69" t="str">
        <f t="shared" si="3"/>
        <v>Missouri</v>
      </c>
      <c r="O69" s="8">
        <f>GETPIVOTDATA("Sum of Sales",$B$46,"State",Table2[[#This Row],[State]])</f>
        <v>2936.45</v>
      </c>
    </row>
    <row r="70" spans="2:15" x14ac:dyDescent="0.3">
      <c r="B70" s="4" t="s">
        <v>3701</v>
      </c>
      <c r="C70" s="8">
        <v>63.98</v>
      </c>
      <c r="D70" t="str">
        <v>Montana</v>
      </c>
      <c r="E70">
        <v>63.98</v>
      </c>
      <c r="J70" s="4"/>
      <c r="K70" s="8"/>
      <c r="N70" t="str">
        <f t="shared" si="3"/>
        <v>Montana</v>
      </c>
      <c r="O70" s="8">
        <f>GETPIVOTDATA("Sum of Sales",$B$46,"State",Table2[[#This Row],[State]])</f>
        <v>63.98</v>
      </c>
    </row>
    <row r="71" spans="2:15" x14ac:dyDescent="0.3">
      <c r="B71" s="4" t="s">
        <v>841</v>
      </c>
      <c r="C71" s="8">
        <v>1944.7</v>
      </c>
      <c r="D71" t="str">
        <v>Nebraska</v>
      </c>
      <c r="E71">
        <v>1944.7</v>
      </c>
      <c r="J71" s="4"/>
      <c r="K71" s="8"/>
      <c r="N71" t="str">
        <f t="shared" si="3"/>
        <v>Nebraska</v>
      </c>
      <c r="O71" s="8">
        <f>GETPIVOTDATA("Sum of Sales",$B$46,"State",Table2[[#This Row],[State]])</f>
        <v>1944.7</v>
      </c>
    </row>
    <row r="72" spans="2:15" x14ac:dyDescent="0.3">
      <c r="B72" s="4" t="s">
        <v>1340</v>
      </c>
      <c r="C72" s="8">
        <v>4635.1720000000005</v>
      </c>
      <c r="D72" t="str">
        <v>Nevada</v>
      </c>
      <c r="E72">
        <v>4635.1720000000005</v>
      </c>
      <c r="J72" s="4"/>
      <c r="K72" s="8"/>
      <c r="N72" t="str">
        <f t="shared" si="3"/>
        <v>Nevada</v>
      </c>
      <c r="O72" s="8">
        <f>GETPIVOTDATA("Sum of Sales",$B$46,"State",Table2[[#This Row],[State]])</f>
        <v>4635.1720000000005</v>
      </c>
    </row>
    <row r="73" spans="2:15" x14ac:dyDescent="0.3">
      <c r="B73" s="4" t="s">
        <v>884</v>
      </c>
      <c r="C73" s="8">
        <v>1886.4739999999999</v>
      </c>
      <c r="D73" t="str">
        <v>New Hampshire</v>
      </c>
      <c r="E73">
        <v>1886.4739999999999</v>
      </c>
      <c r="J73" s="4"/>
      <c r="K73" s="8"/>
      <c r="N73" t="str">
        <f t="shared" si="3"/>
        <v>New Hampshire</v>
      </c>
      <c r="O73" s="8">
        <f>GETPIVOTDATA("Sum of Sales",$B$46,"State",Table2[[#This Row],[State]])</f>
        <v>1886.4739999999999</v>
      </c>
    </row>
    <row r="74" spans="2:15" x14ac:dyDescent="0.3">
      <c r="B74" s="4" t="s">
        <v>362</v>
      </c>
      <c r="C74" s="8">
        <v>6307.0419999999995</v>
      </c>
      <c r="D74" t="str">
        <v>New Jersey</v>
      </c>
      <c r="E74">
        <v>6307.0419999999995</v>
      </c>
      <c r="J74" s="4"/>
      <c r="K74" s="8"/>
      <c r="N74" t="str">
        <f t="shared" si="3"/>
        <v>New Jersey</v>
      </c>
      <c r="O74" s="8">
        <f>GETPIVOTDATA("Sum of Sales",$B$46,"State",Table2[[#This Row],[State]])</f>
        <v>6307.0419999999995</v>
      </c>
    </row>
    <row r="75" spans="2:15" x14ac:dyDescent="0.3">
      <c r="B75" s="4" t="s">
        <v>1896</v>
      </c>
      <c r="C75" s="8">
        <v>1701.412</v>
      </c>
      <c r="D75" t="str">
        <v>New Mexico</v>
      </c>
      <c r="E75">
        <v>1701.412</v>
      </c>
      <c r="J75" s="4"/>
      <c r="K75" s="8"/>
      <c r="N75" t="str">
        <f t="shared" si="3"/>
        <v>New Mexico</v>
      </c>
      <c r="O75" s="8">
        <f>GETPIVOTDATA("Sum of Sales",$B$46,"State",Table2[[#This Row],[State]])</f>
        <v>1701.412</v>
      </c>
    </row>
    <row r="76" spans="2:15" x14ac:dyDescent="0.3">
      <c r="B76" s="4" t="s">
        <v>120</v>
      </c>
      <c r="C76" s="8">
        <v>93372.728999999978</v>
      </c>
      <c r="D76" t="str">
        <v>New York</v>
      </c>
      <c r="E76">
        <v>93372.728999999978</v>
      </c>
      <c r="J76" s="4"/>
      <c r="K76" s="8"/>
      <c r="N76" t="str">
        <f t="shared" si="3"/>
        <v>New York</v>
      </c>
      <c r="O76" s="8">
        <f>GETPIVOTDATA("Sum of Sales",$B$46,"State",Table2[[#This Row],[State]])</f>
        <v>93372.728999999978</v>
      </c>
    </row>
    <row r="77" spans="2:15" x14ac:dyDescent="0.3">
      <c r="B77" s="4" t="s">
        <v>1036</v>
      </c>
      <c r="C77" s="8">
        <v>15155.483999999999</v>
      </c>
      <c r="D77" t="str">
        <v>North Carolina</v>
      </c>
      <c r="E77">
        <v>15155.483999999999</v>
      </c>
      <c r="J77" s="4"/>
      <c r="K77" s="8"/>
      <c r="N77" t="str">
        <f t="shared" si="3"/>
        <v>North Carolina</v>
      </c>
      <c r="O77" s="8">
        <f>GETPIVOTDATA("Sum of Sales",$B$46,"State",Table2[[#This Row],[State]])</f>
        <v>15155.483999999999</v>
      </c>
    </row>
    <row r="78" spans="2:15" x14ac:dyDescent="0.3">
      <c r="B78" s="4" t="s">
        <v>231</v>
      </c>
      <c r="C78" s="8">
        <v>24199.144999999993</v>
      </c>
      <c r="D78" t="str">
        <v>Ohio</v>
      </c>
      <c r="E78">
        <v>24199.144999999993</v>
      </c>
      <c r="J78" s="4"/>
      <c r="K78" s="8"/>
      <c r="N78" t="str">
        <f t="shared" si="3"/>
        <v>Ohio</v>
      </c>
      <c r="O78" s="8">
        <f>GETPIVOTDATA("Sum of Sales",$B$46,"State",Table2[[#This Row],[State]])</f>
        <v>24199.144999999993</v>
      </c>
    </row>
    <row r="79" spans="2:15" x14ac:dyDescent="0.3">
      <c r="B79" s="4" t="s">
        <v>1522</v>
      </c>
      <c r="C79" s="8">
        <v>8284.1</v>
      </c>
      <c r="D79" t="str">
        <v>Oklahoma</v>
      </c>
      <c r="E79">
        <v>8284.1</v>
      </c>
      <c r="J79" s="4"/>
      <c r="K79" s="8"/>
      <c r="N79" t="str">
        <f t="shared" si="3"/>
        <v>Oklahoma</v>
      </c>
      <c r="O79" s="8">
        <f>GETPIVOTDATA("Sum of Sales",$B$46,"State",Table2[[#This Row],[State]])</f>
        <v>8284.1</v>
      </c>
    </row>
    <row r="80" spans="2:15" x14ac:dyDescent="0.3">
      <c r="B80" s="4" t="s">
        <v>1517</v>
      </c>
      <c r="C80" s="8">
        <v>6338.1299999999992</v>
      </c>
      <c r="D80" t="str">
        <v>Oregon</v>
      </c>
      <c r="E80">
        <v>6338.1299999999992</v>
      </c>
      <c r="J80" s="4"/>
      <c r="K80" s="8"/>
      <c r="N80" t="str">
        <f t="shared" si="3"/>
        <v>Oregon</v>
      </c>
      <c r="O80" s="8">
        <f>GETPIVOTDATA("Sum of Sales",$B$46,"State",Table2[[#This Row],[State]])</f>
        <v>6338.1299999999992</v>
      </c>
    </row>
    <row r="81" spans="2:15" x14ac:dyDescent="0.3">
      <c r="B81" s="4" t="s">
        <v>66</v>
      </c>
      <c r="C81" s="8">
        <v>39354.931000000004</v>
      </c>
      <c r="D81" t="str">
        <v>Pennsylvania</v>
      </c>
      <c r="E81">
        <v>39354.931000000004</v>
      </c>
      <c r="J81" s="4"/>
      <c r="K81" s="8"/>
      <c r="N81" t="str">
        <f t="shared" si="3"/>
        <v>Pennsylvania</v>
      </c>
      <c r="O81" s="8">
        <f>GETPIVOTDATA("Sum of Sales",$B$46,"State",Table2[[#This Row],[State]])</f>
        <v>39354.931000000004</v>
      </c>
    </row>
    <row r="82" spans="2:15" x14ac:dyDescent="0.3">
      <c r="B82" s="4" t="s">
        <v>1645</v>
      </c>
      <c r="C82" s="8">
        <v>5918.7560000000003</v>
      </c>
      <c r="D82" t="str">
        <v>Rhode Island</v>
      </c>
      <c r="E82">
        <v>5918.7560000000003</v>
      </c>
      <c r="J82" s="4"/>
      <c r="K82" s="8"/>
      <c r="N82" t="str">
        <f t="shared" si="3"/>
        <v>Rhode Island</v>
      </c>
      <c r="O82" s="8">
        <f>GETPIVOTDATA("Sum of Sales",$B$46,"State",Table2[[#This Row],[State]])</f>
        <v>5918.7560000000003</v>
      </c>
    </row>
    <row r="83" spans="2:15" x14ac:dyDescent="0.3">
      <c r="B83" s="4" t="s">
        <v>158</v>
      </c>
      <c r="C83" s="8">
        <v>3078.25</v>
      </c>
      <c r="D83" t="str">
        <v>South Carolina</v>
      </c>
      <c r="E83">
        <v>3078.25</v>
      </c>
      <c r="J83" s="4"/>
      <c r="K83" s="8"/>
      <c r="N83" t="str">
        <f t="shared" si="3"/>
        <v>South Carolina</v>
      </c>
      <c r="O83" s="8">
        <f>GETPIVOTDATA("Sum of Sales",$B$46,"State",Table2[[#This Row],[State]])</f>
        <v>3078.25</v>
      </c>
    </row>
    <row r="84" spans="2:15" x14ac:dyDescent="0.3">
      <c r="B84" s="4" t="s">
        <v>1826</v>
      </c>
      <c r="C84" s="8">
        <v>324.89999999999998</v>
      </c>
      <c r="D84" t="str">
        <v>South Dakota</v>
      </c>
      <c r="E84">
        <v>324.89999999999998</v>
      </c>
      <c r="J84" s="4"/>
      <c r="K84" s="8"/>
      <c r="N84" t="str">
        <f t="shared" si="3"/>
        <v>South Dakota</v>
      </c>
      <c r="O84" s="8">
        <f>GETPIVOTDATA("Sum of Sales",$B$46,"State",Table2[[#This Row],[State]])</f>
        <v>324.89999999999998</v>
      </c>
    </row>
    <row r="85" spans="2:15" x14ac:dyDescent="0.3">
      <c r="B85" s="4" t="s">
        <v>141</v>
      </c>
      <c r="C85" s="8">
        <v>13506.732</v>
      </c>
      <c r="D85" t="str">
        <v>Tennessee</v>
      </c>
      <c r="E85">
        <v>13506.732</v>
      </c>
      <c r="J85" s="4"/>
      <c r="K85" s="8"/>
      <c r="N85" t="str">
        <f t="shared" si="3"/>
        <v>Tennessee</v>
      </c>
      <c r="O85" s="8">
        <f>GETPIVOTDATA("Sum of Sales",$B$46,"State",Table2[[#This Row],[State]])</f>
        <v>13506.732</v>
      </c>
    </row>
    <row r="86" spans="2:15" x14ac:dyDescent="0.3">
      <c r="B86" s="4" t="s">
        <v>92</v>
      </c>
      <c r="C86" s="8">
        <v>60593.291799999992</v>
      </c>
      <c r="D86" t="str">
        <v>Texas</v>
      </c>
      <c r="E86">
        <v>60593.291799999992</v>
      </c>
      <c r="J86" s="4"/>
      <c r="K86" s="8"/>
      <c r="N86" t="str">
        <f t="shared" si="3"/>
        <v>Texas</v>
      </c>
      <c r="O86" s="8">
        <f>GETPIVOTDATA("Sum of Sales",$B$46,"State",Table2[[#This Row],[State]])</f>
        <v>60593.291799999992</v>
      </c>
    </row>
    <row r="87" spans="2:15" x14ac:dyDescent="0.3">
      <c r="B87" s="4" t="s">
        <v>76</v>
      </c>
      <c r="C87" s="8">
        <v>4822.3499999999995</v>
      </c>
      <c r="D87" t="str">
        <v>Utah</v>
      </c>
      <c r="E87">
        <v>4822.3499999999995</v>
      </c>
      <c r="J87" s="4"/>
      <c r="K87" s="8"/>
      <c r="N87" t="str">
        <f t="shared" si="3"/>
        <v>Utah</v>
      </c>
      <c r="O87" s="8">
        <f>GETPIVOTDATA("Sum of Sales",$B$46,"State",Table2[[#This Row],[State]])</f>
        <v>4822.3499999999995</v>
      </c>
    </row>
    <row r="88" spans="2:15" x14ac:dyDescent="0.3">
      <c r="B88" s="4" t="s">
        <v>3106</v>
      </c>
      <c r="C88" s="8">
        <v>5120.0999999999995</v>
      </c>
      <c r="D88" t="str">
        <v>Vermont</v>
      </c>
      <c r="E88">
        <v>5120.0999999999995</v>
      </c>
      <c r="J88" s="4"/>
      <c r="K88" s="8"/>
      <c r="N88" t="str">
        <f t="shared" si="3"/>
        <v>Vermont</v>
      </c>
      <c r="O88" s="8">
        <f>GETPIVOTDATA("Sum of Sales",$B$46,"State",Table2[[#This Row],[State]])</f>
        <v>5120.0999999999995</v>
      </c>
    </row>
    <row r="89" spans="2:15" x14ac:dyDescent="0.3">
      <c r="B89" s="4" t="s">
        <v>716</v>
      </c>
      <c r="C89" s="8">
        <v>25321.949999999993</v>
      </c>
      <c r="D89" t="str">
        <v>Virginia</v>
      </c>
      <c r="E89">
        <v>25321.949999999993</v>
      </c>
      <c r="J89" s="4"/>
      <c r="K89" s="8"/>
      <c r="N89" t="str">
        <f t="shared" si="3"/>
        <v>Virginia</v>
      </c>
      <c r="O89" s="8">
        <f>GETPIVOTDATA("Sum of Sales",$B$46,"State",Table2[[#This Row],[State]])</f>
        <v>25321.949999999993</v>
      </c>
    </row>
    <row r="90" spans="2:15" x14ac:dyDescent="0.3">
      <c r="B90" s="4" t="s">
        <v>192</v>
      </c>
      <c r="C90" s="8">
        <v>48020.151999999973</v>
      </c>
      <c r="D90" t="str">
        <v>Washington</v>
      </c>
      <c r="E90">
        <v>48020.151999999973</v>
      </c>
      <c r="J90" s="4"/>
      <c r="K90" s="8"/>
      <c r="N90" t="str">
        <f t="shared" si="3"/>
        <v>Washington</v>
      </c>
      <c r="O90" s="8">
        <f>GETPIVOTDATA("Sum of Sales",$B$46,"State",Table2[[#This Row],[State]])</f>
        <v>48020.151999999973</v>
      </c>
    </row>
    <row r="91" spans="2:15" x14ac:dyDescent="0.3">
      <c r="B91" s="4" t="s">
        <v>4286</v>
      </c>
      <c r="C91" s="8">
        <v>673.34400000000005</v>
      </c>
      <c r="D91" t="str">
        <v>West Virginia</v>
      </c>
      <c r="E91">
        <v>673.34400000000005</v>
      </c>
      <c r="N91" t="str">
        <f t="shared" si="3"/>
        <v>West Virginia</v>
      </c>
      <c r="O91" s="8">
        <f>GETPIVOTDATA("Sum of Sales",$B$46,"State",Table2[[#This Row],[State]])</f>
        <v>673.34400000000005</v>
      </c>
    </row>
    <row r="92" spans="2:15" x14ac:dyDescent="0.3">
      <c r="B92" s="4" t="s">
        <v>238</v>
      </c>
      <c r="C92" s="8">
        <v>17256.609999999997</v>
      </c>
      <c r="D92" t="str">
        <v>Wisconsin</v>
      </c>
      <c r="E92">
        <v>17256.609999999997</v>
      </c>
      <c r="N92" t="str">
        <f t="shared" si="3"/>
        <v>Wisconsin</v>
      </c>
      <c r="O92" s="8">
        <f>GETPIVOTDATA("Sum of Sales",$B$46,"State",Table2[[#This Row],[State]])</f>
        <v>17256.609999999997</v>
      </c>
    </row>
    <row r="93" spans="2:15" x14ac:dyDescent="0.3">
      <c r="B93" s="4" t="s">
        <v>3311</v>
      </c>
      <c r="C93" s="8">
        <v>1603.136</v>
      </c>
      <c r="D93" t="str">
        <v>Wyoming</v>
      </c>
      <c r="E93">
        <v>1603.136</v>
      </c>
      <c r="N93" t="str">
        <f t="shared" si="3"/>
        <v>Wyoming</v>
      </c>
      <c r="O93" s="8">
        <f>GETPIVOTDATA("Sum of Sales",$B$46,"State",Table2[[#This Row],[State]])</f>
        <v>1603.136</v>
      </c>
    </row>
  </sheetData>
  <pageMargins left="0.7" right="0.7" top="0.75" bottom="0.75" header="0.3" footer="0.3"/>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035CB-D675-4435-B01E-C8FB19441AD2}">
  <dimension ref="A1"/>
  <sheetViews>
    <sheetView showGridLines="0" showRowColHeaders="0" tabSelected="1" topLeftCell="B1" zoomScale="50" zoomScaleNormal="50" workbookViewId="0">
      <selection activeCell="AU32" sqref="AU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Dataset</vt:lpstr>
      <vt:lpstr>Pivot Table</vt:lpstr>
      <vt:lpstr>Dashboard</vt:lpstr>
      <vt:lpstr>dropline</vt:lpstr>
      <vt:lpstr>map</vt:lpstr>
      <vt:lpstr>profit</vt:lpstr>
      <vt:lpstr>profityoy</vt:lpstr>
      <vt:lpstr>quantity</vt:lpstr>
      <vt:lpstr>quantityyoy</vt:lpstr>
      <vt:lpstr>sales</vt:lpstr>
      <vt:lpstr>salescategory</vt:lpstr>
      <vt:lpstr>salestrend</vt:lpstr>
      <vt:lpstr>salesyoy</vt:lpstr>
      <vt:lpstr>shippingmodetitle</vt:lpstr>
      <vt:lpstr>topcities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Bilal Shafiq</cp:lastModifiedBy>
  <dcterms:created xsi:type="dcterms:W3CDTF">2025-06-25T21:07:17Z</dcterms:created>
  <dcterms:modified xsi:type="dcterms:W3CDTF">2025-12-01T17:38:27Z</dcterms:modified>
</cp:coreProperties>
</file>